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4"/>
  <workbookPr defaultThemeVersion="124226"/>
  <xr:revisionPtr revIDLastSave="1058" documentId="11_D6FADDC3CEA1AEC571331DD7DE5AEABB51207422" xr6:coauthVersionLast="47" xr6:coauthVersionMax="47" xr10:uidLastSave="{30B942ED-6F54-E645-A459-BD8DE4A25BE6}"/>
  <bookViews>
    <workbookView xWindow="240" yWindow="15" windowWidth="16095" windowHeight="9660" xr2:uid="{00000000-000D-0000-FFFF-FFFF00000000}"/>
  </bookViews>
  <sheets>
    <sheet name="UN_194" sheetId="1" r:id="rId1"/>
    <sheet name="SADC" sheetId="2" r:id="rId2"/>
    <sheet name="ECOWAS" sheetId="3" r:id="rId3"/>
    <sheet name="Global" sheetId="4" r:id="rId4"/>
    <sheet name="Sheet1" sheetId="10" r:id="rId5"/>
    <sheet name="Sheet5" sheetId="9" r:id="rId6"/>
    <sheet name="Sheet2" sheetId="11" r:id="rId7"/>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95" i="1" l="1"/>
  <c r="AJ195" i="1"/>
  <c r="AI182" i="1"/>
  <c r="AJ182" i="1"/>
  <c r="AI183" i="1"/>
  <c r="AJ183" i="1"/>
  <c r="AI184" i="1"/>
  <c r="AJ184" i="1"/>
  <c r="AI185" i="1"/>
  <c r="AJ185" i="1"/>
  <c r="AI186" i="1"/>
  <c r="AJ186" i="1"/>
  <c r="AI187" i="1"/>
  <c r="AJ187" i="1"/>
  <c r="AI188" i="1"/>
  <c r="AJ188" i="1"/>
  <c r="AI189" i="1"/>
  <c r="AJ189" i="1"/>
  <c r="AI190" i="1"/>
  <c r="AJ190" i="1"/>
  <c r="AI191" i="1"/>
  <c r="AJ191" i="1"/>
  <c r="AI192" i="1"/>
  <c r="AJ192" i="1"/>
  <c r="AI193" i="1"/>
  <c r="AJ193" i="1"/>
  <c r="AI194" i="1"/>
  <c r="AJ194" i="1"/>
  <c r="AK195" i="1"/>
  <c r="AK194" i="1"/>
  <c r="AK193" i="1"/>
  <c r="AK192" i="1"/>
  <c r="AK191" i="1"/>
  <c r="AK190" i="1"/>
  <c r="AK189" i="1"/>
  <c r="AK188" i="1"/>
  <c r="AK187" i="1"/>
  <c r="AK186" i="1"/>
  <c r="AK185" i="1"/>
  <c r="AK184" i="1"/>
  <c r="AK183" i="1"/>
  <c r="AK182" i="1"/>
  <c r="AI90" i="1"/>
  <c r="AJ90" i="1"/>
  <c r="AI88" i="1"/>
  <c r="AJ88" i="1"/>
  <c r="AI89" i="1"/>
  <c r="AJ89" i="1"/>
  <c r="AK90" i="1"/>
  <c r="AK89" i="1"/>
  <c r="AK88" i="1"/>
  <c r="AI49" i="1"/>
  <c r="AK49" i="1"/>
  <c r="AI40" i="1"/>
  <c r="AJ40" i="1"/>
  <c r="AI51" i="1"/>
  <c r="AJ51" i="1"/>
  <c r="AI48" i="1"/>
  <c r="AJ48" i="1"/>
  <c r="AI52" i="1"/>
  <c r="AJ52" i="1"/>
  <c r="AI19" i="1"/>
  <c r="AJ19" i="1"/>
  <c r="AI20" i="1"/>
  <c r="AJ20" i="1"/>
  <c r="AI21" i="1"/>
  <c r="AJ21" i="1"/>
  <c r="AI22" i="1"/>
  <c r="AJ22" i="1"/>
  <c r="AI23" i="1"/>
  <c r="AJ23" i="1"/>
  <c r="AI24" i="1"/>
  <c r="AJ24" i="1"/>
  <c r="AI25" i="1"/>
  <c r="AJ25" i="1"/>
  <c r="AI26" i="1"/>
  <c r="AJ26" i="1"/>
  <c r="AI27" i="1"/>
  <c r="AJ27" i="1"/>
  <c r="AI30" i="1"/>
  <c r="AJ30" i="1"/>
  <c r="AI31" i="1"/>
  <c r="AJ31" i="1"/>
  <c r="AI32" i="1"/>
  <c r="AJ32" i="1"/>
  <c r="AI46" i="1"/>
  <c r="AJ46" i="1"/>
  <c r="AI44" i="1"/>
  <c r="AJ44" i="1"/>
  <c r="AI45" i="1"/>
  <c r="AJ45" i="1"/>
  <c r="AI42" i="1"/>
  <c r="AJ42" i="1"/>
  <c r="AI43" i="1"/>
  <c r="AJ43" i="1"/>
  <c r="AI53" i="1"/>
  <c r="AJ53" i="1"/>
  <c r="AI54" i="1"/>
  <c r="AJ54" i="1"/>
  <c r="AI47" i="1"/>
  <c r="AJ47" i="1"/>
  <c r="AI55" i="1"/>
  <c r="AJ55" i="1"/>
  <c r="AI41" i="1"/>
  <c r="AJ41" i="1"/>
  <c r="AI50" i="1"/>
  <c r="AJ50" i="1"/>
  <c r="AJ49" i="1"/>
  <c r="AI140" i="1"/>
  <c r="AJ140" i="1"/>
  <c r="AI2" i="1"/>
  <c r="AJ2" i="1"/>
  <c r="AI139" i="1"/>
  <c r="AJ139" i="1"/>
  <c r="AI120" i="1"/>
  <c r="AJ120" i="1"/>
  <c r="AI60" i="1"/>
  <c r="AJ60" i="1"/>
  <c r="AI76" i="1"/>
  <c r="AJ76" i="1"/>
  <c r="AI108" i="1"/>
  <c r="AJ108" i="1"/>
  <c r="AI154" i="1"/>
  <c r="AJ154" i="1"/>
  <c r="AI109" i="1"/>
  <c r="AJ109" i="1"/>
  <c r="AI61" i="1"/>
  <c r="AJ61" i="1"/>
  <c r="AI112" i="1"/>
  <c r="AJ112" i="1"/>
  <c r="AI121" i="1"/>
  <c r="AJ121" i="1"/>
  <c r="AI62" i="1"/>
  <c r="AJ62" i="1"/>
  <c r="AI137" i="1"/>
  <c r="AJ137" i="1"/>
  <c r="AI155" i="1"/>
  <c r="AJ155" i="1"/>
  <c r="AI63" i="1"/>
  <c r="AJ63" i="1"/>
  <c r="AI122" i="1"/>
  <c r="AJ122" i="1"/>
  <c r="AP40" i="1"/>
  <c r="AN40" i="1"/>
  <c r="AR40" i="1"/>
  <c r="AM40" i="1"/>
  <c r="AO40" i="1"/>
  <c r="AK40" i="1"/>
  <c r="AK55" i="1"/>
  <c r="AK54" i="1"/>
  <c r="AK53" i="1"/>
  <c r="AK52" i="1"/>
  <c r="AK51" i="1"/>
  <c r="AK50" i="1"/>
  <c r="AK47" i="1"/>
  <c r="AK46" i="1"/>
  <c r="AK45" i="1"/>
  <c r="AK44" i="1"/>
  <c r="AK43" i="1"/>
  <c r="AK42" i="1"/>
  <c r="AK41" i="1"/>
  <c r="AK48" i="1"/>
  <c r="X43" i="4"/>
  <c r="Y43" i="4"/>
  <c r="AI56" i="1"/>
  <c r="AJ56" i="1"/>
  <c r="AI141" i="1"/>
  <c r="AJ141" i="1"/>
  <c r="AI77" i="1"/>
  <c r="AJ77" i="1"/>
  <c r="AI97" i="1"/>
  <c r="AJ97" i="1"/>
  <c r="AI156" i="1"/>
  <c r="AJ156" i="1"/>
  <c r="AI8" i="1"/>
  <c r="AJ8" i="1"/>
  <c r="AI98" i="1"/>
  <c r="AJ98" i="1"/>
  <c r="AI12" i="1"/>
  <c r="AJ12" i="1"/>
  <c r="AI13" i="1"/>
  <c r="AJ13" i="1"/>
  <c r="AI14" i="1"/>
  <c r="AJ14" i="1"/>
  <c r="AI80" i="1"/>
  <c r="AJ80" i="1"/>
  <c r="AI128" i="1"/>
  <c r="AJ128" i="1"/>
  <c r="AI81" i="1"/>
  <c r="AJ81" i="1"/>
  <c r="AI15" i="1"/>
  <c r="AJ15" i="1"/>
  <c r="AI82" i="1"/>
  <c r="AJ82" i="1"/>
  <c r="AI157" i="1"/>
  <c r="AJ157" i="1"/>
  <c r="AI64" i="1"/>
  <c r="AJ64" i="1"/>
  <c r="AI158" i="1"/>
  <c r="AJ158" i="1"/>
  <c r="AI159" i="1"/>
  <c r="AJ159" i="1"/>
  <c r="AI129" i="1"/>
  <c r="AJ129" i="1"/>
  <c r="AI160" i="1"/>
  <c r="AJ160" i="1"/>
  <c r="AI34" i="1"/>
  <c r="AJ34" i="1"/>
  <c r="AI65" i="1"/>
  <c r="AJ65" i="1"/>
  <c r="AI66" i="1"/>
  <c r="AJ66" i="1"/>
  <c r="AI57" i="1"/>
  <c r="AJ57" i="1"/>
  <c r="AI3" i="1"/>
  <c r="AJ3" i="1"/>
  <c r="AI83" i="1"/>
  <c r="AJ83" i="1"/>
  <c r="AI16" i="1"/>
  <c r="AJ16" i="1"/>
  <c r="AI35" i="1"/>
  <c r="AJ35" i="1"/>
  <c r="AI161" i="1"/>
  <c r="AJ161" i="1"/>
  <c r="AI36" i="1"/>
  <c r="AJ36" i="1"/>
  <c r="AI162" i="1"/>
  <c r="AJ162" i="1"/>
  <c r="AI163" i="1"/>
  <c r="AJ163" i="1"/>
  <c r="AI17" i="1"/>
  <c r="AJ17" i="1"/>
  <c r="AI110" i="1"/>
  <c r="AJ110" i="1"/>
  <c r="AI164" i="1"/>
  <c r="AJ164" i="1"/>
  <c r="AI165" i="1"/>
  <c r="AJ165" i="1"/>
  <c r="AI67" i="1"/>
  <c r="AJ67" i="1"/>
  <c r="AI84" i="1"/>
  <c r="AJ84" i="1"/>
  <c r="AI68" i="1"/>
  <c r="AJ68" i="1"/>
  <c r="AI69" i="1"/>
  <c r="AJ69" i="1"/>
  <c r="AI85" i="1"/>
  <c r="AJ85" i="1"/>
  <c r="AI166" i="1"/>
  <c r="AJ166" i="1"/>
  <c r="AI142" i="1"/>
  <c r="AJ142" i="1"/>
  <c r="AI123" i="1"/>
  <c r="AJ123" i="1"/>
  <c r="AI99" i="1"/>
  <c r="AJ99" i="1"/>
  <c r="AI130" i="1"/>
  <c r="AJ130" i="1"/>
  <c r="AI91" i="1"/>
  <c r="AJ91" i="1"/>
  <c r="AI167" i="1"/>
  <c r="AJ167" i="1"/>
  <c r="AI118" i="1"/>
  <c r="AJ118" i="1"/>
  <c r="AI168" i="1"/>
  <c r="AJ168" i="1"/>
  <c r="AI70" i="1"/>
  <c r="AJ70" i="1"/>
  <c r="AI111" i="1"/>
  <c r="AJ111" i="1"/>
  <c r="AI92" i="1"/>
  <c r="AJ92" i="1"/>
  <c r="AI131" i="1"/>
  <c r="AJ131" i="1"/>
  <c r="AI9" i="1"/>
  <c r="AJ9" i="1"/>
  <c r="AI113" i="1"/>
  <c r="AJ113" i="1"/>
  <c r="AI132" i="1"/>
  <c r="AJ132" i="1"/>
  <c r="AI100" i="1"/>
  <c r="AJ100" i="1"/>
  <c r="AI169" i="1"/>
  <c r="AJ169" i="1"/>
  <c r="AI93" i="1"/>
  <c r="AJ93" i="1"/>
  <c r="AI4" i="1"/>
  <c r="AJ4" i="1"/>
  <c r="AI143" i="1"/>
  <c r="AJ143" i="1"/>
  <c r="AI170" i="1"/>
  <c r="AJ170" i="1"/>
  <c r="AI171" i="1"/>
  <c r="AJ171" i="1"/>
  <c r="AI101" i="1"/>
  <c r="AJ101" i="1"/>
  <c r="AI124" i="1"/>
  <c r="AJ124" i="1"/>
  <c r="AI28" i="1"/>
  <c r="AJ28" i="1"/>
  <c r="AI172" i="1"/>
  <c r="AJ172" i="1"/>
  <c r="AI5" i="1"/>
  <c r="AJ5" i="1"/>
  <c r="AI144" i="1"/>
  <c r="AJ144" i="1"/>
  <c r="AI133" i="1"/>
  <c r="AJ133" i="1"/>
  <c r="AI145" i="1"/>
  <c r="AJ145" i="1"/>
  <c r="AI6" i="1"/>
  <c r="AJ6" i="1"/>
  <c r="AI102" i="1"/>
  <c r="AJ102" i="1"/>
  <c r="AI125" i="1"/>
  <c r="AJ125" i="1"/>
  <c r="AI173" i="1"/>
  <c r="AJ173" i="1"/>
  <c r="AI86" i="1"/>
  <c r="AJ86" i="1"/>
  <c r="AI29" i="1"/>
  <c r="AJ29" i="1"/>
  <c r="AI146" i="1"/>
  <c r="AJ146" i="1"/>
  <c r="AI147" i="1"/>
  <c r="AJ147" i="1"/>
  <c r="AI114" i="1"/>
  <c r="AJ114" i="1"/>
  <c r="AI126" i="1"/>
  <c r="AJ126" i="1"/>
  <c r="AI87" i="1"/>
  <c r="AJ87" i="1"/>
  <c r="AI78" i="1"/>
  <c r="AJ78" i="1"/>
  <c r="AI58" i="1"/>
  <c r="AJ58" i="1"/>
  <c r="AI103" i="1"/>
  <c r="AJ103" i="1"/>
  <c r="AI174" i="1"/>
  <c r="AJ174" i="1"/>
  <c r="AI175" i="1"/>
  <c r="AJ175" i="1"/>
  <c r="AI115" i="1"/>
  <c r="AJ115" i="1"/>
  <c r="AI119" i="1"/>
  <c r="AJ119" i="1"/>
  <c r="AI148" i="1"/>
  <c r="AJ148" i="1"/>
  <c r="AI176" i="1"/>
  <c r="AJ176" i="1"/>
  <c r="AI138" i="1"/>
  <c r="AJ138" i="1"/>
  <c r="AI10" i="1"/>
  <c r="AJ10" i="1"/>
  <c r="AI71" i="1"/>
  <c r="AJ71" i="1"/>
  <c r="AI72" i="1"/>
  <c r="AJ72" i="1"/>
  <c r="AI73" i="1"/>
  <c r="AJ73" i="1"/>
  <c r="AI149" i="1"/>
  <c r="AJ149" i="1"/>
  <c r="AI18" i="1"/>
  <c r="AJ18" i="1"/>
  <c r="AI116" i="1"/>
  <c r="AJ116" i="1"/>
  <c r="AI150" i="1"/>
  <c r="AJ150" i="1"/>
  <c r="AI104" i="1"/>
  <c r="AJ104" i="1"/>
  <c r="AI177" i="1"/>
  <c r="AJ177" i="1"/>
  <c r="AI178" i="1"/>
  <c r="AJ178" i="1"/>
  <c r="AI37" i="1"/>
  <c r="AJ37" i="1"/>
  <c r="AI38" i="1"/>
  <c r="AJ38" i="1"/>
  <c r="AI179" i="1"/>
  <c r="AJ179" i="1"/>
  <c r="AI127" i="1"/>
  <c r="AJ127" i="1"/>
  <c r="AI94" i="1"/>
  <c r="AJ94" i="1"/>
  <c r="AI39" i="1"/>
  <c r="AJ39" i="1"/>
  <c r="AI74" i="1"/>
  <c r="AJ74" i="1"/>
  <c r="AI180" i="1"/>
  <c r="AJ180" i="1"/>
  <c r="AI151" i="1"/>
  <c r="AJ151" i="1"/>
  <c r="AI95" i="1"/>
  <c r="AJ95" i="1"/>
  <c r="AI134" i="1"/>
  <c r="AJ134" i="1"/>
  <c r="AI105" i="1"/>
  <c r="AJ105" i="1"/>
  <c r="AI106" i="1"/>
  <c r="AJ106" i="1"/>
  <c r="AI75" i="1"/>
  <c r="AJ75" i="1"/>
  <c r="AI7" i="1"/>
  <c r="AJ7" i="1"/>
  <c r="AI152" i="1"/>
  <c r="AJ152" i="1"/>
  <c r="AI135" i="1"/>
  <c r="AJ135" i="1"/>
  <c r="AI11" i="1"/>
  <c r="AJ11" i="1"/>
  <c r="AI153" i="1"/>
  <c r="AJ153" i="1"/>
  <c r="AI117" i="1"/>
  <c r="AJ117" i="1"/>
  <c r="AI181" i="1"/>
  <c r="AJ181" i="1"/>
  <c r="AI79" i="1"/>
  <c r="AJ79" i="1"/>
  <c r="AI136" i="1"/>
  <c r="AJ136" i="1"/>
  <c r="AI59" i="1"/>
  <c r="AJ59" i="1"/>
  <c r="AI107" i="1"/>
  <c r="AJ107" i="1"/>
  <c r="AI96" i="1"/>
  <c r="AJ96" i="1"/>
  <c r="AI33" i="1"/>
  <c r="AJ33" i="1"/>
  <c r="AK140" i="1"/>
  <c r="AK2" i="1"/>
  <c r="AK139" i="1"/>
  <c r="AK120" i="1"/>
  <c r="AK33" i="1"/>
  <c r="AK32" i="1"/>
  <c r="AK31" i="1"/>
  <c r="AK30" i="1"/>
  <c r="AK27" i="1"/>
  <c r="AK26" i="1"/>
  <c r="AK25" i="1"/>
  <c r="AK24" i="1"/>
  <c r="AK23" i="1"/>
  <c r="AK22" i="1"/>
  <c r="AK21" i="1"/>
  <c r="AK20" i="1"/>
  <c r="AK19" i="1"/>
  <c r="AK96" i="1"/>
  <c r="AK107" i="1"/>
  <c r="AK59" i="1"/>
  <c r="AK136" i="1"/>
  <c r="AK79" i="1"/>
  <c r="AK181" i="1"/>
  <c r="AK117" i="1"/>
  <c r="AK153" i="1"/>
  <c r="AK11" i="1"/>
  <c r="AK135" i="1"/>
  <c r="AK152" i="1"/>
  <c r="AK7" i="1"/>
  <c r="AK75" i="1"/>
  <c r="AK106" i="1"/>
  <c r="AK105" i="1"/>
  <c r="AK134" i="1"/>
  <c r="AK95" i="1"/>
  <c r="AK151" i="1"/>
  <c r="AK180" i="1"/>
  <c r="AK74" i="1"/>
  <c r="AK39" i="1"/>
  <c r="AK94" i="1"/>
  <c r="AK127" i="1"/>
  <c r="AK179" i="1"/>
  <c r="AK38" i="1"/>
  <c r="AK37" i="1"/>
  <c r="AK178" i="1"/>
  <c r="AK177" i="1"/>
  <c r="AK104" i="1"/>
  <c r="AK150" i="1"/>
  <c r="AK116" i="1"/>
  <c r="AK18" i="1"/>
  <c r="AK149" i="1"/>
  <c r="AK73" i="1"/>
  <c r="AK72" i="1"/>
  <c r="AK71" i="1"/>
  <c r="AK10" i="1"/>
  <c r="AK138" i="1"/>
  <c r="AK176" i="1"/>
  <c r="AK148" i="1"/>
  <c r="AK119" i="1"/>
  <c r="AK115" i="1"/>
  <c r="AK175" i="1"/>
  <c r="AK174" i="1"/>
  <c r="AK103" i="1"/>
  <c r="AK58" i="1"/>
  <c r="AK78" i="1"/>
  <c r="AK87" i="1"/>
  <c r="AK126" i="1"/>
  <c r="AK114" i="1"/>
  <c r="AK147" i="1"/>
  <c r="AK146" i="1"/>
  <c r="AK29" i="1"/>
  <c r="AK86" i="1"/>
  <c r="AK173" i="1"/>
  <c r="AK125" i="1"/>
  <c r="AK102" i="1"/>
  <c r="AK6" i="1"/>
  <c r="AK145" i="1"/>
  <c r="AK133" i="1"/>
  <c r="AK144" i="1"/>
  <c r="AK5" i="1"/>
  <c r="AK172" i="1"/>
  <c r="AK28" i="1"/>
  <c r="AK124" i="1"/>
  <c r="AK101" i="1"/>
  <c r="AK171" i="1"/>
  <c r="AK170" i="1"/>
  <c r="AK143" i="1"/>
  <c r="AK4" i="1"/>
  <c r="AK93" i="1"/>
  <c r="AK169" i="1"/>
  <c r="AK100" i="1"/>
  <c r="AK132" i="1"/>
  <c r="AK113" i="1"/>
  <c r="AK9" i="1"/>
  <c r="AK131" i="1"/>
  <c r="AK92" i="1"/>
  <c r="AK111" i="1"/>
  <c r="AK70" i="1"/>
  <c r="AK168" i="1"/>
  <c r="AK118" i="1"/>
  <c r="AK167" i="1"/>
  <c r="AK91" i="1"/>
  <c r="AK130" i="1"/>
  <c r="AK99" i="1"/>
  <c r="AK123" i="1"/>
  <c r="AK142" i="1"/>
  <c r="AK166" i="1"/>
  <c r="AK85" i="1"/>
  <c r="AK69" i="1"/>
  <c r="AK68" i="1"/>
  <c r="AK84" i="1"/>
  <c r="AK67" i="1"/>
  <c r="AK165" i="1"/>
  <c r="AK164" i="1"/>
  <c r="AK110" i="1"/>
  <c r="AK17" i="1"/>
  <c r="AK163" i="1"/>
  <c r="AK162" i="1"/>
  <c r="AK36" i="1"/>
  <c r="AK161" i="1"/>
  <c r="AK35" i="1"/>
  <c r="AK16" i="1"/>
  <c r="AK83" i="1"/>
  <c r="AK3" i="1"/>
  <c r="AK57" i="1"/>
  <c r="AK66" i="1"/>
  <c r="AK65" i="1"/>
  <c r="AK34" i="1"/>
  <c r="AK160" i="1"/>
  <c r="AK129" i="1"/>
  <c r="AK159" i="1"/>
  <c r="AK158" i="1"/>
  <c r="AK64" i="1"/>
  <c r="AK157" i="1"/>
  <c r="AK82" i="1"/>
  <c r="AK15" i="1"/>
  <c r="AK81" i="1"/>
  <c r="AK128" i="1"/>
  <c r="AK80" i="1"/>
  <c r="AK14" i="1"/>
  <c r="AK13" i="1"/>
  <c r="AK12" i="1"/>
  <c r="AK98" i="1"/>
  <c r="AK8" i="1"/>
  <c r="AK156" i="1"/>
  <c r="AK97" i="1"/>
  <c r="AK77" i="1"/>
  <c r="AK141" i="1"/>
  <c r="AK56" i="1"/>
  <c r="AK122" i="1"/>
  <c r="AK63" i="1"/>
  <c r="AK155" i="1"/>
  <c r="AK137" i="1"/>
  <c r="AK62" i="1"/>
  <c r="AK121" i="1"/>
  <c r="AK112" i="1"/>
  <c r="AK61" i="1"/>
  <c r="AK109" i="1"/>
  <c r="AK154" i="1"/>
  <c r="AK108" i="1"/>
  <c r="AK76" i="1"/>
  <c r="AK60" i="1"/>
</calcChain>
</file>

<file path=xl/sharedStrings.xml><?xml version="1.0" encoding="utf-8"?>
<sst xmlns="http://schemas.openxmlformats.org/spreadsheetml/2006/main" count="6416" uniqueCount="2241">
  <si>
    <t>RowNumber</t>
  </si>
  <si>
    <t>Country</t>
  </si>
  <si>
    <t>Region - Broad</t>
  </si>
  <si>
    <t>Region - Specific</t>
  </si>
  <si>
    <t>AI_Policy_Status</t>
  </si>
  <si>
    <t>AI_Policy_Status_Source</t>
  </si>
  <si>
    <t>Data_Protection_Law</t>
  </si>
  <si>
    <t>Data_Protection_Law_Source</t>
  </si>
  <si>
    <t>Children_Data_Safeguards</t>
  </si>
  <si>
    <t>Children_Data_Safeguards_Source</t>
  </si>
  <si>
    <t>SOGI_Sensitive_Data</t>
  </si>
  <si>
    <t>SOGI_Sensitive_Data_Source</t>
  </si>
  <si>
    <t>DPA_Independence</t>
  </si>
  <si>
    <t>DPA_Independence_Source</t>
  </si>
  <si>
    <t>DPIA_Required_High_Risk_AI</t>
  </si>
  <si>
    <t>DPIA_Required_High_Risk_AI_Source</t>
  </si>
  <si>
    <t>LGBTQ_Legal_Status</t>
  </si>
  <si>
    <t>LGBTQ_Legal_Status_Source</t>
  </si>
  <si>
    <t>Promotion_Propaganda_Offences</t>
  </si>
  <si>
    <t>Promotion_Propaganda_Offences_Source</t>
  </si>
  <si>
    <t>COP_Strategy</t>
  </si>
  <si>
    <t>COP_Strategy_Source</t>
  </si>
  <si>
    <t>SIM_Biometric_ID_Linkage</t>
  </si>
  <si>
    <t>SIM_Biometric_ID_Linkage_Source</t>
  </si>
  <si>
    <t>RowNumber.1</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</si>
  <si>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</si>
  <si>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</si>
  <si>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</si>
  <si>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</si>
  <si>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</si>
  <si>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</si>
  <si>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</si>
  <si>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</si>
  <si>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</si>
  <si>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</si>
  <si>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</si>
  <si>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</si>
  <si>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</si>
  <si>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</si>
  <si>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</si>
  <si>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</si>
  <si>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</si>
  <si>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</si>
  <si>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</si>
  <si>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</si>
  <si>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</si>
  <si>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</si>
  <si>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</si>
  <si>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</si>
  <si>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</si>
  <si>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</si>
  <si>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</si>
  <si>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</si>
  <si>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Cabo Verde</t>
  </si>
  <si>
    <t>Cambodia</t>
  </si>
  <si>
    <t>Cameroon</t>
  </si>
  <si>
    <t>Canada</t>
  </si>
  <si>
    <t>Central African Republic</t>
  </si>
  <si>
    <t>Chad</t>
  </si>
  <si>
    <t>Chile</t>
  </si>
  <si>
    <t>China</t>
  </si>
  <si>
    <t>Colombia</t>
  </si>
  <si>
    <t>Comoros</t>
  </si>
  <si>
    <t>Congo (Republic of the)</t>
  </si>
  <si>
    <t>Costa Rica</t>
  </si>
  <si>
    <t>Croatia</t>
  </si>
  <si>
    <t>Cuba</t>
  </si>
  <si>
    <t>Cyprus</t>
  </si>
  <si>
    <t>Czechia</t>
  </si>
  <si>
    <t>Côte d’Ivoire</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</si>
  <si>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</si>
  <si>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</si>
  <si>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</si>
  <si>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</si>
  <si>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</si>
  <si>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</si>
  <si>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</si>
  <si>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</si>
  <si>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</si>
  <si>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</si>
  <si>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</si>
  <si>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</si>
  <si>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</si>
  <si>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</si>
  <si>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</si>
  <si>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</si>
  <si>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</si>
  <si>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</si>
  <si>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</si>
  <si>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</si>
  <si>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</si>
  <si>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</si>
  <si>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</si>
  <si>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</si>
  <si>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</si>
  <si>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</si>
  <si>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</si>
  <si>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</si>
  <si>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</si>
  <si>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</si>
  <si>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</si>
  <si>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</si>
  <si>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</si>
  <si>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</si>
  <si>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</si>
  <si>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</si>
  <si>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</si>
  <si>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</si>
  <si>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</si>
  <si>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</si>
  <si>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</si>
  <si>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</si>
  <si>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</si>
  <si>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</si>
  <si>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</si>
  <si>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</si>
  <si>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</si>
  <si>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</si>
  <si>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</si>
  <si>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</si>
  <si>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</si>
  <si>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</si>
  <si>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</si>
  <si>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</si>
  <si>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</si>
  <si>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</si>
  <si>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</si>
  <si>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</si>
  <si>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</si>
  <si>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</si>
  <si>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</si>
  <si>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</si>
  <si>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</si>
  <si>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</si>
  <si>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</si>
  <si>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</si>
  <si>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</si>
  <si>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</si>
  <si>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</si>
  <si>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</si>
  <si>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</si>
  <si>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</si>
  <si>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</si>
  <si>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</si>
  <si>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</si>
  <si>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</si>
  <si>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</si>
  <si>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</si>
  <si>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</si>
  <si>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</si>
  <si>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</si>
  <si>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North Macedonia</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</si>
  <si>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</si>
  <si>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</si>
  <si>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</si>
  <si>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</si>
  <si>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</si>
  <si>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</si>
  <si>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</si>
  <si>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</si>
  <si>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</si>
  <si>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</si>
  <si>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</si>
  <si>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</si>
  <si>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</si>
  <si>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</si>
  <si>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</si>
  <si>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</si>
  <si>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</si>
  <si>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</si>
  <si>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</si>
  <si>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</si>
  <si>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</si>
  <si>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</si>
  <si>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</si>
  <si>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</si>
  <si>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</si>
  <si>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</si>
  <si>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</si>
  <si>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</si>
  <si>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</si>
  <si>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</si>
  <si>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</si>
  <si>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</si>
  <si>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</si>
  <si>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</si>
  <si>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</si>
  <si>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</si>
  <si>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</si>
  <si>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State of Palestine</t>
  </si>
  <si>
    <t>Sudan</t>
  </si>
  <si>
    <t>Suriname</t>
  </si>
  <si>
    <t>Sweden</t>
  </si>
  <si>
    <t>Switzerland</t>
  </si>
  <si>
    <t>Syrian Arab Republic</t>
  </si>
  <si>
    <t>Tajikistan</t>
  </si>
  <si>
    <t>Tanzania</t>
  </si>
  <si>
    <t>Thailand</t>
  </si>
  <si>
    <t>Timor-Leste</t>
  </si>
  <si>
    <t>Togo</t>
  </si>
  <si>
    <t>Tonga</t>
  </si>
  <si>
    <t>Trinidad and Tobago</t>
  </si>
  <si>
    <t>Tunisia</t>
  </si>
  <si>
    <t>Türkiye</t>
  </si>
  <si>
    <t>Turkmenistan</t>
  </si>
  <si>
    <t>Tuvalu</t>
  </si>
  <si>
    <t>Uganda</t>
  </si>
  <si>
    <t>Ukraine</t>
  </si>
  <si>
    <t>United Arab Emirates</t>
  </si>
  <si>
    <t>United Kingdom of Great Britain and Northern Ireland</t>
  </si>
  <si>
    <t>United States of America</t>
  </si>
  <si>
    <t>Uruguay</t>
  </si>
  <si>
    <t>Uzbekistan</t>
  </si>
  <si>
    <t>Vanuatu</t>
  </si>
  <si>
    <t>Venezuela (Bolivarian Republic of)</t>
  </si>
  <si>
    <t>Viet Nam</t>
  </si>
  <si>
    <t>Yemen</t>
  </si>
  <si>
    <t>Zambia</t>
  </si>
  <si>
    <t>Zimbabwe</t>
  </si>
  <si>
    <t>Africa</t>
  </si>
  <si>
    <t>SADC</t>
  </si>
  <si>
    <t>None – No national AI policy or strategy (2024)</t>
  </si>
  <si>
    <t>Partial – Digital Agenda 2022–2026 covers AI, no standalone AI strategy</t>
  </si>
  <si>
    <t>None – No formal AI strategy; digital transformation working group (2022)</t>
  </si>
  <si>
    <t>Partial – Digital Transformation Strategy (2021–2023) includes AI, no standalone AI strategy</t>
  </si>
  <si>
    <t>Draft/Early (White Paper LBTIC 2023–2027 approved Dec 2024; ENIA foreseen)</t>
  </si>
  <si>
    <t>None (no dedicated AI strategy identified)</t>
  </si>
  <si>
    <t>Draft/Early (Argentina AI Plan announced 2019; follow-up consultations)</t>
  </si>
  <si>
    <t>Draft/Early (AI strategy development ongoing 2022–2024)</t>
  </si>
  <si>
    <t>Adopted (AI Ethics Principles 2019; Responsible AI Action Plan 2021; NACC emerging strategy)</t>
  </si>
  <si>
    <t>Adopted (Austrian AI Strategy 2021; aligned with EU AI Act developments)</t>
  </si>
  <si>
    <t>Draft/Early (AI strategy under preparation, ICT strategy 2021 references AI)</t>
  </si>
  <si>
    <t>None (no AI strategy identified)</t>
  </si>
  <si>
    <t>Draft/Early (AI initiatives in ICT strategy; no standalone AI strategy)</t>
  </si>
  <si>
    <t>Draft/Early (AI policy consultations ongoing; AI in Digital Bangladesh agenda)</t>
  </si>
  <si>
    <t>Draft/Early (AI elements in Digital Strategy 2021–2026)</t>
  </si>
  <si>
    <t>Draft/Early (AI included in Digital Economy initiatives; no dedicated strategy)</t>
  </si>
  <si>
    <t>Adopted (AI4Belgium Strategy 2019; EU AI Act alignment)</t>
  </si>
  <si>
    <t>Draft/Early (AI policy referenced in Digital Strategy 2021)</t>
  </si>
  <si>
    <t>Draft/Early (AI in Digital Drukyul flagship programs; consultations ongoing)</t>
  </si>
  <si>
    <t>Draft/Early (AI mentioned in national digital economy agendas; no standalone strategy)</t>
  </si>
  <si>
    <t>Draft/Early (AI Strategy development aligned with EU AI Act, draft 2023)</t>
  </si>
  <si>
    <t>Draft/Early (AI policy referenced in National ICT Policy 2020)</t>
  </si>
  <si>
    <t>Adopted (Brazilian AI Strategy E-Digital 2021; updated in 2022)</t>
  </si>
  <si>
    <t>Adopted (National AI Development Concept 2020; EU AI Act alignment)</t>
  </si>
  <si>
    <t>Draft/Early (AI elements in Digital Strategy 2021–2030)</t>
  </si>
  <si>
    <t>Draft/Early (AI referenced in Digital Government Policy 2022–2035; no dedicated AI strategy)</t>
  </si>
  <si>
    <t>Adopted (Pan-Canadian AI Strategy 2017; refreshed 2022; AI and Data Act proposed 2022)</t>
  </si>
  <si>
    <t>Adopted (National AI Policy 2021)</t>
  </si>
  <si>
    <t>Adopted (New Generation AI Development Plan 2017; sectoral AI regulations ongoing)</t>
  </si>
  <si>
    <t>Adopted (National AI Strategy 2019)</t>
  </si>
  <si>
    <t>Draft/Early (AI referenced in National Digital Strategy 2022; AI policy in development)</t>
  </si>
  <si>
    <t>Adopted (National AI Strategy 2021–2025; aligned with EU AI Act)</t>
  </si>
  <si>
    <t>Draft/Early (AI mentioned in national digitalization policies; no formal strategy)</t>
  </si>
  <si>
    <t>Adopted (National AI Strategy 2020; aligned with EU AI Act)</t>
  </si>
  <si>
    <t>Adopted (National AI Strategy 2019; aligned with EU AI Act)</t>
  </si>
  <si>
    <t>Draft/Early (AI in Digital Plan 2021–2025)</t>
  </si>
  <si>
    <t>None (no AI strategy)</t>
  </si>
  <si>
    <t>Adopted (National AI Strategy 2019; EU AI Act alignment)</t>
  </si>
  <si>
    <t>Draft/Early (elements in Agenda Digital 2030; no standalone AI strategy)</t>
  </si>
  <si>
    <t>Draft/Early (national digital agenda; no standalone AI strategy)</t>
  </si>
  <si>
    <t>Adopted (National AI Strategy, 2021)</t>
  </si>
  <si>
    <t>None</t>
  </si>
  <si>
    <t>Adopted (AI Strategy 'Kratts', aligned with EU AI Act)</t>
  </si>
  <si>
    <t>Adopted (National AI Strategy, 2020)</t>
  </si>
  <si>
    <t>Adopted (AuroraAI Strategy, 2017+)</t>
  </si>
  <si>
    <t>Adopted (France IA 2018, updated 2021; EU AI Act alignment)</t>
  </si>
  <si>
    <t>Draft/Early (digital agenda; EU alignment)</t>
  </si>
  <si>
    <t>Adopted (National AI Strategy 2018, updated 2020; EU AI Act alignment)</t>
  </si>
  <si>
    <t>Draft/Early (digital transformation program; no standalone AI strategy)</t>
  </si>
  <si>
    <t>Adopted (National AI Strategy, 2021; EU AI Act alignment)</t>
  </si>
  <si>
    <t>Adopted (National AI Strategy 2020; EU AI Act alignment)</t>
  </si>
  <si>
    <t>Adopted (AI Strategy 2020; EU alignment)</t>
  </si>
  <si>
    <t>Draft/Early (NITI Aayog AI for All, 2018; not formally adopted)</t>
  </si>
  <si>
    <t>Adopted (National AI Strategy 2020–2045)</t>
  </si>
  <si>
    <t>Draft/Early (AI initiatives, no formal national strategy)</t>
  </si>
  <si>
    <t>Adopted (AI – Here for Good, 2021)</t>
  </si>
  <si>
    <t>Adopted (National AI Program 2020)</t>
  </si>
  <si>
    <t>Adopted (National AI Strategy 2021; EU AI Act alignment)</t>
  </si>
  <si>
    <t>Adopted (AI Strategy 2019; Society 5.0)</t>
  </si>
  <si>
    <t>Draft/Early (AI initiatives via Digital Economy Ministry; no formal strategy)</t>
  </si>
  <si>
    <t>Draft/Early (integrated into Digital Kazakhstan strategy)</t>
  </si>
  <si>
    <t>Draft/Early (strategy in development; digital economy blueprint includes AI)</t>
  </si>
  <si>
    <t>Draft/Early (Vision 2035 programmes; no formal AI strategy)</t>
  </si>
  <si>
    <t>Draft/Early (considered in digital agenda)</t>
  </si>
  <si>
    <t>Adopted (AI Strategy 2020; EU AI Act alignment)</t>
  </si>
  <si>
    <t>Draft/Early (AI innovation under Digital Transformation Strategy)</t>
  </si>
  <si>
    <t>Adopted (cooperation with Switzerland; EU/EFTA alignment)</t>
  </si>
  <si>
    <t>Adopted (AI Strategy 2019)</t>
  </si>
  <si>
    <t>Adopted (AI Strategy 2019; EU AI Act alignment)</t>
  </si>
  <si>
    <t>Draft/Early (Digital Malawi Program)</t>
  </si>
  <si>
    <t>Adopted (National AI Roadmap 2021–2025)</t>
  </si>
  <si>
    <t>Draft/Early (AI in digital transformation agenda; no standalone strategy)</t>
  </si>
  <si>
    <t>Adopted (AI in Malta Strategy, 2019)</t>
  </si>
  <si>
    <t>Draft/Early (Digital Mauritius 2030 agenda)</t>
  </si>
  <si>
    <t>Draft/Early (AI policy proposals 2018; no strategy adopted)</t>
  </si>
  <si>
    <t>Adopted (Digital Strategy 2019)</t>
  </si>
  <si>
    <t>Draft/Early (Vision 2050; ICT strategies)</t>
  </si>
  <si>
    <t>Draft/Early (aligned with EU AI Act; candidate reforms)</t>
  </si>
  <si>
    <t>Draft/Early (Digital Morocco 2020; no formal AI strategy)</t>
  </si>
  <si>
    <t>Draft/Early (AI included in ICT strategy)</t>
  </si>
  <si>
    <t>Draft/Early (AI research initiatives; no formal strategy)</t>
  </si>
  <si>
    <t>Adopted (Dutch AI Strategy 2019; EU AI Act alignment)</t>
  </si>
  <si>
    <t>Draft/Early (AI Action Plan under Digital Strategy for Aotearoa)</t>
  </si>
  <si>
    <t>Draft/Early — National AI Strategy in development (2023)</t>
  </si>
  <si>
    <t>Draft/Early — National AI Strategy 2021</t>
  </si>
  <si>
    <t>Adopted — National AI Strategy (2020)</t>
  </si>
  <si>
    <t>Draft/Early — Vision 2040</t>
  </si>
  <si>
    <t>Draft/Early — AI Policy Framework 2021; National AI Policy 2023 in consultation</t>
  </si>
  <si>
    <t>Draft/Early — Digital Agenda Panama 4.0</t>
  </si>
  <si>
    <t>Draft/Early — Digital Agenda 2020</t>
  </si>
  <si>
    <t>Draft/Early — AI in Digital Agenda 2.0</t>
  </si>
  <si>
    <t>Draft/Early — AI Roadmap 2021</t>
  </si>
  <si>
    <t>Adopted — National AI Policy 2020</t>
  </si>
  <si>
    <t>Adopted — National AI Strategy 2019</t>
  </si>
  <si>
    <t>Draft/Early — AI Strategy 2019</t>
  </si>
  <si>
    <t>Adopted — AI National Strategy 2019</t>
  </si>
  <si>
    <t>Draft/Early — Digital Moldova 2020</t>
  </si>
  <si>
    <t>Draft/Early — AI Strategy under development</t>
  </si>
  <si>
    <t>Draft/Early — Smart Rwanda Master Plan</t>
  </si>
  <si>
    <t>Draft/Early — aligned with EU strategies</t>
  </si>
  <si>
    <t>Adopted — Saudi Data &amp; AI Authority (SDAIA) Strategy 2020</t>
  </si>
  <si>
    <t>Draft/Early — AI included in Digital Senegal Strategy 2025</t>
  </si>
  <si>
    <t>Adopted — AI Development Strategy 2020–2025</t>
  </si>
  <si>
    <t>Adopted — National AI Strategy (2019)</t>
  </si>
  <si>
    <t>Adopted — National AI Strategy (2019), EU AI Act alignment</t>
  </si>
  <si>
    <t>Draft/Early — AI White Paper in preparation</t>
  </si>
  <si>
    <t>Adopted — Spain AI Strategy 2020</t>
  </si>
  <si>
    <t>Draft/Early — AI in Digital Economy Strategy</t>
  </si>
  <si>
    <t>Adopted — National AI Strategy 2018</t>
  </si>
  <si>
    <t>Adopted — Swiss Digital Strategy with AI focus (2020)</t>
  </si>
  <si>
    <t>Adopted — Thailand National AI Strategy 2022</t>
  </si>
  <si>
    <t>Draft/Early — National ICT Plan includes AI</t>
  </si>
  <si>
    <t>Draft/Early — AI initiatives under Digital 2020 plan</t>
  </si>
  <si>
    <t>Adopted — National AI Strategy 2021–2025</t>
  </si>
  <si>
    <t>Adopted — AI Development Concept 2020–2030</t>
  </si>
  <si>
    <t>Adopted — UAE AI Strategy 2031</t>
  </si>
  <si>
    <t>Adopted — UK National AI Strategy 2021</t>
  </si>
  <si>
    <t>Adopted — US AI Strategy 2023</t>
  </si>
  <si>
    <t>Draft/Early — Uruguay AI plan</t>
  </si>
  <si>
    <t>Draft/Early — Digital Uzbekistan 2030</t>
  </si>
  <si>
    <t>Draft/Early — Digital Agenda 2025</t>
  </si>
  <si>
    <t>Adopted — Vietnam AI Strategy 2021–2030</t>
  </si>
  <si>
    <t>Draft/Early — National AI Policy 2022</t>
  </si>
  <si>
    <t>Draft/Early — Smart Zimbabwe 2030</t>
  </si>
  <si>
    <t>https://en.unesco.org/artificial-intelligence/observatory/policies?country=AF</t>
  </si>
  <si>
    <t>https://www.digitalagenda.al/wp-content/uploads/2022/03/Digital-Agenda-Strategy-2022-2026-EN.pdf</t>
  </si>
  <si>
    <t>https://www.itu.int/en/ITU-D/ICT-Applications/Pages/artificial-intelligence-policy-algeria.aspx</t>
  </si>
  <si>
    <t>https://www.govern.ad/comunicats/item/12363-andorra-presenta-la-seva-estrategia-nacional-de-transformacio-digital</t>
  </si>
  <si>
    <t>https://en.unesco.org/artificial-intelligence/observatory/policies?country=AO; https://www.unesco.org/ethics-ai/en/global-hub</t>
  </si>
  <si>
    <t>https://en.unesco.org/artificial-intelligence/observatory/policies?country=AG; https://www.unesco.org/ethics-ai/en/global-hub</t>
  </si>
  <si>
    <t>https://en.unesco.org/artificial-intelligence/observatory/policies?country=AR; https://www.unesco.org/ethics-ai/en/global-hub</t>
  </si>
  <si>
    <t>https://en.unesco.org/artificial-intelligence/observatory/policies?country=AM; https://www.unesco.org/ethics-ai/en/global-hub</t>
  </si>
  <si>
    <t>https://en.unesco.org/artificial-intelligence/observatory/policies?country=AU; https://www.unesco.org/ethics-ai/en/global-hub</t>
  </si>
  <si>
    <t>https://en.unesco.org/artificial-intelligence/observatory/policies?country=AT; https://www.unesco.org/ethics-ai/en/global-hub</t>
  </si>
  <si>
    <t>https://en.unesco.org/artificial-intelligence/observatory/policies?country=AZ; https://www.unesco.org/ethics-ai/en/global-hub</t>
  </si>
  <si>
    <t>https://en.unesco.org/artificial-intelligence/observatory/policies?country=BS; https://www.unesco.org/ethics-ai/en/global-hub</t>
  </si>
  <si>
    <t>https://en.unesco.org/artificial-intelligence/observatory/policies?country=BH; https://www.unesco.org/ethics-ai/en/global-hub</t>
  </si>
  <si>
    <t>https://en.unesco.org/artificial-intelligence/observatory/policies?country=BD; https://www.unesco.org/ethics-ai/en/global-hub</t>
  </si>
  <si>
    <t>https://en.unesco.org/artificial-intelligence/observatory/policies?country=BB; https://www.unesco.org/ethics-ai/en/global-hub</t>
  </si>
  <si>
    <t>https://en.unesco.org/artificial-intelligence/observatory/policies?country=BY; https://www.unesco.org/ethics-ai/en/global-hub</t>
  </si>
  <si>
    <t>https://en.unesco.org/artificial-intelligence/observatory/policies?country=BE; https://www.unesco.org/ethics-ai/en/global-hub</t>
  </si>
  <si>
    <t>https://en.unesco.org/artificial-intelligence/observatory/policies?country=BZ; https://www.unesco.org/ethics-ai/en/global-hub</t>
  </si>
  <si>
    <t>https://en.unesco.org/artificial-intelligence/observatory/policies?country=BJ; https://www.unesco.org/ethics-ai/en/global-hub</t>
  </si>
  <si>
    <t>https://en.unesco.org/artificial-intelligence/observatory/policies?country=BT; https://www.unesco.org/ethics-ai/en/global-hub</t>
  </si>
  <si>
    <t>https://www.unesco.org/ethics-ai/en/global-hub</t>
  </si>
  <si>
    <t>https://en.unesco.org/artificial-intelligence/observatory/policies?country=BA; https://www.unesco.org/ethics-ai/en/global-hub</t>
  </si>
  <si>
    <t>https://en.unesco.org/artificial-intelligence/observatory/policies?country=BW; https://www.unesco.org/ethics-ai/en/global-hub</t>
  </si>
  <si>
    <t>https://en.unesco.org/artificial-intelligence/observatory/policies?country=BR; https://www.unesco.org/ethics-ai/en/global-hub</t>
  </si>
  <si>
    <t>https://en.unesco.org/artificial-intelligence/observatory/policies?country=BN; https://www.unesco.org/ethics-ai/en/global-hub</t>
  </si>
  <si>
    <t>https://en.unesco.org/artificial-intelligence/observatory/policies?country=BG; https://www.unesco.org/ethics-ai/en/global-hub</t>
  </si>
  <si>
    <t>https://en.unesco.org/artificial-intelligence/observatory/policies?country=BF; https://www.unesco.org/ethics-ai/en/global-hub</t>
  </si>
  <si>
    <t>https://en.unesco.org/artificial-intelligence/observatory/policies?country=BI; https://www.unesco.org/ethics-ai/en/global-hub</t>
  </si>
  <si>
    <t>https://en.unesco.org/artificial-intelligence/observatory/policies?country=CV; https://www.unesco.org/ethics-ai/en/global-hub</t>
  </si>
  <si>
    <t>https://en.unesco.org/artificial-intelligence/observatory/policies?country=KH; https://www.unesco.org/ethics-ai/en/global-hub</t>
  </si>
  <si>
    <t>https://en.unesco.org/artificial-intelligence/observatory/policies?country=CM; https://www.unesco.org/ethics-ai/en/global-hub</t>
  </si>
  <si>
    <t>https://en.unesco.org/artificial-intelligence/observatory/policies?country=CA; https://www.unesco.org/ethics-ai/en/global-hub</t>
  </si>
  <si>
    <t>https://en.unesco.org/artificial-intelligence/observatory/policies?country=CF; https://www.unesco.org/ethics-ai/en/global-hub</t>
  </si>
  <si>
    <t>https://en.unesco.org/artificial-intelligence/observatory/policies?country=TD; https://www.unesco.org/ethics-ai/en/global-hub</t>
  </si>
  <si>
    <t>https://en.unesco.org/artificial-intelligence/observatory/policies?country=CL; https://www.unesco.org/ethics-ai/en/global-hub</t>
  </si>
  <si>
    <t>https://en.unesco.org/artificial-intelligence/observatory/policies?country=CN; https://www.unesco.org/ethics-ai/en/global-hub</t>
  </si>
  <si>
    <t>https://en.unesco.org/artificial-intelligence/observatory/policies?country=CO; https://www.unesco.org/ethics-ai/en/global-hub</t>
  </si>
  <si>
    <t>https://en.unesco.org/artificial-intelligence/observatory/policies?country=KM; https://www.unesco.org/ethics-ai/en/global-hub</t>
  </si>
  <si>
    <t>https://en.unesco.org/artificial-intelligence/observatory/policies?country=CR; https://www.unesco.org/ethics-ai/en/global-hub</t>
  </si>
  <si>
    <t>https://en.unesco.org/artificial-intelligence/observatory/policies?country=HR; https://www.unesco.org/ethics-ai/en/global-hub</t>
  </si>
  <si>
    <t>https://en.unesco.org/artificial-intelligence/observatory/policies?country=CU; https://www.unesco.org/ethics-ai/en/global-hub</t>
  </si>
  <si>
    <t>https://en.unesco.org/artificial-intelligence/observatory/policies?country=CY; https://www.unesco.org/ethics-ai/en/global-hub</t>
  </si>
  <si>
    <t>https://en.unesco.org/artificial-intelligence/observatory/policies?country=CZ; https://www.unesco.org/ethics-ai/en/global-hub</t>
  </si>
  <si>
    <t>https://en.unesco.org/artificial-intelligence/observatory/policies?country=KP; https://www.unesco.org/ethics-ai/en/global-hub</t>
  </si>
  <si>
    <t>https://en.unesco.org/artificial-intelligence/observatory/policies?country=DK; https://www.unesco.org/ethics-ai/en/global-hub</t>
  </si>
  <si>
    <t>https://en.unesco.org/artificial-intelligence/observatory/policies?country=DJ; https://www.unesco.org/ethics-ai/en/global-hub</t>
  </si>
  <si>
    <t>https://en.unesco.org/artificial-intelligence/observatory/policies?country=DM; https://www.unesco.org/ethics-ai/en/global-hub</t>
  </si>
  <si>
    <t>https://en.unesco.org/artificial-intelligence/observatory/policies?country=DO; https://www.unesco.org/ethics-ai/en/global-hub</t>
  </si>
  <si>
    <t>https://en.unesco.org/artificial-intelligence/observatory/policies?country=EC; https://www.unesco.org/ethics-ai/en/global-hub</t>
  </si>
  <si>
    <t>https://en.unesco.org/artificial-intelligence/observatory/policies?country=EG; https://www.unesco.org/ethics-ai/en/global-hub</t>
  </si>
  <si>
    <t>https://en.unesco.org/artificial-intelligence/observatory/policies?country=SV; https://www.unesco.org/ethics-ai/en/global-hub</t>
  </si>
  <si>
    <t>https://en.unesco.org/artificial-intelligence/observatory/policies?country=GQ; https://www.unesco.org/ethics-ai/en/global-hub</t>
  </si>
  <si>
    <t>https://en.unesco.org/artificial-intelligence/observatory/policies?country=ER; https://www.unesco.org/ethics-ai/en/global-hub</t>
  </si>
  <si>
    <t>https://en.unesco.org/artificial-intelligence/observatory/policies?country=EE; https://www.unesco.org/ethics-ai/en/global-hub</t>
  </si>
  <si>
    <t>https://en.unesco.org/artificial-intelligence/observatory/policies?country=ET; https://www.unesco.org/ethics-ai/en/global-hub</t>
  </si>
  <si>
    <t>https://en.unesco.org/artificial-intelligence/observatory/policies?country=FJ; https://www.unesco.org/ethics-ai/en/global-hub</t>
  </si>
  <si>
    <t>https://en.unesco.org/artificial-intelligence/observatory/policies?country=FI; https://www.unesco.org/ethics-ai/en/global-hub</t>
  </si>
  <si>
    <t>https://en.unesco.org/artificial-intelligence/observatory/policies?country=FR; https://www.unesco.org/ethics-ai/en/global-hub</t>
  </si>
  <si>
    <t>https://en.unesco.org/artificial-intelligence/observatory/policies?country=GA; https://www.unesco.org/ethics-ai/en/global-hub</t>
  </si>
  <si>
    <t>https://en.unesco.org/artificial-intelligence/observatory/policies?country=GM; https://www.unesco.org/ethics-ai/en/global-hub</t>
  </si>
  <si>
    <t>https://en.unesco.org/artificial-intelligence/observatory/policies?country=GE; https://www.unesco.org/ethics-ai/en/global-hub</t>
  </si>
  <si>
    <t>https://en.unesco.org/artificial-intelligence/observatory/policies?country=DE; https://www.unesco.org/ethics-ai/en/global-hub</t>
  </si>
  <si>
    <t>https://en.unesco.org/artificial-intelligence/observatory/policies?country=GH; https://www.unesco.org/ethics-ai/en/global-hub</t>
  </si>
  <si>
    <t>https://en.unesco.org/artificial-intelligence/observatory/policies?country=GR; https://www.unesco.org/ethics-ai/en/global-hub</t>
  </si>
  <si>
    <t>https://en.unesco.org/artificial-intelligence/observatory/policies?country=GD; https://www.unesco.org/ethics-ai/en/global-hub</t>
  </si>
  <si>
    <t>https://en.unesco.org/artificial-intelligence/observatory/policies?country=GT; https://www.unesco.org/ethics-ai/en/global-hub</t>
  </si>
  <si>
    <t>https://en.unesco.org/artificial-intelligence/observatory/policies?country=GN; https://www.unesco.org/ethics-ai/en/global-hub</t>
  </si>
  <si>
    <t>https://en.unesco.org/artificial-intelligence/observatory/policies?country=GW; https://www.unesco.org/ethics-ai/en/global-hub</t>
  </si>
  <si>
    <t>https://en.unesco.org/artificial-intelligence/observatory/policies?country=GY; https://www.unesco.org/ethics-ai/en/global-hub</t>
  </si>
  <si>
    <t>https://en.unesco.org/artificial-intelligence/observatory/policies?country=HT; https://www.unesco.org/ethics-ai/en/global-hub</t>
  </si>
  <si>
    <t>https://en.unesco.org/artificial-intelligence/observatory/policies?country=HN; https://www.unesco.org/ethics-ai/en/global-hub</t>
  </si>
  <si>
    <t>https://en.unesco.org/artificial-intelligence/observatory/policies?country=HU; https://www.unesco.org/ethics-ai/en/global-hub</t>
  </si>
  <si>
    <t>https://en.unesco.org/artificial-intelligence/observatory/policies?country=IS; https://www.unesco.org/ethics-ai/en/global-hub</t>
  </si>
  <si>
    <t>https://en.unesco.org/artificial-intelligence/observatory/policies?country=IN; https://www.unesco.org/ethics-ai/en/global-hub</t>
  </si>
  <si>
    <t>https://en.unesco.org/artificial-intelligence/observatory/policies?country=ID; https://www.unesco.org/ethics-ai/en/global-hub</t>
  </si>
  <si>
    <t>https://en.unesco.org/artificial-intelligence/observatory/policies?country=IQ; https://www.unesco.org/ethics-ai/en/global-hub</t>
  </si>
  <si>
    <t>https://en.unesco.org/artificial-intelligence/observatory/policies?country=IE; https://www.unesco.org/ethics-ai/en/global-hub</t>
  </si>
  <si>
    <t>https://en.unesco.org/artificial-intelligence/observatory/policies?country=IL; https://www.unesco.org/ethics-ai/en/global-hub</t>
  </si>
  <si>
    <t>https://en.unesco.org/artificial-intelligence/observatory/policies?country=IT; https://www.unesco.org/ethics-ai/en/global-hub</t>
  </si>
  <si>
    <t>https://en.unesco.org/artificial-intelligence/observatory/policies?country=JM; https://www.unesco.org/ethics-ai/en/global-hub</t>
  </si>
  <si>
    <t>https://en.unesco.org/artificial-intelligence/observatory/policies?country=JP; https://www.unesco.org/ethics-ai/en/global-hub</t>
  </si>
  <si>
    <t>https://en.unesco.org/artificial-intelligence/observatory/policies?country=JO; https://www.unesco.org/ethics-ai/en/global-hub</t>
  </si>
  <si>
    <t>https://en.unesco.org/artificial-intelligence/observatory/policies?country=KZ; https://www.unesco.org/ethics-ai/en/global-hub</t>
  </si>
  <si>
    <t>https://en.unesco.org/artificial-intelligence/observatory/policies?country=KE; https://www.unesco.org/ethics-ai/en/global-hub</t>
  </si>
  <si>
    <t>https://en.unesco.org/artificial-intelligence/observatory/policies?country=KI; https://www.unesco.org/ethics-ai/en/global-hub</t>
  </si>
  <si>
    <t>https://en.unesco.org/artificial-intelligence/observatory/policies?country=KW; https://www.unesco.org/ethics-ai/en/global-hub</t>
  </si>
  <si>
    <t>https://en.unesco.org/artificial-intelligence/observatory/policies?country=KG; https://www.unesco.org/ethics-ai/en/global-hub</t>
  </si>
  <si>
    <t>https://en.unesco.org/artificial-intelligence/observatory/policies?country=LA; https://www.unesco.org/ethics-ai/en/global-hub</t>
  </si>
  <si>
    <t>https://en.unesco.org/artificial-intelligence/observatory/policies?country=LV; https://www.unesco.org/ethics-ai/en/global-hub</t>
  </si>
  <si>
    <t>https://en.unesco.org/artificial-intelligence/observatory/policies?country=LB; https://www.unesco.org/ethics-ai/en/global-hub</t>
  </si>
  <si>
    <t>https://en.unesco.org/artificial-intelligence/observatory/policies?country=LS; https://www.unesco.org/ethics-ai/en/global-hub</t>
  </si>
  <si>
    <t>https://en.unesco.org/artificial-intelligence/observatory/policies?country=LR; https://www.unesco.org/ethics-ai/en/global-hub</t>
  </si>
  <si>
    <t>https://en.unesco.org/artificial-intelligence/observatory/policies?country=LY; https://www.unesco.org/ethics-ai/en/global-hub</t>
  </si>
  <si>
    <t>https://en.unesco.org/artificial-intelligence/observatory/policies?country=LI; https://www.unesco.org/ethics-ai/en/global-hub</t>
  </si>
  <si>
    <t>https://en.unesco.org/artificial-intelligence/observatory/policies?country=LT; https://www.unesco.org/ethics-ai/en/global-hub</t>
  </si>
  <si>
    <t>https://en.unesco.org/artificial-intelligence/observatory/policies?country=LU; https://www.unesco.org/ethics-ai/en/global-hub</t>
  </si>
  <si>
    <t>https://en.unesco.org/artificial-intelligence/observatory/policies?country=MG; https://www.unesco.org/ethics-ai/en/global-hub</t>
  </si>
  <si>
    <t>https://en.unesco.org/artificial-intelligence/observatory/policies?country=MW; https://www.unesco.org/ethics-ai/en/global-hub</t>
  </si>
  <si>
    <t>https://en.unesco.org/artificial-intelligence/observatory/policies?country=MY; https://www.unesco.org/ethics-ai/en/global-hub</t>
  </si>
  <si>
    <t>https://en.unesco.org/artificial-intelligence/observatory/policies?country=MV; https://www.unesco.org/ethics-ai/en/global-hub</t>
  </si>
  <si>
    <t>https://en.unesco.org/artificial-intelligence/observatory/policies?country=ML; https://www.unesco.org/ethics-ai/en/global-hub</t>
  </si>
  <si>
    <t>https://en.unesco.org/artificial-intelligence/observatory/policies?country=MT; https://www.unesco.org/ethics-ai/en/global-hub</t>
  </si>
  <si>
    <t>https://en.unesco.org/artificial-intelligence/observatory/policies?country=MH; https://www.unesco.org/ethics-ai/en/global-hub</t>
  </si>
  <si>
    <t>https://en.unesco.org/artificial-intelligence/observatory/policies?country=MR; https://www.unesco.org/ethics-ai/en/global-hub</t>
  </si>
  <si>
    <t>https://en.unesco.org/artificial-intelligence/observatory/policies?country=MU; https://www.unesco.org/ethics-ai/en/global-hub</t>
  </si>
  <si>
    <t>https://en.unesco.org/artificial-intelligence/observatory/policies?country=MX; https://www.unesco.org/ethics-ai/en/global-hub</t>
  </si>
  <si>
    <t>https://en.unesco.org/artificial-intelligence/observatory/policies?country=MC; https://www.unesco.org/ethics-ai/en/global-hub</t>
  </si>
  <si>
    <t>https://en.unesco.org/artificial-intelligence/observatory/policies?country=MN; https://www.unesco.org/ethics-ai/en/global-hub</t>
  </si>
  <si>
    <t>https://en.unesco.org/artificial-intelligence/observatory/policies?country=ME; https://www.unesco.org/ethics-ai/en/global-hub</t>
  </si>
  <si>
    <t>https://en.unesco.org/artificial-intelligence/observatory/policies?country=MA; https://www.unesco.org/ethics-ai/en/global-hub</t>
  </si>
  <si>
    <t>https://en.unesco.org/artificial-intelligence/observatory/policies?country=MZ; https://www.unesco.org/ethics-ai/en/global-hub</t>
  </si>
  <si>
    <t>https://en.unesco.org/artificial-intelligence/observatory/policies?country=MM; https://www.unesco.org/ethics-ai/en/global-hub</t>
  </si>
  <si>
    <t>https://en.unesco.org/artificial-intelligence/observatory/policies?country=NA; https://www.unesco.org/ethics-ai/en/global-hub</t>
  </si>
  <si>
    <t>https://en.unesco.org/artificial-intelligence/observatory/policies?country=NR; https://www.unesco.org/ethics-ai/en/global-hub</t>
  </si>
  <si>
    <t>https://en.unesco.org/artificial-intelligence/observatory/policies?country=NP; https://www.unesco.org/ethics-ai/en/global-hub</t>
  </si>
  <si>
    <t>https://en.unesco.org/artificial-intelligence/observatory/policies?country=NL; https://www.unesco.org/ethics-ai/en/global-hub</t>
  </si>
  <si>
    <t>https://en.unesco.org/artificial-intelligence/observatory/policies?country=NZ; https://www.unesco.org/ethics-ai/en/global-hub</t>
  </si>
  <si>
    <t>https://en.unesco.org/artificial-intelligence/observatory/policies?country=NI; https://www.unesco.org/ethics-ai/en/global-hub</t>
  </si>
  <si>
    <t>https://en.unesco.org/artificial-intelligence/observatory/policies?country=NE; https://www.unesco.org/ethics-ai/en/global-hub</t>
  </si>
  <si>
    <t>https://en.unesco.org/artificial-intelligence/observatory/policies?country=NG; https://www.unesco.org/ethics-ai/en/global-hub</t>
  </si>
  <si>
    <t>https://en.unesco.org/artificial-intelligence/observatory/policies?country=MK; https://www.unesco.org/ethics-ai/en/global-hub</t>
  </si>
  <si>
    <t>https://en.unesco.org/artificial-intelligence/observatory/policies?country=NO; https://www.unesco.org/ethics-ai/en/global-hub</t>
  </si>
  <si>
    <t>https://en.unesco.org/artificial-intelligence/observatory/policies?country=OM; https://www.unesco.org/ethics-ai/en/global-hub</t>
  </si>
  <si>
    <t>https://en.unesco.org/artificial-intelligence/observatory/policies?country=PK; https://www.unesco.org/ethics-ai/en/global-hub</t>
  </si>
  <si>
    <t>https://en.unesco.org/artificial-intelligence/observatory/policies?country=PW; https://www.unesco.org/ethics-ai/en/global-hub</t>
  </si>
  <si>
    <t>https://en.unesco.org/artificial-intelligence/observatory/policies?country=PA; https://www.unesco.org/ethics-ai/en/global-hub</t>
  </si>
  <si>
    <t>https://en.unesco.org/artificial-intelligence/observatory/policies?country=PG; https://www.unesco.org/ethics-ai/en/global-hub</t>
  </si>
  <si>
    <t>https://en.unesco.org/artificial-intelligence/observatory/policies?country=PY; https://www.unesco.org/ethics-ai/en/global-hub</t>
  </si>
  <si>
    <t>https://en.unesco.org/artificial-intelligence/observatory/policies?country=PE; https://www.unesco.org/ethics-ai/en/global-hub</t>
  </si>
  <si>
    <t>https://en.unesco.org/artificial-intelligence/observatory/policies?country=PH; https://www.unesco.org/ethics-ai/en/global-hub</t>
  </si>
  <si>
    <t>https://en.unesco.org/artificial-intelligence/observatory/policies?country=PL; https://www.unesco.org/ethics-ai/en/global-hub</t>
  </si>
  <si>
    <t>https://en.unesco.org/artificial-intelligence/observatory/policies?country=PT; https://www.unesco.org/ethics-ai/en/global-hub</t>
  </si>
  <si>
    <t>https://en.unesco.org/artificial-intelligence/observatory/policies?country=QA; https://www.unesco.org/ethics-ai/en/global-hub</t>
  </si>
  <si>
    <t>https://en.unesco.org/artificial-intelligence/observatory/policies?country=MD; https://www.unesco.org/ethics-ai/en/global-hub</t>
  </si>
  <si>
    <t>https://en.unesco.org/artificial-intelligence/observatory/policies?country=RO; https://www.unesco.org/ethics-ai/en/global-hub</t>
  </si>
  <si>
    <t>https://en.unesco.org/artificial-intelligence/observatory/policies?country=RU; https://www.unesco.org/ethics-ai/en/global-hub</t>
  </si>
  <si>
    <t>https://en.unesco.org/artificial-intelligence/observatory/policies?country=RW; https://www.unesco.org/ethics-ai/en/global-hub</t>
  </si>
  <si>
    <t>https://en.unesco.org/artificial-intelligence/observatory/policies?country=KN; https://www.unesco.org/ethics-ai/en/global-hub</t>
  </si>
  <si>
    <t>https://en.unesco.org/artificial-intelligence/observatory/policies?country=LC; https://www.unesco.org/ethics-ai/en/global-hub</t>
  </si>
  <si>
    <t>https://en.unesco.org/artificial-intelligence/observatory/policies?country=VC; https://www.unesco.org/ethics-ai/en/global-hub</t>
  </si>
  <si>
    <t>https://en.unesco.org/artificial-intelligence/observatory/policies?country=WS; https://www.unesco.org/ethics-ai/en/global-hub</t>
  </si>
  <si>
    <t>https://en.unesco.org/artificial-intelligence/observatory/policies?country=SM; https://www.unesco.org/ethics-ai/en/global-hub</t>
  </si>
  <si>
    <t>https://en.unesco.org/artificial-intelligence/observatory/policies?country=ST; https://www.unesco.org/ethics-ai/en/global-hub</t>
  </si>
  <si>
    <t>https://en.unesco.org/artificial-intelligence/observatory/policies?country=SA; https://www.unesco.org/ethics-ai/en/global-hub</t>
  </si>
  <si>
    <t>https://en.unesco.org/artificial-intelligence/observatory/policies?country=SN; https://www.unesco.org/ethics-ai/en/global-hub</t>
  </si>
  <si>
    <t>https://en.unesco.org/artificial-intelligence/observatory/policies?country=RS; https://www.unesco.org/ethics-ai/en/global-hub</t>
  </si>
  <si>
    <t>https://en.unesco.org/artificial-intelligence/observatory/policies?country=SC; https://www.unesco.org/ethics-ai/en/global-hub</t>
  </si>
  <si>
    <t>https://en.unesco.org/artificial-intelligence/observatory/policies?country=SL; https://www.unesco.org/ethics-ai/en/global-hub</t>
  </si>
  <si>
    <t>https://en.unesco.org/artificial-intelligence/observatory/policies?country=SG; https://www.unesco.org/ethics-ai/en/global-hub</t>
  </si>
  <si>
    <t>https://en.unesco.org/artificial-intelligence/observatory/policies?country=SK; https://www.unesco.org/ethics-ai/en/global-hub</t>
  </si>
  <si>
    <t>https://en.unesco.org/artificial-intelligence/observatory/policies?country=SI; https://www.unesco.org/ethics-ai/en/global-hub</t>
  </si>
  <si>
    <t>https://en.unesco.org/artificial-intelligence/observatory/policies?country=SB; https://www.unesco.org/ethics-ai/en/global-hub</t>
  </si>
  <si>
    <t>https://en.unesco.org/artificial-intelligence/observatory/policies?country=SO; https://www.unesco.org/ethics-ai/en/global-hub</t>
  </si>
  <si>
    <t>https://en.unesco.org/artificial-intelligence/observatory/policies?country=ZA; https://www.unesco.org/ethics-ai/en/global-hub</t>
  </si>
  <si>
    <t>https://en.unesco.org/artificial-intelligence/observatory/policies?country=SS; https://www.unesco.org/ethics-ai/en/global-hub</t>
  </si>
  <si>
    <t>https://en.unesco.org/artificial-intelligence/observatory/policies?country=ES; https://www.unesco.org/ethics-ai/en/global-hub</t>
  </si>
  <si>
    <t>https://en.unesco.org/artificial-intelligence/observatory/policies?country=LK; https://www.unesco.org/ethics-ai/en/global-hub</t>
  </si>
  <si>
    <t>https://en.unesco.org/artificial-intelligence/observatory/policies?country=SD; https://www.unesco.org/ethics-ai/en/global-hub</t>
  </si>
  <si>
    <t>https://en.unesco.org/artificial-intelligence/observatory/policies?country=SR; https://www.unesco.org/ethics-ai/en/global-hub</t>
  </si>
  <si>
    <t>https://en.unesco.org/artificial-intelligence/observatory/policies?country=SE; https://www.unesco.org/ethics-ai/en/global-hub</t>
  </si>
  <si>
    <t>https://en.unesco.org/artificial-intelligence/observatory/policies?country=CH; https://www.unesco.org/ethics-ai/en/global-hub</t>
  </si>
  <si>
    <t>https://en.unesco.org/artificial-intelligence/observatory/policies?country=SY; https://www.unesco.org/ethics-ai/en/global-hub</t>
  </si>
  <si>
    <t>https://en.unesco.org/artificial-intelligence/observatory/policies?country=TJ; https://www.unesco.org/ethics-ai/en/global-hub</t>
  </si>
  <si>
    <t>https://en.unesco.org/artificial-intelligence/observatory/policies?country=TZ; https://www.unesco.org/ethics-ai/en/global-hub</t>
  </si>
  <si>
    <t>https://en.unesco.org/artificial-intelligence/observatory/policies?country=TH; https://www.unesco.org/ethics-ai/en/global-hub</t>
  </si>
  <si>
    <t>https://en.unesco.org/artificial-intelligence/observatory/policies?country=TL; https://www.unesco.org/ethics-ai/en/global-hub</t>
  </si>
  <si>
    <t>https://en.unesco.org/artificial-intelligence/observatory/policies?country=TG; https://www.unesco.org/ethics-ai/en/global-hub</t>
  </si>
  <si>
    <t>https://en.unesco.org/artificial-intelligence/observatory/policies?country=TO; https://www.unesco.org/ethics-ai/en/global-hub</t>
  </si>
  <si>
    <t>https://en.unesco.org/artificial-intelligence/observatory/policies?country=TT; https://www.unesco.org/ethics-ai/en/global-hub</t>
  </si>
  <si>
    <t>https://en.unesco.org/artificial-intelligence/observatory/policies?country=TN; https://www.unesco.org/ethics-ai/en/global-hub</t>
  </si>
  <si>
    <t>https://en.unesco.org/artificial-intelligence/observatory/policies?country=TM; https://www.unesco.org/ethics-ai/en/global-hub</t>
  </si>
  <si>
    <t>https://en.unesco.org/artificial-intelligence/observatory/policies?country=TV; https://www.unesco.org/ethics-ai/en/global-hub</t>
  </si>
  <si>
    <t>https://en.unesco.org/artificial-intelligence/observatory/policies?country=UG; https://www.unesco.org/ethics-ai/en/global-hub</t>
  </si>
  <si>
    <t>https://en.unesco.org/artificial-intelligence/observatory/policies?country=UA; https://www.unesco.org/ethics-ai/en/global-hub</t>
  </si>
  <si>
    <t>https://en.unesco.org/artificial-intelligence/observatory/policies?country=AE; https://www.unesco.org/ethics-ai/en/global-hub</t>
  </si>
  <si>
    <t>https://en.unesco.org/artificial-intelligence/observatory/policies?country=GB; https://www.unesco.org/ethics-ai/en/global-hub</t>
  </si>
  <si>
    <t>https://en.unesco.org/artificial-intelligence/observatory/policies?country=US; https://www.unesco.org/ethics-ai/en/global-hub</t>
  </si>
  <si>
    <t>https://en.unesco.org/artificial-intelligence/observatory/policies?country=UY; https://www.unesco.org/ethics-ai/en/global-hub</t>
  </si>
  <si>
    <t>https://en.unesco.org/artificial-intelligence/observatory/policies?country=UZ; https://www.unesco.org/ethics-ai/en/global-hub</t>
  </si>
  <si>
    <t>https://en.unesco.org/artificial-intelligence/observatory/policies?country=VU; https://www.unesco.org/ethics-ai/en/global-hub</t>
  </si>
  <si>
    <t>https://en.unesco.org/artificial-intelligence/observatory/policies?country=VN; https://www.unesco.org/ethics-ai/en/global-hub</t>
  </si>
  <si>
    <t>https://en.unesco.org/artificial-intelligence/observatory/policies?country=YE; https://www.unesco.org/ethics-ai/en/global-hub</t>
  </si>
  <si>
    <t>https://en.unesco.org/artificial-intelligence/observatory/policies?country=ZM; https://www.unesco.org/ethics-ai/en/global-hub</t>
  </si>
  <si>
    <t>https://en.unesco.org/artificial-intelligence/observatory/policies?country=ZW; https://www.unesco.org/ethics-ai/en/global-hub</t>
  </si>
  <si>
    <t>None – No comprehensive data protection law; minor privacy in Electronic Transactions and Signatures Law 2017</t>
  </si>
  <si>
    <t>In force – Law No. 9887/2008 on Protection of Personal Data (amended 2014), GDPR-style</t>
  </si>
  <si>
    <t>In force – Law 18-07 on Protection of Individuals in Processing of Personal Data (2018, weak enforcement)</t>
  </si>
  <si>
    <t>In force – Qualified Law 29/2021 on Personal Data Protection (GDPR-aligned)</t>
  </si>
  <si>
    <t>In force (Lei 22/11 – Protecção de Dados Pessoais; APD operational)</t>
  </si>
  <si>
    <t>In force (Data Protection Act 2013)</t>
  </si>
  <si>
    <t>In force (Law 25.326, draft bill to align with GDPR 2022)</t>
  </si>
  <si>
    <t>In force (Law on Personal Data Protection 2015)</t>
  </si>
  <si>
    <t>In force (Privacy Act 1988; ongoing reform to strengthen alignment with GDPR)</t>
  </si>
  <si>
    <t>In force (DSG 2000; GDPR-based)</t>
  </si>
  <si>
    <t>In force (Law on Personal Data 2010; amendments 2021)</t>
  </si>
  <si>
    <t>In force (Data Protection (Privacy of Personal Information) Act 2003)</t>
  </si>
  <si>
    <t>In force (Law No. 30 of 2018 on Personal Data Protection)</t>
  </si>
  <si>
    <t>Draft (Data Protection Act not yet enacted, under consultation 2023–2024)</t>
  </si>
  <si>
    <t>In force (Data Protection Act 2019, in force 2021)</t>
  </si>
  <si>
    <t>In force (Law on Personal Data Protection 2021)</t>
  </si>
  <si>
    <t>In force (GDPR; Belgian Data Protection Act 2018)</t>
  </si>
  <si>
    <t>Draft (Data Protection Bill pending; no enacted law)</t>
  </si>
  <si>
    <t>In force (Law No. 2009-09 on Personal Data Protection)</t>
  </si>
  <si>
    <t>Draft (no comprehensive DP law; draft ICT laws cover some aspects)</t>
  </si>
  <si>
    <t>Draft (Personal Data Protection Bill 2021; not yet enacted)</t>
  </si>
  <si>
    <t>In force (Law on Protection of Personal Data 2006; EU alignment ongoing)</t>
  </si>
  <si>
    <t>In force (Data Protection Act 2018; DPA launched 2021)</t>
  </si>
  <si>
    <t>In force (Lei Geral de Proteção de Dados – LGPD, Law No. 13.709/2018)</t>
  </si>
  <si>
    <t>Draft (no comprehensive DP law; sectoral provisions only)</t>
  </si>
  <si>
    <t>In force (GDPR + Bulgarian PDPA 2002, amended 2018)</t>
  </si>
  <si>
    <t>In force (Law No. 001-2021/AN on Personal Data Protection)</t>
  </si>
  <si>
    <t>None (no comprehensive data protection law)</t>
  </si>
  <si>
    <t>In force (Law No. 133/V/2001, updated 2013)</t>
  </si>
  <si>
    <t>Draft (Personal Data Protection Law under development)</t>
  </si>
  <si>
    <t>In force (Law No. 2010/012 on Cybersecurity and Cybercrime)</t>
  </si>
  <si>
    <t>In force (Law No. 18.007 on Protection of Personal Data, 2018)</t>
  </si>
  <si>
    <t>In force (Law No. 007/PR/2015 on Protection of Personal Data)</t>
  </si>
  <si>
    <t>In force (Law No. 19.628 on Protection of Private Life; reform bill pending)</t>
  </si>
  <si>
    <t>In force (Personal Information Protection Law 2021)</t>
  </si>
  <si>
    <t>In force (Law 1581/2012; statutory law on data protection)</t>
  </si>
  <si>
    <t>Draft (no comprehensive law yet)</t>
  </si>
  <si>
    <t>In force (Law No. 29-2019 on Protection of Personal Data)</t>
  </si>
  <si>
    <t>In force (Law 8968 on Protection of Personal Data of Individuals, 2011)</t>
  </si>
  <si>
    <t>In force (GDPR; Croatian Act on Implementation of GDPR 2018)</t>
  </si>
  <si>
    <t>Draft (no comprehensive DP law; constitutional provisions only)</t>
  </si>
  <si>
    <t>In force (GDPR; Cyprus Law 125(I)/2018 on Implementation)</t>
  </si>
  <si>
    <t>In force (GDPR; Act No. 110/2019 on Personal Data Processing)</t>
  </si>
  <si>
    <t>In force (Law No. 2013-450; ARTCI regulator)</t>
  </si>
  <si>
    <t>None (state surveillance only)</t>
  </si>
  <si>
    <t>In force (Law No. 18/019 of 2018 on Personal Data Protection)</t>
  </si>
  <si>
    <t>In force (GDPR; Data Protection Act 2018)</t>
  </si>
  <si>
    <t>Draft (Law on Protection of Personal Data, not yet adopted)</t>
  </si>
  <si>
    <t>Draft (no comprehensive law in force)</t>
  </si>
  <si>
    <t>In force (Law No. 172-13 on Personal Data Protection, 2013)</t>
  </si>
  <si>
    <t>In force (Organic Law on Protection of Personal Data, 2021)</t>
  </si>
  <si>
    <t>In force (Personal Data Protection Law No. 151, 2020)</t>
  </si>
  <si>
    <t>Draft (bills pending, no law in force)</t>
  </si>
  <si>
    <t>In force (GDPR + Estonia Data Protection Act)</t>
  </si>
  <si>
    <t>Draft (bill circulated; not yet law)</t>
  </si>
  <si>
    <t>Draft (consultations ongoing)</t>
  </si>
  <si>
    <t>In force (GDPR + Finnish Data Protection Act)</t>
  </si>
  <si>
    <t>In force (GDPR + Loi Informatique et Libertés, amended 2018)</t>
  </si>
  <si>
    <t>In force (Law No. 001/2011 on Personal Data Protection)</t>
  </si>
  <si>
    <t>Draft (bill pending)</t>
  </si>
  <si>
    <t>In force (Law on Personal Data Protection, 2012; amended 2021)</t>
  </si>
  <si>
    <t>In force (GDPR + Bundesdatenschutzgesetz, BDSG)</t>
  </si>
  <si>
    <t>In force (Data Protection Act, 2012)</t>
  </si>
  <si>
    <t>In force (GDPR + Law 4624/2019)</t>
  </si>
  <si>
    <t>Draft (bill under discussion)</t>
  </si>
  <si>
    <t>In force (Law L/2016/037/AN on Personal Data Protection)</t>
  </si>
  <si>
    <t>Draft (bills pending, no comprehensive law)</t>
  </si>
  <si>
    <t>Draft (privacy bills pending)</t>
  </si>
  <si>
    <t>Draft (bills pending)</t>
  </si>
  <si>
    <t>In force (GDPR + Privacy Act 2011, amended)</t>
  </si>
  <si>
    <t>In force (GDPR + Act No. 90/2018)</t>
  </si>
  <si>
    <t>In force (Digital Personal Data Protection Act, 2023)</t>
  </si>
  <si>
    <t>In force (Personal Data Protection Law, 2022)</t>
  </si>
  <si>
    <t>Draft (no comprehensive law)</t>
  </si>
  <si>
    <t>In force (GDPR + Data Protection Act, 2018)</t>
  </si>
  <si>
    <t>In force (Privacy Protection Law, 1981; amended)</t>
  </si>
  <si>
    <t>In force (GDPR + Data Protection Code, amended)</t>
  </si>
  <si>
    <t>In force (Data Protection Act, 2020; not fully enforced)</t>
  </si>
  <si>
    <t>In force (APPI, amended 2022)</t>
  </si>
  <si>
    <t>In force (Law on Personal Data and Protection, 2013)</t>
  </si>
  <si>
    <t>In force (Data Protection Act, 2019)</t>
  </si>
  <si>
    <t>In force (Law No. 20 of 2014 on IT Crimes, limited protections)</t>
  </si>
  <si>
    <t>In force (Law on Personal Data, 2017)</t>
  </si>
  <si>
    <t>In force (Law on Electronic Data Protection, 2017)</t>
  </si>
  <si>
    <t>In force (GDPR + national law)</t>
  </si>
  <si>
    <t>In force (E-Transactions and Data Protection Law No. 81/2018)</t>
  </si>
  <si>
    <t>In force (GDPR implemented)</t>
  </si>
  <si>
    <t>In force (Law No. 2014-038)</t>
  </si>
  <si>
    <t>In force (Data Protection Act, 2021)</t>
  </si>
  <si>
    <t>In force (Personal Data Protection Act, 2010)</t>
  </si>
  <si>
    <t>In force (Personal Data Protection Act, 2021)</t>
  </si>
  <si>
    <t>In force (Law No. 2013-015 on Personal Data Protection)</t>
  </si>
  <si>
    <t>In force (Law No. 2017-020 on Personal Data Protection)</t>
  </si>
  <si>
    <t>In force (Data Protection Act, 2017)</t>
  </si>
  <si>
    <t>In force (Federal Law on Protection of Personal Data Held by Private Parties, 2010)</t>
  </si>
  <si>
    <t>In force (GDPR-aligned)</t>
  </si>
  <si>
    <t>In force (Law on Protection of Personal Data, 2021)</t>
  </si>
  <si>
    <t>In force (GDPR-aligned Law on Personal Data Protection, 2018)</t>
  </si>
  <si>
    <t>In force (Law No. 09-08 on Personal Data Protection)</t>
  </si>
  <si>
    <t>Draft (Data Protection Bill pending)</t>
  </si>
  <si>
    <t>Draft (Privacy and Data Protection Bill)</t>
  </si>
  <si>
    <t>In force (Privacy Act 2020)</t>
  </si>
  <si>
    <t>In force (Law No. 787 on Personal Data Protection, 2012)</t>
  </si>
  <si>
    <t>Draft — no comprehensive law</t>
  </si>
  <si>
    <t>In force — Nigeria Data Protection Act (2023)</t>
  </si>
  <si>
    <t>In force — GDPR-aligned (2020)</t>
  </si>
  <si>
    <t>In force — GDPR + national law</t>
  </si>
  <si>
    <t>In force — PDPL 2022</t>
  </si>
  <si>
    <t>Draft — PDP Bill not enacted</t>
  </si>
  <si>
    <t>In force — Law 81 (2019)</t>
  </si>
  <si>
    <t>Draft — Data Protection Bill 2022</t>
  </si>
  <si>
    <t>Draft — bill pending</t>
  </si>
  <si>
    <t>In force — Law No. 29733 (2011)</t>
  </si>
  <si>
    <t>In force — Data Privacy Act (2012)</t>
  </si>
  <si>
    <t>In force — GDPR</t>
  </si>
  <si>
    <t>In force — Law No. 13/2016</t>
  </si>
  <si>
    <t>In force — PIPA (2011)</t>
  </si>
  <si>
    <t>In force — Law 133/2011</t>
  </si>
  <si>
    <t>In force — Federal Law 152-FZ (2006)</t>
  </si>
  <si>
    <t>In force — Data Protection and Privacy Law (2021)</t>
  </si>
  <si>
    <t>Draft — Data Protection Bill introduced 2018, not yet enacted</t>
  </si>
  <si>
    <t>In force — Data Protection Act 2011 (not fully implemented)</t>
  </si>
  <si>
    <t>Draft — DP Bill pending</t>
  </si>
  <si>
    <t>In force — GDPR-aligned law</t>
  </si>
  <si>
    <t>In force — Personal Data Protection Law 2021</t>
  </si>
  <si>
    <t>In force — Law 2008-12 on Personal Data Protection</t>
  </si>
  <si>
    <t>In force — Law on Personal Data Protection (2018, GDPR-aligned)</t>
  </si>
  <si>
    <t>In force — Data Protection Act 2003 (weak)</t>
  </si>
  <si>
    <t>In force — Data Protection Act 2023</t>
  </si>
  <si>
    <t>In force — Personal Data Protection Act (PDPA, 2012)</t>
  </si>
  <si>
    <t>In force — POPIA (2020)</t>
  </si>
  <si>
    <t>In force — GDPR + Organic Law 3/2018</t>
  </si>
  <si>
    <t>In force — Personal Data Protection Act 2022</t>
  </si>
  <si>
    <t>Draft — discussions ongoing, no enacted law</t>
  </si>
  <si>
    <t>Draft only</t>
  </si>
  <si>
    <t>In force — Federal Data Protection Act (rev. 2023)</t>
  </si>
  <si>
    <t>In force — PDPA (2022)</t>
  </si>
  <si>
    <t>In force — Law No. 2019-014 on Personal Data Protection</t>
  </si>
  <si>
    <t>Partial — Data Protection Act 2011 (not fully proclaimed)</t>
  </si>
  <si>
    <t>In force — Law No. 2004-63 on Data Protection</t>
  </si>
  <si>
    <t>In force — Law No. 6698 on the Protection of Personal Data (2016)</t>
  </si>
  <si>
    <t>In force — Data Protection and Privacy Act 2019</t>
  </si>
  <si>
    <t>In force — Law on Personal Data Protection 2010 (GDPR harmonisation ongoing)</t>
  </si>
  <si>
    <t>In force — Federal Data Protection Law (2021)</t>
  </si>
  <si>
    <t>In force — UK GDPR + Data Protection Act 2018</t>
  </si>
  <si>
    <t>No comprehensive law</t>
  </si>
  <si>
    <t>In force — Law No. 18.331</t>
  </si>
  <si>
    <t>In force — Law on Personal Data 2019</t>
  </si>
  <si>
    <t>In force — Decree No. 13/2023</t>
  </si>
  <si>
    <t>In force — Data Protection Act 2021</t>
  </si>
  <si>
    <t>In force — Cybersecurity and Data Protection Act 2021</t>
  </si>
  <si>
    <t>https://unctad.org/page/data-protection-and-privacy-legislation-worldwide; https://www.refworld.org/legal/legislation/natleglaws/2017/afg-2017-01.html</t>
  </si>
  <si>
    <t>https://idp.al/wp-content/uploads/2018/11/Law_9887_2008_EN.pdf; https://www.dataguidance.com/notes/albania-data-protection-overview</t>
  </si>
  <si>
    <t>https://www.dlapiperdataprotection.com/index.html?t=law&amp;c=DZ; https://www.cnil.fr/en/data-protection-around-the-world#algeria</t>
  </si>
  <si>
    <t>https://apda.ad/wp-content/uploads/2021/12/LQPD-EN.pdf; https://www.dataguidance.com/notes/andorra-data-protection-overview</t>
  </si>
  <si>
    <t>https://unctad.org/page/data-protection-and-privacy-legislation-worldwide</t>
  </si>
  <si>
    <t>None – No child data or online safety law; general privacy weakly addressed</t>
  </si>
  <si>
    <t>Partial – General DP law covers children; no child online safety law</t>
  </si>
  <si>
    <t>Partial – General DP law applies to children; no child-specific or online safety law</t>
  </si>
  <si>
    <t>Partial – General DP law covers children; no dedicated child online safety law</t>
  </si>
  <si>
    <t>Yes</t>
  </si>
  <si>
    <t>Partial (child protection law; no COP strategy)</t>
  </si>
  <si>
    <t>Yes (Minors consent + national COP plan)</t>
  </si>
  <si>
    <t>Partial (general child protection; no explicit COP)</t>
  </si>
  <si>
    <t>Yes (Online Safety Act 2021; eSafety Commissioner)</t>
  </si>
  <si>
    <t>Yes (child consent + EU COP initiatives)</t>
  </si>
  <si>
    <t>Partial (general child rights code, no COP strategy)</t>
  </si>
  <si>
    <t>Partial (Child Protection Act; no COP strategy)</t>
  </si>
  <si>
    <t>Partial (general child protection law; no COP strategy)</t>
  </si>
  <si>
    <t>Partial (ICT Child Online Protection strategy via BTRC)</t>
  </si>
  <si>
    <t>Partial (Child Protection Act; no national COP strategy)</t>
  </si>
  <si>
    <t>Partial (Child Rights Code; no COP strategy)</t>
  </si>
  <si>
    <t>Yes (GDPR + COP initiatives with EU/UNICEF)</t>
  </si>
  <si>
    <t>Partial (Child Code; no national COP strategy)</t>
  </si>
  <si>
    <t>Partial (Child Care and Protection Act 2011; no COP strategy)</t>
  </si>
  <si>
    <t>Partial (Child Code; no COP strategy)</t>
  </si>
  <si>
    <t>Partial (child protection laws; no national COP strategy)</t>
  </si>
  <si>
    <t>Partial (Children’s Act 2009; no dedicated COP strategy)</t>
  </si>
  <si>
    <t>Yes (LGPD + Child and Adolescent Statute protections)</t>
  </si>
  <si>
    <t>Partial (Child Online Protection Framework 2014; ICTD programs)</t>
  </si>
  <si>
    <t>Yes (GDPR Art. 8 consent age 14; EU COP initiatives)</t>
  </si>
  <si>
    <t>Partial (Child Protection Code; no COP strategy)</t>
  </si>
  <si>
    <t>Partial (Child and Adolescent Code; no COP strategy)</t>
  </si>
  <si>
    <t>Partial (Child Protection laws; no dedicated COP strategy)</t>
  </si>
  <si>
    <t>Partial (Child protection law; COP initiatives with UNICEF, but no standalone strategy)</t>
  </si>
  <si>
    <t>Partial (Minors Protection Law; online protections, but no unified COP strategy)</t>
  </si>
  <si>
    <t>Yes (child data protected under Constitution and Law 1098/2006)</t>
  </si>
  <si>
    <t>Partial (Child Protection laws; no COP strategy)</t>
  </si>
  <si>
    <t>Yes (constitutional protections + COP initiatives)</t>
  </si>
  <si>
    <t>Yes (EU COP frameworks; national Safer Internet Centre)</t>
  </si>
  <si>
    <t>Partial (Child protection laws; no formal COP strategy)</t>
  </si>
  <si>
    <t>Yes (COP initiatives via national Safer Internet Centre)</t>
  </si>
  <si>
    <t>Yes (COP protections, Safer Internet Centre, GDPR-based)</t>
  </si>
  <si>
    <t>Partial (laws exist; no national COP strategy)</t>
  </si>
  <si>
    <t>No</t>
  </si>
  <si>
    <t>Yes (GDPR COP + national programmes)</t>
  </si>
  <si>
    <t>Partial (general child rights; no COP law)</t>
  </si>
  <si>
    <t>Partial (general child rights provisions; no dedicated COP law)</t>
  </si>
  <si>
    <t>Yes (explicit COP safeguards in law)</t>
  </si>
  <si>
    <t>Partial (general child protections; no COP law)</t>
  </si>
  <si>
    <t>Yes (GDPR COP rules + national programmes)</t>
  </si>
  <si>
    <t>Partial (general protections; no COP law)</t>
  </si>
  <si>
    <t>Partial (general child protections)</t>
  </si>
  <si>
    <t>Yes (GDPR + Safer Internet Centre)</t>
  </si>
  <si>
    <t>Yes (GDPR + national COP protections)</t>
  </si>
  <si>
    <t>Partial (general child protections; no COP framework)</t>
  </si>
  <si>
    <t>Yes (GDPR + national child digital rights frameworks)</t>
  </si>
  <si>
    <t>Partial (general child rights; no COP framework)</t>
  </si>
  <si>
    <t>Yes (GDPR COP + national protections)</t>
  </si>
  <si>
    <t>Partial (general child rights provisions)</t>
  </si>
  <si>
    <t>Yes (GDPR COP + national child policies)</t>
  </si>
  <si>
    <t>Yes (GDPR COP + national child safety initiatives)</t>
  </si>
  <si>
    <t>Partial (parental consent required for under-18)</t>
  </si>
  <si>
    <t>Partial (general child rights; no COP-specific regime)</t>
  </si>
  <si>
    <t>Yes (GDPR COP + Digital Safety Commissioner)</t>
  </si>
  <si>
    <t>Partial (general child protections; no standalone COP law)</t>
  </si>
  <si>
    <t>Yes (GDPR + national COP frameworks)</t>
  </si>
  <si>
    <t>Partial (general child protections; no COP-specific law)</t>
  </si>
  <si>
    <t>Yes (APPI covers minors; national COP efforts)</t>
  </si>
  <si>
    <t>No (general child protections only)</t>
  </si>
  <si>
    <t>Partial (general laws; no COP framework)</t>
  </si>
  <si>
    <t>Partial (children’s data covered in DPA)</t>
  </si>
  <si>
    <t>Partial (general protections)</t>
  </si>
  <si>
    <t>Yes (GDPR COP + national frameworks)</t>
  </si>
  <si>
    <t>Yes (GDPR COP provisions)</t>
  </si>
  <si>
    <t>Partial (no COP-specific law; consumer protections exist)</t>
  </si>
  <si>
    <t>Partial</t>
  </si>
  <si>
    <t>Partial (privacy rules cover minors; no COP-specific law)</t>
  </si>
  <si>
    <t>Partial — provisions under Child Rights Act</t>
  </si>
  <si>
    <t>Yes — Age-Appropriate Design Code (2020)</t>
  </si>
  <si>
    <t>Yes — COPPA</t>
  </si>
  <si>
    <t>https://www.unicef.org/afghanistan/reports/child-protection-afghanistan-2023</t>
  </si>
  <si>
    <t>https://idp.al/wp-content/uploads/2018/11/Law_9887_2008_EN.pdf</t>
  </si>
  <si>
    <t>https://www.dlapiperdataprotection.com/index.html?t=law&amp;c=DZ</t>
  </si>
  <si>
    <t>https://apda.ad/wp-content/uploads/2021/12/LQPD-EN.pdf</t>
  </si>
  <si>
    <t>https://unctad.org/page/data-protection-and-privacy-legislation-worldwide; https://www.unicef.org/angola/</t>
  </si>
  <si>
    <t>https://unctad.org/page/data-protection-and-privacy-legislation-worldwide; https://www.unicef.org/antigua-and-barbuda/</t>
  </si>
  <si>
    <t>https://unctad.org/page/data-protection-and-privacy-legislation-worldwide; https://www.unicef.org/argentina/</t>
  </si>
  <si>
    <t>https://unctad.org/page/data-protection-and-privacy-legislation-worldwide; https://www.unicef.org/armenia/</t>
  </si>
  <si>
    <t>https://unctad.org/page/data-protection-and-privacy-legislation-worldwide; https://www.unicef.org/australia/</t>
  </si>
  <si>
    <t>https://unctad.org/page/data-protection-and-privacy-legislation-worldwide; https://www.unicef.org/austria/</t>
  </si>
  <si>
    <t>https://unctad.org/page/data-protection-and-privacy-legislation-worldwide; https://www.unicef.org/azerbaijan/</t>
  </si>
  <si>
    <t>https://unctad.org/page/data-protection-and-privacy-legislation-worldwide; https://www.unicef.org/bahamas/</t>
  </si>
  <si>
    <t>https://unctad.org/page/data-protection-and-privacy-legislation-worldwide; https://www.unicef.org/bahrain/</t>
  </si>
  <si>
    <t>https://unctad.org/page/data-protection-and-privacy-legislation-worldwide; https://www.unicef.org/bangladesh/</t>
  </si>
  <si>
    <t>https://unctad.org/page/data-protection-and-privacy-legislation-worldwide; https://www.unicef.org/barbados/</t>
  </si>
  <si>
    <t>https://unctad.org/page/data-protection-and-privacy-legislation-worldwide; https://www.unicef.org/belarus/</t>
  </si>
  <si>
    <t>https://unctad.org/page/data-protection-and-privacy-legislation-worldwide; https://www.unicef.org/belgium/</t>
  </si>
  <si>
    <t>https://unctad.org/page/data-protection-and-privacy-legislation-worldwide; https://www.unicef.org/belize/</t>
  </si>
  <si>
    <t>https://unctad.org/page/data-protection-and-privacy-legislation-worldwide; https://www.unicef.org/benin/</t>
  </si>
  <si>
    <t>https://unctad.org/page/data-protection-and-privacy-legislation-worldwide; https://www.unicef.org/bhutan/</t>
  </si>
  <si>
    <t>https://unctad.org/page/data-protection-and-privacy-legislation-worldwide; https://www.unicef.org/bolivia-plurinational-state-of/</t>
  </si>
  <si>
    <t>https://unctad.org/page/data-protection-and-privacy-legislation-worldwide; https://www.unicef.org/bosnia-and-herzegovina/</t>
  </si>
  <si>
    <t>https://unctad.org/page/data-protection-and-privacy-legislation-worldwide; https://www.unicef.org/botswana/</t>
  </si>
  <si>
    <t>https://unctad.org/page/data-protection-and-privacy-legislation-worldwide; https://www.unicef.org/brazil/</t>
  </si>
  <si>
    <t>https://unctad.org/page/data-protection-and-privacy-legislation-worldwide; https://www.unicef.org/brunei-darussalam/</t>
  </si>
  <si>
    <t>https://unctad.org/page/data-protection-and-privacy-legislation-worldwide; https://www.unicef.org/bulgaria/</t>
  </si>
  <si>
    <t>https://unctad.org/page/data-protection-and-privacy-legislation-worldwide; https://www.unicef.org/burkina-faso/</t>
  </si>
  <si>
    <t>https://unctad.org/page/data-protection-and-privacy-legislation-worldwide; https://www.unicef.org/burundi/</t>
  </si>
  <si>
    <t>https://unctad.org/page/data-protection-and-privacy-legislation-worldwide; https://www.unicef.org/cabo-verde/</t>
  </si>
  <si>
    <t>https://unctad.org/page/data-protection-and-privacy-legislation-worldwide; https://www.unicef.org/cambodia/</t>
  </si>
  <si>
    <t>https://unctad.org/page/data-protection-and-privacy-legislation-worldwide; https://www.unicef.org/cameroon/</t>
  </si>
  <si>
    <t>https://unctad.org/page/data-protection-and-privacy-legislation-worldwide; https://www.unicef.org/central-african-republic/</t>
  </si>
  <si>
    <t>https://unctad.org/page/data-protection-and-privacy-legislation-worldwide; https://www.unicef.org/chad/</t>
  </si>
  <si>
    <t>https://unctad.org/page/data-protection-and-privacy-legislation-worldwide; https://www.unicef.org/chile/</t>
  </si>
  <si>
    <t>https://unctad.org/page/data-protection-and-privacy-legislation-worldwide; https://www.unicef.org/china/</t>
  </si>
  <si>
    <t>https://unctad.org/page/data-protection-and-privacy-legislation-worldwide; https://www.unicef.org/colombia/</t>
  </si>
  <si>
    <t>https://unctad.org/page/data-protection-and-privacy-legislation-worldwide; https://www.unicef.org/comoros/</t>
  </si>
  <si>
    <t>https://unctad.org/page/data-protection-and-privacy-legislation-worldwide; https://www.unicef.org/congo-republic-of-the/</t>
  </si>
  <si>
    <t>https://unctad.org/page/data-protection-and-privacy-legislation-worldwide; https://www.unicef.org/costa-rica/</t>
  </si>
  <si>
    <t>https://unctad.org/page/data-protection-and-privacy-legislation-worldwide; https://www.unicef.org/croatia/</t>
  </si>
  <si>
    <t>https://unctad.org/page/data-protection-and-privacy-legislation-worldwide; https://www.unicef.org/cuba/</t>
  </si>
  <si>
    <t>https://unctad.org/page/data-protection-and-privacy-legislation-worldwide; https://www.unicef.org/cyprus/</t>
  </si>
  <si>
    <t>https://unctad.org/page/data-protection-and-privacy-legislation-worldwide; https://www.unicef.org/czechia/</t>
  </si>
  <si>
    <t>https://unctad.org/page/data-protection-and-privacy-legislation-worldwide; https://www.unicef.org/cote-divoire/</t>
  </si>
  <si>
    <t>https://www.unicef.org/democratic-peoples-republic-of-korea/</t>
  </si>
  <si>
    <t>https://unctad.org/page/data-protection-and-privacy-legislation-worldwide; https://www.unicef.org/democratic-republic-of-the-congo/</t>
  </si>
  <si>
    <t>https://unctad.org/page/data-protection-and-privacy-legislation-worldwide; https://www.unicef.org/denmark/</t>
  </si>
  <si>
    <t>https://www.unicef.org/djibouti/</t>
  </si>
  <si>
    <t>https://unctad.org/page/data-protection-and-privacy-legislation-worldwide; https://www.unicef.org/dominica/</t>
  </si>
  <si>
    <t>https://unctad.org/page/data-protection-and-privacy-legislation-worldwide; https://www.unicef.org/dominican-republic/</t>
  </si>
  <si>
    <t>https://unctad.org/page/data-protection-and-privacy-legislation-worldwide; https://www.unicef.org/ecuador/</t>
  </si>
  <si>
    <t>https://unctad.org/page/data-protection-and-privacy-legislation-worldwide; https://www.unicef.org/egypt/</t>
  </si>
  <si>
    <t>https://unctad.org/page/data-protection-and-privacy-legislation-worldwide; https://www.unicef.org/el-salvador/</t>
  </si>
  <si>
    <t>https://www.unicef.org/equatorial-guinea/</t>
  </si>
  <si>
    <t>https://www.unicef.org/eritrea/</t>
  </si>
  <si>
    <t>https://unctad.org/page/data-protection-and-privacy-legislation-worldwide; https://www.unicef.org/estonia/</t>
  </si>
  <si>
    <t>https://unctad.org/page/data-protection-and-privacy-legislation-worldwide; https://www.unicef.org/ethiopia/</t>
  </si>
  <si>
    <t>https://unctad.org/page/data-protection-and-privacy-legislation-worldwide; https://www.unicef.org/fiji/</t>
  </si>
  <si>
    <t>https://unctad.org/page/data-protection-and-privacy-legislation-worldwide; https://www.unicef.org/finland/</t>
  </si>
  <si>
    <t>https://unctad.org/page/data-protection-and-privacy-legislation-worldwide; https://www.unicef.org/france/</t>
  </si>
  <si>
    <t>https://unctad.org/page/data-protection-and-privacy-legislation-worldwide; https://www.unicef.org/gabon/</t>
  </si>
  <si>
    <t>https://www.unicef.org/gambia/</t>
  </si>
  <si>
    <t>https://unctad.org/page/data-protection-and-privacy-legislation-worldwide; https://www.unicef.org/georgia/</t>
  </si>
  <si>
    <t>https://unctad.org/page/data-protection-and-privacy-legislation-worldwide; https://www.unicef.org/germany/</t>
  </si>
  <si>
    <t>https://unctad.org/page/data-protection-and-privacy-legislation-worldwide; https://www.unicef.org/ghana/</t>
  </si>
  <si>
    <t>https://unctad.org/page/data-protection-and-privacy-legislation-worldwide; https://www.unicef.org/greece/</t>
  </si>
  <si>
    <t>https://www.unicef.org/grenada/</t>
  </si>
  <si>
    <t>https://www.unicef.org/guatemala/</t>
  </si>
  <si>
    <t>https://unctad.org/page/data-protection-and-privacy-legislation-worldwide; https://www.unicef.org/guinea/</t>
  </si>
  <si>
    <t>https://www.unicef.org/guinea-bissau/</t>
  </si>
  <si>
    <t>https://unctad.org/page/data-protection-and-privacy-legislation-worldwide; https://www.unicef.org/guyana/</t>
  </si>
  <si>
    <t>https://www.unicef.org/haiti/</t>
  </si>
  <si>
    <t>https://www.unicef.org/honduras/</t>
  </si>
  <si>
    <t>https://unctad.org/page/data-protection-and-privacy-legislation-worldwide; https://www.unicef.org/hungary/</t>
  </si>
  <si>
    <t>https://unctad.org/page/data-protection-and-privacy-legislation-worldwide; https://www.unicef.org/iceland/</t>
  </si>
  <si>
    <t>https://unctad.org/page/data-protection-and-privacy-legislation-worldwide; https://www.unicef.org/india/</t>
  </si>
  <si>
    <t>https://unctad.org/page/data-protection-and-privacy-legislation-worldwide; https://www.unicef.org/indonesia/</t>
  </si>
  <si>
    <t>https://www.unicef.org/iran-islamic-republic-of/</t>
  </si>
  <si>
    <t>https://www.unicef.org/iraq/</t>
  </si>
  <si>
    <t>https://unctad.org/page/data-protection-and-privacy-legislation-worldwide; https://www.unicef.org/ireland/</t>
  </si>
  <si>
    <t>https://unctad.org/page/data-protection-and-privacy-legislation-worldwide; https://www.unicef.org/israel/</t>
  </si>
  <si>
    <t>https://unctad.org/page/data-protection-and-privacy-legislation-worldwide; https://www.unicef.org/italy/</t>
  </si>
  <si>
    <t>https://unctad.org/page/data-protection-and-privacy-legislation-worldwide; https://www.unicef.org/jamaica/</t>
  </si>
  <si>
    <t>https://unctad.org/page/data-protection-and-privacy-legislation-worldwide; https://www.unicef.org/japan/</t>
  </si>
  <si>
    <t>https://unctad.org/page/data-protection-and-privacy-legislation-worldwide; https://www.unicef.org/jordan/</t>
  </si>
  <si>
    <t>https://unctad.org/page/data-protection-and-privacy-legislation-worldwide; https://www.unicef.org/kazakhstan/</t>
  </si>
  <si>
    <t>https://unctad.org/page/data-protection-and-privacy-legislation-worldwide; https://www.unicef.org/kenya/</t>
  </si>
  <si>
    <t>https://www.unicef.org/kiribati/</t>
  </si>
  <si>
    <t>https://www.unicef.org/kuwait/</t>
  </si>
  <si>
    <t>https://unctad.org/page/data-protection-and-privacy-legislation-worldwide; https://www.unicef.org/kyrgyzstan/</t>
  </si>
  <si>
    <t>https://www.unicef.org/lao-peoples-democratic-republic/</t>
  </si>
  <si>
    <t>https://unctad.org/page/data-protection-and-privacy-legislation-worldwide; https://www.unicef.org/latvia/</t>
  </si>
  <si>
    <t>https://www.unicef.org/lebanon/</t>
  </si>
  <si>
    <t>https://unctad.org/page/data-protection-and-privacy-legislation-worldwide; https://www.unicef.org/lesotho/</t>
  </si>
  <si>
    <t>https://www.unicef.org/liberia/</t>
  </si>
  <si>
    <t>https://www.unicef.org/libya/</t>
  </si>
  <si>
    <t>https://unctad.org/page/data-protection-and-privacy-legislation-worldwide; https://www.unicef.org/liechtenstein/</t>
  </si>
  <si>
    <t>https://unctad.org/page/data-protection-and-privacy-legislation-worldwide; https://www.unicef.org/lithuania/</t>
  </si>
  <si>
    <t>https://unctad.org/page/data-protection-and-privacy-legislation-worldwide; https://www.unicef.org/luxembourg/</t>
  </si>
  <si>
    <t>https://www.unicef.org/madagascar/</t>
  </si>
  <si>
    <t>https://unctad.org/page/data-protection-and-privacy-legislation-worldwide; https://www.unicef.org/malawi/</t>
  </si>
  <si>
    <t>https://unctad.org/page/data-protection-and-privacy-legislation-worldwide; https://www.unicef.org/malaysia/</t>
  </si>
  <si>
    <t>https://www.unicef.org/maldives/</t>
  </si>
  <si>
    <t>https://www.unicef.org/mali/</t>
  </si>
  <si>
    <t>https://unctad.org/page/data-protection-and-privacy-legislation-worldwide; https://www.unicef.org/malta/</t>
  </si>
  <si>
    <t>https://www.unicef.org/marshall-islands/</t>
  </si>
  <si>
    <t>https://www.unicef.org/mauritania/</t>
  </si>
  <si>
    <t>https://unctad.org/page/data-protection-and-privacy-legislation-worldwide; https://www.unicef.org/mauritius/</t>
  </si>
  <si>
    <t>https://unctad.org/page/data-protection-and-privacy-legislation-worldwide; https://www.unicef.org/mexico/</t>
  </si>
  <si>
    <t>https://www.unicef.org/micronesia-federated-states-of/</t>
  </si>
  <si>
    <t>https://unctad.org/page/data-protection-and-privacy-legislation-worldwide; https://www.unicef.org/monaco/</t>
  </si>
  <si>
    <t>https://unctad.org/page/data-protection-and-privacy-legislation-worldwide; https://www.unicef.org/mongolia/</t>
  </si>
  <si>
    <t>https://unctad.org/page/data-protection-and-privacy-legislation-worldwide; https://www.unicef.org/montenegro/</t>
  </si>
  <si>
    <t>https://www.unicef.org/morocco/</t>
  </si>
  <si>
    <t>https://www.unicef.org/mozambique/</t>
  </si>
  <si>
    <t>https://www.unicef.org/myanmar/</t>
  </si>
  <si>
    <t>https://www.unicef.org/namibia/</t>
  </si>
  <si>
    <t>https://www.unicef.org/nauru/</t>
  </si>
  <si>
    <t>https://www.unicef.org/nepal/</t>
  </si>
  <si>
    <t>https://unctad.org/page/data-protection-and-privacy-legislation-worldwide; https://www.unicef.org/netherlands/</t>
  </si>
  <si>
    <t>https://unctad.org/page/data-protection-and-privacy-legislation-worldwide; https://www.unicef.org/new-zealand/</t>
  </si>
  <si>
    <t>https://www.unicef.org/nicaragua/</t>
  </si>
  <si>
    <t>https://www.unicef.org/niger/</t>
  </si>
  <si>
    <t>https://unctad.org/page/data-protection-and-privacy-legislation-worldwide; https://www.unicef.org/nigeria/</t>
  </si>
  <si>
    <t>https://unctad.org/page/data-protection-and-privacy-legislation-worldwide; https://www.unicef.org/north-macedonia/</t>
  </si>
  <si>
    <t>https://unctad.org/page/data-protection-and-privacy-legislation-worldwide; https://www.unicef.org/norway/</t>
  </si>
  <si>
    <t>https://www.unicef.org/oman/</t>
  </si>
  <si>
    <t>https://www.unicef.org/pakistan/</t>
  </si>
  <si>
    <t>https://www.unicef.org/palau/</t>
  </si>
  <si>
    <t>https://unctad.org/page/data-protection-and-privacy-legislation-worldwide; https://www.unicef.org/panama/</t>
  </si>
  <si>
    <t>https://www.unicef.org/papua-new-guinea/</t>
  </si>
  <si>
    <t>https://www.unicef.org/paraguay/</t>
  </si>
  <si>
    <t>https://unctad.org/page/data-protection-and-privacy-legislation-worldwide; https://www.unicef.org/peru/</t>
  </si>
  <si>
    <t>https://unctad.org/page/data-protection-and-privacy-legislation-worldwide; https://www.unicef.org/philippines/</t>
  </si>
  <si>
    <t>https://unctad.org/page/data-protection-and-privacy-legislation-worldwide; https://www.unicef.org/poland/</t>
  </si>
  <si>
    <t>https://unctad.org/page/data-protection-and-privacy-legislation-worldwide; https://www.unicef.org/portugal/</t>
  </si>
  <si>
    <t>https://www.unicef.org/qatar/</t>
  </si>
  <si>
    <t>https://unctad.org/page/data-protection-and-privacy-legislation-worldwide; https://www.unicef.org/republic-of-korea/</t>
  </si>
  <si>
    <t>https://unctad.org/page/data-protection-and-privacy-legislation-worldwide; https://www.unicef.org/republic-of-moldova/</t>
  </si>
  <si>
    <t>https://unctad.org/page/data-protection-and-privacy-legislation-worldwide; https://www.unicef.org/romania/</t>
  </si>
  <si>
    <t>https://www.unicef.org/russian-federation/</t>
  </si>
  <si>
    <t>https://unctad.org/page/data-protection-and-privacy-legislation-worldwide; https://www.unicef.org/rwanda/</t>
  </si>
  <si>
    <t>https://www.unicef.org/saint-kitts-and-nevis/</t>
  </si>
  <si>
    <t>https://www.unicef.org/saint-lucia/</t>
  </si>
  <si>
    <t>https://www.unicef.org/saint-vincent-and-the-grenadines/</t>
  </si>
  <si>
    <t>https://www.unicef.org/samoa/</t>
  </si>
  <si>
    <t>https://unctad.org/page/data-protection-and-privacy-legislation-worldwide; https://www.unicef.org/san-marino/</t>
  </si>
  <si>
    <t>https://www.unicef.org/sao-tome-and-principe/</t>
  </si>
  <si>
    <t>https://www.unicef.org/saudi-arabia/</t>
  </si>
  <si>
    <t>https://unctad.org/page/data-protection-and-privacy-legislation-worldwide; https://www.unicef.org/senegal/</t>
  </si>
  <si>
    <t>https://unctad.org/page/data-protection-and-privacy-legislation-worldwide; https://www.unicef.org/serbia/</t>
  </si>
  <si>
    <t>https://www.unicef.org/seychelles/</t>
  </si>
  <si>
    <t>https://unctad.org/page/data-protection-and-privacy-legislation-worldwide; https://www.unicef.org/sierra-leone/</t>
  </si>
  <si>
    <t>https://unctad.org/page/data-protection-and-privacy-legislation-worldwide; https://www.unicef.org/singapore/</t>
  </si>
  <si>
    <t>https://unctad.org/page/data-protection-and-privacy-legislation-worldwide; https://www.unicef.org/slovakia/</t>
  </si>
  <si>
    <t>https://unctad.org/page/data-protection-and-privacy-legislation-worldwide; https://www.unicef.org/slovenia/</t>
  </si>
  <si>
    <t>https://www.unicef.org/solomon-islands/</t>
  </si>
  <si>
    <t>https://www.unicef.org/somalia/</t>
  </si>
  <si>
    <t>https://unctad.org/page/data-protection-and-privacy-legislation-worldwide; https://www.unicef.org/south-africa/</t>
  </si>
  <si>
    <t>https://www.unicef.org/south-sudan/</t>
  </si>
  <si>
    <t>https://unctad.org/page/data-protection-and-privacy-legislation-worldwide; https://www.unicef.org/spain/</t>
  </si>
  <si>
    <t>https://unctad.org/page/data-protection-and-privacy-legislation-worldwide; https://www.unicef.org/sri-lanka/</t>
  </si>
  <si>
    <t>https://www.unicef.org/state-of-palestine/</t>
  </si>
  <si>
    <t>https://www.unicef.org/sudan/</t>
  </si>
  <si>
    <t>https://www.unicef.org/suriname/</t>
  </si>
  <si>
    <t>https://unctad.org/page/data-protection-and-privacy-legislation-worldwide; https://www.unicef.org/sweden/</t>
  </si>
  <si>
    <t>https://unctad.org/page/data-protection-and-privacy-legislation-worldwide; https://www.unicef.org/switzerland/</t>
  </si>
  <si>
    <t>https://www.unicef.org/syrian-arab-republic/</t>
  </si>
  <si>
    <t>https://www.unicef.org/tajikistan/</t>
  </si>
  <si>
    <t>https://www.unicef.org/tanzania/</t>
  </si>
  <si>
    <t>https://unctad.org/page/data-protection-and-privacy-legislation-worldwide; https://www.unicef.org/thailand/</t>
  </si>
  <si>
    <t>https://www.unicef.org/timor-leste/</t>
  </si>
  <si>
    <t>https://unctad.org/page/data-protection-and-privacy-legislation-worldwide; https://www.unicef.org/togo/</t>
  </si>
  <si>
    <t>https://www.unicef.org/tonga/</t>
  </si>
  <si>
    <t>https://unctad.org/page/data-protection-and-privacy-legislation-worldwide; https://www.unicef.org/trinidad-and-tobago/</t>
  </si>
  <si>
    <t>https://unctad.org/page/data-protection-and-privacy-legislation-worldwide; https://www.unicef.org/tunisia/</t>
  </si>
  <si>
    <t>https://unctad.org/page/data-protection-and-privacy-legislation-worldwide; https://www.unicef.org/turkiye/</t>
  </si>
  <si>
    <t>https://www.unicef.org/turkmenistan/</t>
  </si>
  <si>
    <t>https://www.unicef.org/tuvalu/</t>
  </si>
  <si>
    <t>https://unctad.org/page/data-protection-and-privacy-legislation-worldwide; https://www.unicef.org/uganda/</t>
  </si>
  <si>
    <t>https://unctad.org/page/data-protection-and-privacy-legislation-worldwide; https://www.unicef.org/ukraine/</t>
  </si>
  <si>
    <t>https://unctad.org/page/data-protection-and-privacy-legislation-worldwide; https://www.unicef.org/united-arab-emirates/</t>
  </si>
  <si>
    <t>https://unctad.org/page/data-protection-and-privacy-legislation-worldwide; https://www.unicef.org/united-kingdom-of-great-britain-and-northern-ireland/</t>
  </si>
  <si>
    <t>https://unctad.org/page/data-protection-and-privacy-legislation-worldwide; https://www.unicef.org/united-states-of-america/</t>
  </si>
  <si>
    <t>https://unctad.org/page/data-protection-and-privacy-legislation-worldwide; https://www.unicef.org/uruguay/</t>
  </si>
  <si>
    <t>https://www.unicef.org/uzbekistan/</t>
  </si>
  <si>
    <t>https://www.unicef.org/vanuatu/</t>
  </si>
  <si>
    <t>https://www.unicef.org/venezuela-bolivarian-republic-of/</t>
  </si>
  <si>
    <t>https://unctad.org/page/data-protection-and-privacy-legislation-worldwide; https://www.unicef.org/viet-nam/</t>
  </si>
  <si>
    <t>https://www.unicef.org/yemen/</t>
  </si>
  <si>
    <t>https://unctad.org/page/data-protection-and-privacy-legislation-worldwide; https://www.unicef.org/zambia/</t>
  </si>
  <si>
    <t>https://www.unicef.org/zimbabwe/</t>
  </si>
  <si>
    <t>No – SOGI not listed; privacy law does not mention sensitive data (ETSL 2017)</t>
  </si>
  <si>
    <t>Yes – SOGI listed as special category in Law No. 9887/2008, Art.6</t>
  </si>
  <si>
    <t>No – SOGI not listed as sensitive data in Law 18-07 (2018)</t>
  </si>
  <si>
    <t>Yes – SOGI recognized as special category in Law 29/2021, Art.9</t>
  </si>
  <si>
    <t>Partial/Unclear</t>
  </si>
  <si>
    <t>Yes (explicit in law)</t>
  </si>
  <si>
    <t>No (sexual orientation not in sensitive categories)</t>
  </si>
  <si>
    <t>Yes (sensitive information includes sexual orientation)</t>
  </si>
  <si>
    <t>Yes (GDPR scope)</t>
  </si>
  <si>
    <t>No (orientation not in sensitive categories)</t>
  </si>
  <si>
    <t>No (not explicit in law)</t>
  </si>
  <si>
    <t>No (orientation not listed)</t>
  </si>
  <si>
    <t>No (orientation not explicit in sensitive categories)</t>
  </si>
  <si>
    <t>Yes (explicitly includes sexual orientation)</t>
  </si>
  <si>
    <t>No (not explicitly in law)</t>
  </si>
  <si>
    <t>Yes (sensitive data includes sexual orientation, gender identity in reform bill)</t>
  </si>
  <si>
    <t>No (not listed in law)</t>
  </si>
  <si>
    <t>Yes (explicitly recognised as sensitive data under Law 1581/2012)</t>
  </si>
  <si>
    <t>Yes (sensitive data includes sexual orientation under law)</t>
  </si>
  <si>
    <t>Yes (GDPR)</t>
  </si>
  <si>
    <t>Yes (sexual orientation listed as sensitive data)</t>
  </si>
  <si>
    <t>Yes (covered under GDPR)</t>
  </si>
  <si>
    <t>Partial (referenced in draft law)</t>
  </si>
  <si>
    <t>Yes (protected under law)</t>
  </si>
  <si>
    <t>Yes (equality and data protection provisions)</t>
  </si>
  <si>
    <t>Partial (covered via interpretation; not explicit)</t>
  </si>
  <si>
    <t>No explicit provisions</t>
  </si>
  <si>
    <t>No explicit protection</t>
  </si>
  <si>
    <t>No explicit recognition</t>
  </si>
  <si>
    <t>Partial — gender identity protections debated</t>
  </si>
  <si>
    <t>https://www.refworld.org/legal/legislation/natleglaws/2017/afg-2017-01.html; https://unctad.org/page/data-protection-and-privacy-legislation-worldwide</t>
  </si>
  <si>
    <t>https://idp.al/wp-content/uploads/2018/11/Law_9887_2008_EN.pdf (Art. 6)</t>
  </si>
  <si>
    <t>https://www.cnil.fr/en/data-protection-around-the-world#algeria</t>
  </si>
  <si>
    <t>https://apda.ad/wp-content/uploads/2021/12/LQPD-EN.pdf (Art. 9)</t>
  </si>
  <si>
    <t>No DPA – No data protection authority (2024)</t>
  </si>
  <si>
    <t>Independent DPA – Commissioner for Right to Information &amp; Protection of Personal Data (Law No. 9887/2008)</t>
  </si>
  <si>
    <t>DPA exists but not independent – National Authority for Protection of Personal Data, appointed by executive (Art.29, Law 18-07)</t>
  </si>
  <si>
    <t>Independent DPA – Andorran Data Protection Agency (APDA, Law 29/2021)</t>
  </si>
  <si>
    <t>Moderate</t>
  </si>
  <si>
    <t>Moderate (Office of the Data Protection Commissioner)</t>
  </si>
  <si>
    <t>Moderate (AAIP under executive)</t>
  </si>
  <si>
    <t>Weak (Commissioner under Ministry of Justice)</t>
  </si>
  <si>
    <t>Strong/Independent (OAIC)</t>
  </si>
  <si>
    <t>Strong/Independent (DSB)</t>
  </si>
  <si>
    <t>Weak (supervision under executive ministry)</t>
  </si>
  <si>
    <t>Moderate (Data Protection Commissioner under executive)</t>
  </si>
  <si>
    <t>Moderate (Personal Data Protection Authority under Ministry of Justice)</t>
  </si>
  <si>
    <t>Weak (no independent DPA, regulator BTRC under government)</t>
  </si>
  <si>
    <t>Moderate (Data Protection Commissioner established)</t>
  </si>
  <si>
    <t>Weak (supervisory authority under executive)</t>
  </si>
  <si>
    <t>Strong/Independent (APD/GBA)</t>
  </si>
  <si>
    <t>Weak (no independent DPA yet)</t>
  </si>
  <si>
    <t>Moderate (APDP operational)</t>
  </si>
  <si>
    <t>Weak (no independent DPA)</t>
  </si>
  <si>
    <t>Weak (no operational DPA)</t>
  </si>
  <si>
    <t>Moderate (Personal Data Protection Agency of Bosnia and Herzegovina)</t>
  </si>
  <si>
    <t>Moderate (ANPD created under Presidency, autonomy strengthened 2022)</t>
  </si>
  <si>
    <t>Strong/Independent (CPDP)</t>
  </si>
  <si>
    <t>Moderate (CIL created as independent authority)</t>
  </si>
  <si>
    <t>Moderate (CNPD created as authority)</t>
  </si>
  <si>
    <t>Weak (no independent DPA established yet)</t>
  </si>
  <si>
    <t>Weak (no independent DPA; MINPOSTEL oversees data issues)</t>
  </si>
  <si>
    <t>Moderate (Data Protection Authority ANPDP established)</t>
  </si>
  <si>
    <t>Moderate (ANPDP created as authority)</t>
  </si>
  <si>
    <t>Weak (Council for Transparency has limited role; new DPA bill pending)</t>
  </si>
  <si>
    <t>Weak (Cyberspace Administration of China under State Council)</t>
  </si>
  <si>
    <t>Strong/Independent (Superintendency of Industry and Commerce)</t>
  </si>
  <si>
    <t>Weak (no operational independent authority)</t>
  </si>
  <si>
    <t>Moderate (CNIL established as data protection authority)</t>
  </si>
  <si>
    <t>Moderate (PRODHAB under Ministry of Justice; not fully independent)</t>
  </si>
  <si>
    <t>Strong/Independent (Croatian Personal Data Protection Agency - AZOP)</t>
  </si>
  <si>
    <t>Weak (no independent DPA; state ministries oversee data)</t>
  </si>
  <si>
    <t>Strong/Independent (Office of the Commissioner for Personal Data Protection)</t>
  </si>
  <si>
    <t>Strong/Independent (Office for Personal Data Protection - UOOU)</t>
  </si>
  <si>
    <t>Moderate (ARTCI operational)</t>
  </si>
  <si>
    <t>Weak (no independent authority)</t>
  </si>
  <si>
    <t>Moderate (new authority; limited effectiveness)</t>
  </si>
  <si>
    <t>Strong/Independent</t>
  </si>
  <si>
    <t>Weak (no functioning authority)</t>
  </si>
  <si>
    <t>Weak (no dedicated DPA)</t>
  </si>
  <si>
    <t>Moderate (DPA exists but limited capacity)</t>
  </si>
  <si>
    <t>Strong/Independent (Superintendence established)</t>
  </si>
  <si>
    <t>Weak (under Ministry of Communications)</t>
  </si>
  <si>
    <t>None (no DPA)</t>
  </si>
  <si>
    <t>None (no authority)</t>
  </si>
  <si>
    <t>Strong/Independent (Data Protection Inspectorate)</t>
  </si>
  <si>
    <t>None (draft proposes authority)</t>
  </si>
  <si>
    <t>Weak (not independent)</t>
  </si>
  <si>
    <t>Strong/Independent (Office of Data Protection Ombudsman)</t>
  </si>
  <si>
    <t>Strong/Independent (CNIL)</t>
  </si>
  <si>
    <t>Moderate (CNPDCP exists, limited independence)</t>
  </si>
  <si>
    <t>Strong/Independent (State Inspector’s Service until 2022; restructured)</t>
  </si>
  <si>
    <t>Strong/Independent (Federal Commissioner BfDI + state DPAs)</t>
  </si>
  <si>
    <t>Moderate (Data Protection Commission; limited capacity)</t>
  </si>
  <si>
    <t>Strong/Independent (Hellenic Data Protection Authority)</t>
  </si>
  <si>
    <t>Weak (authority exists, limited independence)</t>
  </si>
  <si>
    <t>Strong/Independent (NAIH)</t>
  </si>
  <si>
    <t>Strong/Independent (Persónuvernd)</t>
  </si>
  <si>
    <t>Weak (Data Protection Board under government)</t>
  </si>
  <si>
    <t>Weak (regulator under Ministry of Communication)</t>
  </si>
  <si>
    <t>Strong/Independent (Data Protection Commission)</t>
  </si>
  <si>
    <t>Moderate (Privacy Protection Authority under Ministry of Justice)</t>
  </si>
  <si>
    <t>Strong/Independent (Garante)</t>
  </si>
  <si>
    <t>Weak (Office of the Information Commissioner developing)</t>
  </si>
  <si>
    <t>Strong/Independent (PPC Japan)</t>
  </si>
  <si>
    <t>None (regulator not operational)</t>
  </si>
  <si>
    <t>Weak (regulator under Ministry of Digital Development)</t>
  </si>
  <si>
    <t>Moderate (ODPC semi-independent)</t>
  </si>
  <si>
    <t>Weak (regulator under government)</t>
  </si>
  <si>
    <t>Weak (regulator under Ministry of Posts/Telecoms)</t>
  </si>
  <si>
    <t>Strong/Independent (Data State Inspectorate)</t>
  </si>
  <si>
    <t>Weak (regulator under Ministry of Economy and Trade)</t>
  </si>
  <si>
    <t>Strong/Independent (Data Protection Office)</t>
  </si>
  <si>
    <t>Strong/Independent (State Data Protection Inspectorate)</t>
  </si>
  <si>
    <t>Strong/Independent (CNPD)</t>
  </si>
  <si>
    <t>Moderate (framework established; limited independence)</t>
  </si>
  <si>
    <t>Weak (commissioner under Ministry of Communications)</t>
  </si>
  <si>
    <t>Weak (regulator within Ministry of Environment, Climate Change &amp; Technology)</t>
  </si>
  <si>
    <t>Moderate (Malian DPA established)</t>
  </si>
  <si>
    <t>Strong/Independent (Information and Data Protection Commissioner)</t>
  </si>
  <si>
    <t>Strong/Independent (Data Protection Commissioner)</t>
  </si>
  <si>
    <t>Strong/Independent (INAI)</t>
  </si>
  <si>
    <t>Strong/Independent (CCIN)</t>
  </si>
  <si>
    <t>Moderate (new authority; limited independence)</t>
  </si>
  <si>
    <t>Strong (Agency for PDP and Free Access to Information)</t>
  </si>
  <si>
    <t>Weak (CNDP under government influence)</t>
  </si>
  <si>
    <t>None yet</t>
  </si>
  <si>
    <t>Strong (Dutch Data Protection Authority)</t>
  </si>
  <si>
    <t>Strong (Office of the Privacy Commissioner)</t>
  </si>
  <si>
    <t>Weak (regulator under government control)</t>
  </si>
  <si>
    <t>Moderate — NDPB (2022) under Ministry</t>
  </si>
  <si>
    <t>Strong — Agency for PDP</t>
  </si>
  <si>
    <t>Strong — Datatilsynet</t>
  </si>
  <si>
    <t>Weak — regulator under Ministry</t>
  </si>
  <si>
    <t>Moderate — authority under Ministry of Justice</t>
  </si>
  <si>
    <t>Moderate — National Privacy Commission</t>
  </si>
  <si>
    <t>Strong — UODO</t>
  </si>
  <si>
    <t>Strong — CNPD</t>
  </si>
  <si>
    <t>Weak — regulator in Ministry</t>
  </si>
  <si>
    <t>Strong — PIPC</t>
  </si>
  <si>
    <t>Moderate — NCPDP under Parliament</t>
  </si>
  <si>
    <t>Strong — ANSPDCP</t>
  </si>
  <si>
    <t>Weak — Roskomnadzor under executive</t>
  </si>
  <si>
    <t>Moderate — regulator under NCSA</t>
  </si>
  <si>
    <t>Weak — not fully operational</t>
  </si>
  <si>
    <t>Strong</t>
  </si>
  <si>
    <t>Weak — regulator under executive</t>
  </si>
  <si>
    <t>Moderate — CDP</t>
  </si>
  <si>
    <t>Strong — Commissioner for Information of Public Importance and PDP</t>
  </si>
  <si>
    <t>Weak — under Ministry</t>
  </si>
  <si>
    <t>Moderate — Data Protection Commission (new)</t>
  </si>
  <si>
    <t>Moderate — PDPC within IMDA</t>
  </si>
  <si>
    <t>Strong — Office for Personal Data Protection</t>
  </si>
  <si>
    <t>Strong — IP-RS</t>
  </si>
  <si>
    <t>Strong — Information Regulator</t>
  </si>
  <si>
    <t>Strong — AEPD</t>
  </si>
  <si>
    <t>Moderate — Data Protection Authority (new)</t>
  </si>
  <si>
    <t>Strong — Datainspektionen</t>
  </si>
  <si>
    <t>Strong — FDPIC</t>
  </si>
  <si>
    <t>Moderate — regulator under Ministry</t>
  </si>
  <si>
    <t>Moderate — Autorité de Protection des Données Personnelles (APDP)</t>
  </si>
  <si>
    <t>Moderate — INPDP regulator</t>
  </si>
  <si>
    <t>Moderate — KVKK under Parliament</t>
  </si>
  <si>
    <t>Weak — National Information Technology Authority</t>
  </si>
  <si>
    <t>Moderate — Ombudsman’s Office</t>
  </si>
  <si>
    <t>Weak — under government ministry</t>
  </si>
  <si>
    <t>Weak</t>
  </si>
  <si>
    <t>https://idp.al/en/; https://www.dataguidance.com/notes/albania-data-protection-overview</t>
  </si>
  <si>
    <t>https://apda.ad/; https://www.dataguidance.com/notes/andorra-data-protection-overview</t>
  </si>
  <si>
    <t>No – No DPIA/legal risk assessment required for AI or data (2024)</t>
  </si>
  <si>
    <t>No legal requirement – DPIA not specifically required for AI (2024)</t>
  </si>
  <si>
    <t>No – No requirement for DPIA or AI risk assessment (2024)</t>
  </si>
  <si>
    <t>Yes – DPIA required for high-risk processing under Law 29/2021, not AI-specific</t>
  </si>
  <si>
    <t>Partial (Privacy Impact Assessments recommended, not mandatory)</t>
  </si>
  <si>
    <t>Yes (GDPR Art. 35 DPIA)</t>
  </si>
  <si>
    <t>No (DPIA not mandated)</t>
  </si>
  <si>
    <t>Yes (LGPD Art. 38 DPIA requirement)</t>
  </si>
  <si>
    <t>No (not mandated yet)</t>
  </si>
  <si>
    <t>Yes (PIPL requires impact assessments for sensitive processing)</t>
  </si>
  <si>
    <t>No (not mandated)</t>
  </si>
  <si>
    <t>Yes (GDPR Art. 35 DPIA requirement)</t>
  </si>
  <si>
    <t>Yes (GDPR Art. 35)</t>
  </si>
  <si>
    <t>Yes (DPIAs required under law)</t>
  </si>
  <si>
    <t>Yes (required under DPA for high-risk processing)</t>
  </si>
  <si>
    <t>Yes (under DPA 2017)</t>
  </si>
  <si>
    <t>Partial (PIAs encouraged; not mandatory)</t>
  </si>
  <si>
    <t>Partial (risk assessments encouraged)</t>
  </si>
  <si>
    <t>https://www.refworld.org/legal/legislation/natleglaws/2017/afg-2017-01.html</t>
  </si>
  <si>
    <t>https://gdpr-info.eu/art-35-gdpr/</t>
  </si>
  <si>
    <t>Criminalized – Same-sex acts illegal; harsh penalties including death risk under Taliban (Sharia, post-2021)</t>
  </si>
  <si>
    <t>Legal – Same-sex relations legal since 1995; anti-discrimination law since 2010 (No. 10221/2010)</t>
  </si>
  <si>
    <t>Criminalized – Same-sex acts illegal under Penal Code Art. 333/338; up to 3 years prison</t>
  </si>
  <si>
    <t>Legal – Same-sex marriage legal since 2023; anti-discrimination protections in force</t>
  </si>
  <si>
    <t>Legal (no criminalisation; anti-discrimination)</t>
  </si>
  <si>
    <t>Legal (sodomy law struck down 2022)</t>
  </si>
  <si>
    <t>Equality/Marriage (Equal Marriage Act 2010)</t>
  </si>
  <si>
    <t>Legal (no criminalisation; no recognition)</t>
  </si>
  <si>
    <t>Equality/Marriage (Marriage Act amended 2017)</t>
  </si>
  <si>
    <t>Equality/Marriage (2019 Constitutional Court ruling)</t>
  </si>
  <si>
    <t>Criminalised (same-sex conduct criminalised, not enforced)</t>
  </si>
  <si>
    <t>Criminalised</t>
  </si>
  <si>
    <t>Criminalised (Section 377 in Penal Code)</t>
  </si>
  <si>
    <t>Legal (High Court struck down sodomy law 2022)</t>
  </si>
  <si>
    <t>Criminalised (no recognition, state repression)</t>
  </si>
  <si>
    <t>Equality/Marriage (legal since 2003)</t>
  </si>
  <si>
    <t>Legal (sodomy law struck down 2016)</t>
  </si>
  <si>
    <t>Legal (same-sex relations decriminalised 2021)</t>
  </si>
  <si>
    <t>Legal (same-sex sexual acts legal; no recognition of unions)</t>
  </si>
  <si>
    <t>Legal (no criminalisation; no marriage equality)</t>
  </si>
  <si>
    <t>Legal (High Court decriminalised same-sex relations 2019)</t>
  </si>
  <si>
    <t>Equality/Marriage (same-sex marriage legal since 2013)</t>
  </si>
  <si>
    <t>Criminalised (Sharia Penal Code criminalises same-sex conduct)</t>
  </si>
  <si>
    <t>Legal (no criminalisation; no marriage equality, civil unions not recognised)</t>
  </si>
  <si>
    <t>Legal (same-sex relations not criminalised; no recognition)</t>
  </si>
  <si>
    <t>Criminalised (same-sex acts illegal under Penal Code)</t>
  </si>
  <si>
    <t>Legal (same-sex relations decriminalised 2004; no recognition)</t>
  </si>
  <si>
    <t>Legal (same-sex sexual acts legal; no recognition of marriage)</t>
  </si>
  <si>
    <t>Criminalised (Penal Code criminalises same-sex conduct)</t>
  </si>
  <si>
    <t>Criminalised (same-sex relations criminalised in Penal Code 2017)</t>
  </si>
  <si>
    <t>Equality/Marriage (same-sex marriage legal since 2022)</t>
  </si>
  <si>
    <t>Legal (homosexuality decriminalised 1997; marriage equality not recognised)</t>
  </si>
  <si>
    <t>Equality/Marriage (same-sex marriage recognised 2016)</t>
  </si>
  <si>
    <t>Criminalised (same-sex conduct criminalised under Penal Code)</t>
  </si>
  <si>
    <t>Criminalised (Penal Code criminalises same-sex acts)</t>
  </si>
  <si>
    <t>Equality/Marriage (same-sex marriage legal since 2020)</t>
  </si>
  <si>
    <t>Legal (registered partnerships since 2014; marriage not open)</t>
  </si>
  <si>
    <t>Equality/Marriage (same-sex marriage legalized in 2022 Family Code referendum)</t>
  </si>
  <si>
    <t>Legal (same-sex civil unions since 2015; marriage not open)</t>
  </si>
  <si>
    <t>Legal (registered partnerships; marriage not open)</t>
  </si>
  <si>
    <t>Equality/Marriage</t>
  </si>
  <si>
    <t>Decriminalised (High Court ruling, 2022)</t>
  </si>
  <si>
    <t>Legal (no criminalisation; no recognition of partnerships)</t>
  </si>
  <si>
    <t>Equality/Marriage (2019 ruling)</t>
  </si>
  <si>
    <t>Criminalised (via debauchery laws)</t>
  </si>
  <si>
    <t>Equality/Marriage (effective 2024)</t>
  </si>
  <si>
    <t>Criminalised (sodomy laws in force)</t>
  </si>
  <si>
    <t>Equality/Marriage (constitutional protections; marriage recognised)</t>
  </si>
  <si>
    <t>Equality/Marriage (since 2013)</t>
  </si>
  <si>
    <t>Decriminalised (2019 recriminalisation repealed 2020)</t>
  </si>
  <si>
    <t>Equality/Marriage (since 2017)</t>
  </si>
  <si>
    <t>Equality/Marriage (civil unions 2015; marriage equality 2024)</t>
  </si>
  <si>
    <t>Criminalised (Bill 5272 attempts)</t>
  </si>
  <si>
    <t>Legal (decriminalised, 2018 CCJ ruling; no partnerships)</t>
  </si>
  <si>
    <t>Criminalised (constitutional ban on marriage/rights)</t>
  </si>
  <si>
    <t>Legal (registered partnerships only; no marriage equality)</t>
  </si>
  <si>
    <t>Equality/Marriage (since 2010)</t>
  </si>
  <si>
    <t>Legal (decriminalised 2018; no marriage equality)</t>
  </si>
  <si>
    <t>Criminalised (discriminatory laws; no recognition)</t>
  </si>
  <si>
    <t>Criminalised (severe penalties, including capital punishment)</t>
  </si>
  <si>
    <t>Criminalised (morality laws applied)</t>
  </si>
  <si>
    <t>Equality/Marriage (since 2015)</t>
  </si>
  <si>
    <t>Legal (foreign marriages recognised; no local marriage equality)</t>
  </si>
  <si>
    <t>Legal (civil unions recognised since 2016; no marriage equality)</t>
  </si>
  <si>
    <t>Criminalised (sodomy laws)</t>
  </si>
  <si>
    <t>Legal (decriminalised; no marriage equality)</t>
  </si>
  <si>
    <t>Legal (decriminalised 1998; no partnerships)</t>
  </si>
  <si>
    <t>Criminalised (Penal Code provisions)</t>
  </si>
  <si>
    <t>Criminalised (Penal Code Articles 193/198)</t>
  </si>
  <si>
    <t>Legal (no criminalisation; no partnerships)</t>
  </si>
  <si>
    <t>Legal (no criminalisation; constitutional ban on marriage equality)</t>
  </si>
  <si>
    <t>Criminalised (Penal Code Article 534)</t>
  </si>
  <si>
    <t>Legal (decriminalised 2012; no recognition)</t>
  </si>
  <si>
    <t>Criminalised (Penal Code Article 14.74)</t>
  </si>
  <si>
    <t>Criminalised (severe penalties)</t>
  </si>
  <si>
    <t>Equality/Marriage (since 2011)</t>
  </si>
  <si>
    <t>Legal (no marriage equality; partnerships debated)</t>
  </si>
  <si>
    <t>Criminalised (Penal Code Section 153)</t>
  </si>
  <si>
    <t>Criminalised (Penal Code Sections 377A/B)</t>
  </si>
  <si>
    <t>Criminalised (Sharia-based laws)</t>
  </si>
  <si>
    <t>Equality/Marriage (full rights)</t>
  </si>
  <si>
    <t>Criminalised (Sharia-based penalties)</t>
  </si>
  <si>
    <t>Legal (decriminalised 2023; no marriage equality)</t>
  </si>
  <si>
    <t>Equality/Marriage (nationwide since 2022)</t>
  </si>
  <si>
    <t>Legal (decriminalised; no recognition)</t>
  </si>
  <si>
    <t>Equality/Marriage (since 2019)</t>
  </si>
  <si>
    <t>Legal (decriminalised 2002; no recognition)</t>
  </si>
  <si>
    <t>Legal (partnerships recognised 2020; no marriage)</t>
  </si>
  <si>
    <t>Criminalised (Penal Code Article 489)</t>
  </si>
  <si>
    <t>Legal (decriminalised 2015; no marriage)</t>
  </si>
  <si>
    <t>Criminalised (Penal Code Section 377)</t>
  </si>
  <si>
    <t>Legal (sodomy law unenforced; partnerships pending)</t>
  </si>
  <si>
    <t>Legal (decriminalised 2016; no recognition)</t>
  </si>
  <si>
    <t>Legal (third gender recognised; same-sex marriage SC ruling 2023)</t>
  </si>
  <si>
    <t>Equality/Marriage (since 2001)</t>
  </si>
  <si>
    <t>Legal (decriminalised 2008; no recognition)</t>
  </si>
  <si>
    <t>Criminalised (Penal Code Art. 282)</t>
  </si>
  <si>
    <t>Criminalised — Same-Sex Marriage (Prohibition) Act (2014)</t>
  </si>
  <si>
    <t>Legal — partnerships pending, no marriage</t>
  </si>
  <si>
    <t>Equality/Marriage — full equality</t>
  </si>
  <si>
    <t>Criminalised — Penal Code 377</t>
  </si>
  <si>
    <t>Legal — decriminalised 2014, no recognition</t>
  </si>
  <si>
    <t>Legal — decriminalised 2008, no marriage</t>
  </si>
  <si>
    <t>Criminalised — Penal Code Sec. 210</t>
  </si>
  <si>
    <t>Legal — decriminalised 1989, no recognition</t>
  </si>
  <si>
    <t>Legal — no recognition</t>
  </si>
  <si>
    <t>Legal — no marriage equality</t>
  </si>
  <si>
    <t>Equality/Marriage — since 2010</t>
  </si>
  <si>
    <t>Criminalised — anti-'propaganda' law (2022)</t>
  </si>
  <si>
    <t>Legal — High Court struck down sodomy law in 2022</t>
  </si>
  <si>
    <t>Legal — sodomy law struck down 2022</t>
  </si>
  <si>
    <t>Criminalised — sodomy law still in force</t>
  </si>
  <si>
    <t>Equality — civil unions (2016), marriage recognition (2019)</t>
  </si>
  <si>
    <t>Legal — decriminalised 2012, no recognition</t>
  </si>
  <si>
    <t>Criminalised — severe penalties</t>
  </si>
  <si>
    <t>Criminalised — Penal Code Art. 319</t>
  </si>
  <si>
    <t>Legal — decriminalised 2016, no recognition</t>
  </si>
  <si>
    <t>Criminalised — colonial-era sodomy laws remain</t>
  </si>
  <si>
    <t>Legal — Section 377A repealed in 2022, no marriage</t>
  </si>
  <si>
    <t>Equality/Marriage — marriage equality since 2022</t>
  </si>
  <si>
    <t>Criminalised — harsh penalties</t>
  </si>
  <si>
    <t>Equality/Marriage — since 2006</t>
  </si>
  <si>
    <t>Equality/Marriage — since 2005</t>
  </si>
  <si>
    <t>Legal — sodomy law decriminalised by Supreme Court in 2023</t>
  </si>
  <si>
    <t>Criminalised — Penal Code provisions enforced in Gaza; ambiguous in West Bank</t>
  </si>
  <si>
    <t>Criminalised — harsh penalties under Penal Code</t>
  </si>
  <si>
    <t>Legal — no criminalisation, but no recognition</t>
  </si>
  <si>
    <t>Equality/Marriage — since 2009</t>
  </si>
  <si>
    <t>Legal — decriminalised 1998, but discrimination persists</t>
  </si>
  <si>
    <t>Criminalised — Penal Code Sec. 154</t>
  </si>
  <si>
    <t>Legal — Civil Partnership Bill pending</t>
  </si>
  <si>
    <t>Legal — no criminalisation</t>
  </si>
  <si>
    <t>Criminalised — Penal Code 1980, Sec. 88</t>
  </si>
  <si>
    <t>Legal — decriminalised in 2018</t>
  </si>
  <si>
    <t>Criminalised — Article 230 Penal Code</t>
  </si>
  <si>
    <t>Criminalised — Anti-Homosexuality Act 2023</t>
  </si>
  <si>
    <t>Legal — no criminalisation, civil union bill pending</t>
  </si>
  <si>
    <t>Criminalised — Sharia provisions, Penal Code</t>
  </si>
  <si>
    <t>Legal</t>
  </si>
  <si>
    <t>https://www.humandignitytrust.org/country-profile/afghanistan/; https://ilga.org/maps-sexual-orientation-laws</t>
  </si>
  <si>
    <t>https://www.humandignitytrust.org/country-profile/albania/; https://www.ilga-europe.org/resources/news/latest-news/albania-new-anti-discrimination-law</t>
  </si>
  <si>
    <t>https://www.humandignitytrust.org/country-profile/algeria/; https://ilga.org/maps-sexual-orientation-laws</t>
  </si>
  <si>
    <t>https://www.humandignitytrust.org/country-profile/andorra/; https://www.reuters.com/world/europe/andorra-approves-same-sex-marriage-law-2022-07-22/</t>
  </si>
  <si>
    <t>https://www.humandignitytrust.org/country-profile/angola/; https://ilga.org/ilga-world-maps/</t>
  </si>
  <si>
    <t>https://www.humandignitytrust.org/country-profile/antigua-and-barbuda/; https://ilga.org/ilga-world-maps/</t>
  </si>
  <si>
    <t>https://www.humandignitytrust.org/country-profile/argentina/; https://ilga.org/ilga-world-maps/</t>
  </si>
  <si>
    <t>https://www.humandignitytrust.org/country-profile/armenia/; https://ilga.org/ilga-world-maps/</t>
  </si>
  <si>
    <t>https://www.humandignitytrust.org/country-profile/australia/; https://ilga.org/ilga-world-maps/</t>
  </si>
  <si>
    <t>https://www.humandignitytrust.org/country-profile/austria/; https://ilga.org/ilga-world-maps/</t>
  </si>
  <si>
    <t>https://www.humandignitytrust.org/country-profile/azerbaijan/; https://ilga.org/ilga-world-maps/</t>
  </si>
  <si>
    <t>https://www.humandignitytrust.org/country-profile/bahamas/; https://ilga.org/ilga-world-maps/</t>
  </si>
  <si>
    <t>https://www.humandignitytrust.org/country-profile/bahrain/; https://ilga.org/ilga-world-maps/</t>
  </si>
  <si>
    <t>https://www.humandignitytrust.org/country-profile/bangladesh/; https://ilga.org/ilga-world-maps/</t>
  </si>
  <si>
    <t>https://www.humandignitytrust.org/country-profile/barbados/; https://ilga.org/ilga-world-maps/</t>
  </si>
  <si>
    <t>https://www.humandignitytrust.org/country-profile/belarus/; https://ilga.org/ilga-world-maps/</t>
  </si>
  <si>
    <t>https://www.humandignitytrust.org/country-profile/belgium/; https://ilga.org/ilga-world-maps/</t>
  </si>
  <si>
    <t>https://www.humandignitytrust.org/country-profile/belize/; https://ilga.org/ilga-world-maps/</t>
  </si>
  <si>
    <t>https://www.humandignitytrust.org/country-profile/benin/; https://ilga.org/ilga-world-maps/</t>
  </si>
  <si>
    <t>https://www.humandignitytrust.org/country-profile/bhutan/; https://ilga.org/ilga-world-maps/</t>
  </si>
  <si>
    <t>https://www.humandignitytrust.org/country-profile/bolivia-plurinational-state-of/; https://ilga.org/ilga-world-maps/</t>
  </si>
  <si>
    <t>https://www.humandignitytrust.org/country-profile/bosnia-and-herzegovina/; https://ilga.org/ilga-world-maps/</t>
  </si>
  <si>
    <t>https://www.humandignitytrust.org/country-profile/botswana/; https://ilga.org/ilga-world-maps/</t>
  </si>
  <si>
    <t>https://www.humandignitytrust.org/country-profile/brazil/; https://ilga.org/ilga-world-maps/</t>
  </si>
  <si>
    <t>https://www.humandignitytrust.org/country-profile/brunei-darussalam/; https://ilga.org/ilga-world-maps/</t>
  </si>
  <si>
    <t>https://www.humandignitytrust.org/country-profile/bulgaria/; https://ilga.org/ilga-world-maps/</t>
  </si>
  <si>
    <t>https://www.humandignitytrust.org/country-profile/burkina-faso/; https://ilga.org/ilga-world-maps/</t>
  </si>
  <si>
    <t>https://www.humandignitytrust.org/country-profile/burundi/; https://ilga.org/ilga-world-maps/</t>
  </si>
  <si>
    <t>https://www.humandignitytrust.org/country-profile/cabo-verde/; https://ilga.org/ilga-world-maps/</t>
  </si>
  <si>
    <t>https://www.humandignitytrust.org/country-profile/cambodia/; https://ilga.org/ilga-world-maps/</t>
  </si>
  <si>
    <t>https://www.humandignitytrust.org/country-profile/cameroon/; https://ilga.org/ilga-world-maps/</t>
  </si>
  <si>
    <t>https://www.humandignitytrust.org/country-profile/central-african-republic/; https://ilga.org/ilga-world-maps/</t>
  </si>
  <si>
    <t>https://www.humandignitytrust.org/country-profile/chad/; https://ilga.org/ilga-world-maps/</t>
  </si>
  <si>
    <t>https://www.humandignitytrust.org/country-profile/chile/; https://ilga.org/ilga-world-maps/</t>
  </si>
  <si>
    <t>https://www.humandignitytrust.org/country-profile/china/; https://ilga.org/ilga-world-maps/</t>
  </si>
  <si>
    <t>https://www.humandignitytrust.org/country-profile/colombia/; https://ilga.org/ilga-world-maps/</t>
  </si>
  <si>
    <t>https://www.humandignitytrust.org/country-profile/comoros/; https://ilga.org/ilga-world-maps/</t>
  </si>
  <si>
    <t>https://www.humandignitytrust.org/country-profile/congo-republic-of-the/; https://ilga.org/ilga-world-maps/</t>
  </si>
  <si>
    <t>https://www.humandignitytrust.org/country-profile/costa-rica/; https://ilga.org/ilga-world-maps/</t>
  </si>
  <si>
    <t>https://www.humandignitytrust.org/country-profile/croatia/; https://ilga.org/ilga-world-maps/</t>
  </si>
  <si>
    <t>https://www.humandignitytrust.org/country-profile/cuba/; https://ilga.org/ilga-world-maps/</t>
  </si>
  <si>
    <t>https://www.humandignitytrust.org/country-profile/cyprus/; https://ilga.org/ilga-world-maps/</t>
  </si>
  <si>
    <t>https://www.humandignitytrust.org/country-profile/czechia/; https://ilga.org/ilga-world-maps/</t>
  </si>
  <si>
    <t>https://www.humandignitytrust.org/country-profile/cote-divoire/; https://ilga.org/ilga-world-maps/</t>
  </si>
  <si>
    <t>https://www.humandignitytrust.org/country-profile/democratic-peoples-republic-of-korea/; https://ilga.org/ilga-world-maps/</t>
  </si>
  <si>
    <t>https://www.humandignitytrust.org/country-profile/democratic-republic-of-the-congo/; https://ilga.org/ilga-world-maps/</t>
  </si>
  <si>
    <t>https://www.humandignitytrust.org/country-profile/denmark/; https://ilga.org/ilga-world-maps/</t>
  </si>
  <si>
    <t>https://www.humandignitytrust.org/country-profile/djibouti/; https://ilga.org/ilga-world-maps/</t>
  </si>
  <si>
    <t>https://www.humandignitytrust.org/country-profile/dominica/; https://ilga.org/ilga-world-maps/</t>
  </si>
  <si>
    <t>https://www.humandignitytrust.org/country-profile/dominican-republic/; https://ilga.org/ilga-world-maps/</t>
  </si>
  <si>
    <t>https://www.humandignitytrust.org/country-profile/ecuador/; https://ilga.org/ilga-world-maps/</t>
  </si>
  <si>
    <t>https://www.humandignitytrust.org/country-profile/egypt/; https://ilga.org/ilga-world-maps/</t>
  </si>
  <si>
    <t>https://www.humandignitytrust.org/country-profile/el-salvador/; https://ilga.org/ilga-world-maps/</t>
  </si>
  <si>
    <t>https://www.humandignitytrust.org/country-profile/equatorial-guinea/; https://ilga.org/ilga-world-maps/</t>
  </si>
  <si>
    <t>https://www.humandignitytrust.org/country-profile/eritrea/; https://ilga.org/ilga-world-maps/</t>
  </si>
  <si>
    <t>https://www.humandignitytrust.org/country-profile/estonia/; https://ilga.org/ilga-world-maps/</t>
  </si>
  <si>
    <t>https://www.humandignitytrust.org/country-profile/ethiopia/; https://ilga.org/ilga-world-maps/</t>
  </si>
  <si>
    <t>https://www.humandignitytrust.org/country-profile/fiji/; https://ilga.org/ilga-world-maps/</t>
  </si>
  <si>
    <t>https://www.humandignitytrust.org/country-profile/finland/; https://ilga.org/ilga-world-maps/</t>
  </si>
  <si>
    <t>https://www.humandignitytrust.org/country-profile/france/; https://ilga.org/ilga-world-maps/</t>
  </si>
  <si>
    <t>https://www.humandignitytrust.org/country-profile/gabon/; https://ilga.org/ilga-world-maps/</t>
  </si>
  <si>
    <t>https://www.humandignitytrust.org/country-profile/gambia/; https://ilga.org/ilga-world-maps/</t>
  </si>
  <si>
    <t>https://www.humandignitytrust.org/country-profile/georgia/; https://ilga.org/ilga-world-maps/</t>
  </si>
  <si>
    <t>https://www.humandignitytrust.org/country-profile/germany/; https://ilga.org/ilga-world-maps/</t>
  </si>
  <si>
    <t>https://www.humandignitytrust.org/country-profile/ghana/; https://ilga.org/ilga-world-maps/</t>
  </si>
  <si>
    <t>https://www.humandignitytrust.org/country-profile/greece/; https://ilga.org/ilga-world-maps/</t>
  </si>
  <si>
    <t>https://www.humandignitytrust.org/country-profile/grenada/; https://ilga.org/ilga-world-maps/</t>
  </si>
  <si>
    <t>https://www.humandignitytrust.org/country-profile/guatemala/; https://ilga.org/ilga-world-maps/</t>
  </si>
  <si>
    <t>https://www.humandignitytrust.org/country-profile/guinea/; https://ilga.org/ilga-world-maps/</t>
  </si>
  <si>
    <t>https://www.humandignitytrust.org/country-profile/guinea-bissau/; https://ilga.org/ilga-world-maps/</t>
  </si>
  <si>
    <t>https://www.humandignitytrust.org/country-profile/guyana/; https://ilga.org/ilga-world-maps/</t>
  </si>
  <si>
    <t>https://www.humandignitytrust.org/country-profile/haiti/; https://ilga.org/ilga-world-maps/</t>
  </si>
  <si>
    <t>https://www.humandignitytrust.org/country-profile/honduras/; https://ilga.org/ilga-world-maps/</t>
  </si>
  <si>
    <t>https://www.humandignitytrust.org/country-profile/hungary/; https://ilga.org/ilga-world-maps/</t>
  </si>
  <si>
    <t>https://www.humandignitytrust.org/country-profile/iceland/; https://ilga.org/ilga-world-maps/</t>
  </si>
  <si>
    <t>https://www.humandignitytrust.org/country-profile/india/; https://ilga.org/ilga-world-maps/</t>
  </si>
  <si>
    <t>https://www.humandignitytrust.org/country-profile/indonesia/; https://ilga.org/ilga-world-maps/</t>
  </si>
  <si>
    <t>https://www.humandignitytrust.org/country-profile/iran-islamic-republic-of/; https://ilga.org/ilga-world-maps/</t>
  </si>
  <si>
    <t>https://www.humandignitytrust.org/country-profile/iraq/; https://ilga.org/ilga-world-maps/</t>
  </si>
  <si>
    <t>https://www.humandignitytrust.org/country-profile/ireland/; https://ilga.org/ilga-world-maps/</t>
  </si>
  <si>
    <t>https://www.humandignitytrust.org/country-profile/israel/; https://ilga.org/ilga-world-maps/</t>
  </si>
  <si>
    <t>https://www.humandignitytrust.org/country-profile/italy/; https://ilga.org/ilga-world-maps/</t>
  </si>
  <si>
    <t>https://www.humandignitytrust.org/country-profile/jamaica/; https://ilga.org/ilga-world-maps/</t>
  </si>
  <si>
    <t>https://www.humandignitytrust.org/country-profile/japan/; https://ilga.org/ilga-world-maps/</t>
  </si>
  <si>
    <t>https://www.humandignitytrust.org/country-profile/jordan/; https://ilga.org/ilga-world-maps/</t>
  </si>
  <si>
    <t>https://www.humandignitytrust.org/country-profile/kazakhstan/; https://ilga.org/ilga-world-maps/</t>
  </si>
  <si>
    <t>https://www.humandignitytrust.org/country-profile/kenya/; https://ilga.org/ilga-world-maps/</t>
  </si>
  <si>
    <t>https://www.humandignitytrust.org/country-profile/kiribati/; https://ilga.org/ilga-world-maps/</t>
  </si>
  <si>
    <t>https://www.humandignitytrust.org/country-profile/kuwait/; https://ilga.org/ilga-world-maps/</t>
  </si>
  <si>
    <t>https://www.humandignitytrust.org/country-profile/kyrgyzstan/; https://ilga.org/ilga-world-maps/</t>
  </si>
  <si>
    <t>https://www.humandignitytrust.org/country-profile/lao-peoples-democratic-republic/; https://ilga.org/ilga-world-maps/</t>
  </si>
  <si>
    <t>https://www.humandignitytrust.org/country-profile/latvia/; https://ilga.org/ilga-world-maps/</t>
  </si>
  <si>
    <t>https://www.humandignitytrust.org/country-profile/lebanon/; https://ilga.org/ilga-world-maps/</t>
  </si>
  <si>
    <t>https://www.humandignitytrust.org/country-profile/lesotho/; https://ilga.org/ilga-world-maps/</t>
  </si>
  <si>
    <t>https://www.humandignitytrust.org/country-profile/liberia/; https://ilga.org/ilga-world-maps/</t>
  </si>
  <si>
    <t>https://www.humandignitytrust.org/country-profile/libya/; https://ilga.org/ilga-world-maps/</t>
  </si>
  <si>
    <t>https://www.humandignitytrust.org/country-profile/liechtenstein/; https://ilga.org/ilga-world-maps/</t>
  </si>
  <si>
    <t>https://www.humandignitytrust.org/country-profile/lithuania/; https://ilga.org/ilga-world-maps/</t>
  </si>
  <si>
    <t>https://www.humandignitytrust.org/country-profile/luxembourg/; https://ilga.org/ilga-world-maps/</t>
  </si>
  <si>
    <t>https://www.humandignitytrust.org/country-profile/madagascar/; https://ilga.org/ilga-world-maps/</t>
  </si>
  <si>
    <t>https://www.humandignitytrust.org/country-profile/malawi/; https://ilga.org/ilga-world-maps/</t>
  </si>
  <si>
    <t>https://www.humandignitytrust.org/country-profile/malaysia/; https://ilga.org/ilga-world-maps/</t>
  </si>
  <si>
    <t>https://www.humandignitytrust.org/country-profile/maldives/; https://ilga.org/ilga-world-maps/</t>
  </si>
  <si>
    <t>https://www.humandignitytrust.org/country-profile/mali/; https://ilga.org/ilga-world-maps/</t>
  </si>
  <si>
    <t>https://www.humandignitytrust.org/country-profile/malta/; https://ilga.org/ilga-world-maps/</t>
  </si>
  <si>
    <t>https://www.humandignitytrust.org/country-profile/marshall-islands/; https://ilga.org/ilga-world-maps/</t>
  </si>
  <si>
    <t>https://www.humandignitytrust.org/country-profile/mauritania/; https://ilga.org/ilga-world-maps/</t>
  </si>
  <si>
    <t>https://www.humandignitytrust.org/country-profile/mauritius/; https://ilga.org/ilga-world-maps/</t>
  </si>
  <si>
    <t>https://www.humandignitytrust.org/country-profile/mexico/; https://ilga.org/ilga-world-maps/</t>
  </si>
  <si>
    <t>https://www.humandignitytrust.org/country-profile/micronesia-federated-states-of/; https://ilga.org/ilga-world-maps/</t>
  </si>
  <si>
    <t>https://www.humandignitytrust.org/country-profile/monaco/; https://ilga.org/ilga-world-maps/</t>
  </si>
  <si>
    <t>https://www.humandignitytrust.org/country-profile/mongolia/; https://ilga.org/ilga-world-maps/</t>
  </si>
  <si>
    <t>https://www.humandignitytrust.org/country-profile/montenegro/; https://ilga.org/ilga-world-maps/</t>
  </si>
  <si>
    <t>https://www.humandignitytrust.org/country-profile/morocco/; https://ilga.org/ilga-world-maps/</t>
  </si>
  <si>
    <t>https://www.humandignitytrust.org/country-profile/mozambique/; https://ilga.org/ilga-world-maps/</t>
  </si>
  <si>
    <t>https://www.humandignitytrust.org/country-profile/myanmar/; https://ilga.org/ilga-world-maps/</t>
  </si>
  <si>
    <t>https://www.humandignitytrust.org/country-profile/namibia/; https://ilga.org/ilga-world-maps/</t>
  </si>
  <si>
    <t>https://www.humandignitytrust.org/country-profile/nauru/; https://ilga.org/ilga-world-maps/</t>
  </si>
  <si>
    <t>https://www.humandignitytrust.org/country-profile/nepal/; https://ilga.org/ilga-world-maps/</t>
  </si>
  <si>
    <t>https://www.humandignitytrust.org/country-profile/netherlands/; https://ilga.org/ilga-world-maps/</t>
  </si>
  <si>
    <t>https://www.humandignitytrust.org/country-profile/new-zealand/; https://ilga.org/ilga-world-maps/</t>
  </si>
  <si>
    <t>https://www.humandignitytrust.org/country-profile/nicaragua/; https://ilga.org/ilga-world-maps/</t>
  </si>
  <si>
    <t>https://www.humandignitytrust.org/country-profile/niger/; https://ilga.org/ilga-world-maps/</t>
  </si>
  <si>
    <t>https://www.humandignitytrust.org/country-profile/nigeria/; https://ilga.org/ilga-world-maps/</t>
  </si>
  <si>
    <t>https://www.humandignitytrust.org/country-profile/north-macedonia/; https://ilga.org/ilga-world-maps/</t>
  </si>
  <si>
    <t>https://www.humandignitytrust.org/country-profile/norway/; https://ilga.org/ilga-world-maps/</t>
  </si>
  <si>
    <t>https://www.humandignitytrust.org/country-profile/oman/; https://ilga.org/ilga-world-maps/</t>
  </si>
  <si>
    <t>https://www.humandignitytrust.org/country-profile/pakistan/; https://ilga.org/ilga-world-maps/</t>
  </si>
  <si>
    <t>https://www.humandignitytrust.org/country-profile/palau/; https://ilga.org/ilga-world-maps/</t>
  </si>
  <si>
    <t>https://www.humandignitytrust.org/country-profile/panama/; https://ilga.org/ilga-world-maps/</t>
  </si>
  <si>
    <t>https://www.humandignitytrust.org/country-profile/papua-new-guinea/; https://ilga.org/ilga-world-maps/</t>
  </si>
  <si>
    <t>https://www.humandignitytrust.org/country-profile/paraguay/; https://ilga.org/ilga-world-maps/</t>
  </si>
  <si>
    <t>https://www.humandignitytrust.org/country-profile/peru/; https://ilga.org/ilga-world-maps/</t>
  </si>
  <si>
    <t>https://www.humandignitytrust.org/country-profile/philippines/; https://ilga.org/ilga-world-maps/</t>
  </si>
  <si>
    <t>https://www.humandignitytrust.org/country-profile/poland/; https://ilga.org/ilga-world-maps/</t>
  </si>
  <si>
    <t>https://www.humandignitytrust.org/country-profile/portugal/; https://ilga.org/ilga-world-maps/</t>
  </si>
  <si>
    <t>https://www.humandignitytrust.org/country-profile/qatar/; https://ilga.org/ilga-world-maps/</t>
  </si>
  <si>
    <t>https://www.humandignitytrust.org/country-profile/republic-of-korea/; https://ilga.org/ilga-world-maps/</t>
  </si>
  <si>
    <t>https://www.humandignitytrust.org/country-profile/republic-of-moldova/; https://ilga.org/ilga-world-maps/</t>
  </si>
  <si>
    <t>https://www.humandignitytrust.org/country-profile/romania/; https://ilga.org/ilga-world-maps/</t>
  </si>
  <si>
    <t>https://www.humandignitytrust.org/country-profile/russian-federation/; https://ilga.org/ilga-world-maps/</t>
  </si>
  <si>
    <t>https://www.humandignitytrust.org/country-profile/rwanda/; https://ilga.org/ilga-world-maps/</t>
  </si>
  <si>
    <t>https://www.humandignitytrust.org/country-profile/saint-kitts-and-nevis/; https://ilga.org/ilga-world-maps/</t>
  </si>
  <si>
    <t>https://www.humandignitytrust.org/country-profile/saint-lucia/; https://ilga.org/ilga-world-maps/</t>
  </si>
  <si>
    <t>https://www.humandignitytrust.org/country-profile/saint-vincent-and-the-grenadines/; https://ilga.org/ilga-world-maps/</t>
  </si>
  <si>
    <t>https://www.humandignitytrust.org/country-profile/samoa/; https://ilga.org/ilga-world-maps/</t>
  </si>
  <si>
    <t>https://www.humandignitytrust.org/country-profile/san-marino/; https://ilga.org/ilga-world-maps/</t>
  </si>
  <si>
    <t>https://www.humandignitytrust.org/country-profile/sao-tome-and-principe/; https://ilga.org/ilga-world-maps/</t>
  </si>
  <si>
    <t>https://www.humandignitytrust.org/country-profile/saudi-arabia/; https://ilga.org/ilga-world-maps/</t>
  </si>
  <si>
    <t>https://www.humandignitytrust.org/country-profile/senegal/; https://ilga.org/ilga-world-maps/</t>
  </si>
  <si>
    <t>https://www.humandignitytrust.org/country-profile/serbia/; https://ilga.org/ilga-world-maps/</t>
  </si>
  <si>
    <t>https://www.humandignitytrust.org/country-profile/seychelles/; https://ilga.org/ilga-world-maps/</t>
  </si>
  <si>
    <t>https://www.humandignitytrust.org/country-profile/sierra-leone/; https://ilga.org/ilga-world-maps/</t>
  </si>
  <si>
    <t>https://www.humandignitytrust.org/country-profile/singapore/; https://ilga.org/ilga-world-maps/</t>
  </si>
  <si>
    <t>https://www.humandignitytrust.org/country-profile/slovakia/; https://ilga.org/ilga-world-maps/</t>
  </si>
  <si>
    <t>https://www.humandignitytrust.org/country-profile/slovenia/; https://ilga.org/ilga-world-maps/</t>
  </si>
  <si>
    <t>https://www.humandignitytrust.org/country-profile/solomon-islands/; https://ilga.org/ilga-world-maps/</t>
  </si>
  <si>
    <t>https://www.humandignitytrust.org/country-profile/somalia/; https://ilga.org/ilga-world-maps/</t>
  </si>
  <si>
    <t>https://www.humandignitytrust.org/country-profile/south-africa/; https://ilga.org/ilga-world-maps/</t>
  </si>
  <si>
    <t>https://www.humandignitytrust.org/country-profile/south-sudan/; https://ilga.org/ilga-world-maps/</t>
  </si>
  <si>
    <t>https://www.humandignitytrust.org/country-profile/spain/; https://ilga.org/ilga-world-maps/</t>
  </si>
  <si>
    <t>https://www.humandignitytrust.org/country-profile/sri-lanka/; https://ilga.org/ilga-world-maps/</t>
  </si>
  <si>
    <t>https://www.humandignitytrust.org/country-profile/state-of-palestine/; https://ilga.org/ilga-world-maps/</t>
  </si>
  <si>
    <t>https://www.humandignitytrust.org/country-profile/sudan/; https://ilga.org/ilga-world-maps/</t>
  </si>
  <si>
    <t>https://www.humandignitytrust.org/country-profile/suriname/; https://ilga.org/ilga-world-maps/</t>
  </si>
  <si>
    <t>https://www.humandignitytrust.org/country-profile/sweden/; https://ilga.org/ilga-world-maps/</t>
  </si>
  <si>
    <t>https://www.humandignitytrust.org/country-profile/switzerland/; https://ilga.org/ilga-world-maps/</t>
  </si>
  <si>
    <t>https://www.humandignitytrust.org/country-profile/syrian-arab-republic/; https://ilga.org/ilga-world-maps/</t>
  </si>
  <si>
    <t>https://www.humandignitytrust.org/country-profile/tajikistan/; https://ilga.org/ilga-world-maps/</t>
  </si>
  <si>
    <t>https://www.humandignitytrust.org/country-profile/tanzania/; https://ilga.org/ilga-world-maps/</t>
  </si>
  <si>
    <t>https://www.humandignitytrust.org/country-profile/thailand/; https://ilga.org/ilga-world-maps/</t>
  </si>
  <si>
    <t>https://www.humandignitytrust.org/country-profile/timor-leste/; https://ilga.org/ilga-world-maps/</t>
  </si>
  <si>
    <t>https://www.humandignitytrust.org/country-profile/togo/; https://ilga.org/ilga-world-maps/</t>
  </si>
  <si>
    <t>https://www.humandignitytrust.org/country-profile/tonga/; https://ilga.org/ilga-world-maps/</t>
  </si>
  <si>
    <t>https://www.humandignitytrust.org/country-profile/trinidad-and-tobago/; https://ilga.org/ilga-world-maps/</t>
  </si>
  <si>
    <t>https://www.humandignitytrust.org/country-profile/tunisia/; https://ilga.org/ilga-world-maps/</t>
  </si>
  <si>
    <t>https://www.humandignitytrust.org/country-profile/turkiye/; https://ilga.org/ilga-world-maps/</t>
  </si>
  <si>
    <t>https://www.humandignitytrust.org/country-profile/turkmenistan/; https://ilga.org/ilga-world-maps/</t>
  </si>
  <si>
    <t>https://www.humandignitytrust.org/country-profile/tuvalu/; https://ilga.org/ilga-world-maps/</t>
  </si>
  <si>
    <t>https://www.humandignitytrust.org/country-profile/uganda/; https://ilga.org/ilga-world-maps/</t>
  </si>
  <si>
    <t>https://www.humandignitytrust.org/country-profile/ukraine/; https://ilga.org/ilga-world-maps/</t>
  </si>
  <si>
    <t>https://www.humandignitytrust.org/country-profile/united-arab-emirates/; https://ilga.org/ilga-world-maps/</t>
  </si>
  <si>
    <t>https://www.humandignitytrust.org/country-profile/united-kingdom-of-great-britain-and-northern-ireland/; https://ilga.org/ilga-world-maps/</t>
  </si>
  <si>
    <t>https://www.humandignitytrust.org/country-profile/united-states-of-america/; https://ilga.org/ilga-world-maps/</t>
  </si>
  <si>
    <t>https://www.humandignitytrust.org/country-profile/uruguay/; https://ilga.org/ilga-world-maps/</t>
  </si>
  <si>
    <t>https://www.humandignitytrust.org/country-profile/uzbekistan/; https://ilga.org/ilga-world-maps/</t>
  </si>
  <si>
    <t>https://www.humandignitytrust.org/country-profile/vanuatu/; https://ilga.org/ilga-world-maps/</t>
  </si>
  <si>
    <t>https://www.humandignitytrust.org/country-profile/venezuela-bolivarian-republic-of/; https://ilga.org/ilga-world-maps/</t>
  </si>
  <si>
    <t>https://www.humandignitytrust.org/country-profile/viet-nam/; https://ilga.org/ilga-world-maps/</t>
  </si>
  <si>
    <t>https://www.humandignitytrust.org/country-profile/yemen/; https://ilga.org/ilga-world-maps/</t>
  </si>
  <si>
    <t>https://www.humandignitytrust.org/country-profile/zambia/; https://ilga.org/ilga-world-maps/</t>
  </si>
  <si>
    <t>https://www.humandignitytrust.org/country-profile/zimbabwe/; https://ilga.org/ilga-world-maps/</t>
  </si>
  <si>
    <t>Yes – Broad morality laws, Taliban restrictions (2021–) prohibit LGBTQ+ expression</t>
  </si>
  <si>
    <t>No – No law restricting LGBTQ+ expression (2024)</t>
  </si>
  <si>
    <t>Yes – Morality and decency laws (Penal Code, 2020 amendment) restrict LGBTQ+ expression</t>
  </si>
  <si>
    <t>No – No laws restricting LGBTQ+ “promotion/propaganda” (2024)</t>
  </si>
  <si>
    <t>No/Annulled</t>
  </si>
  <si>
    <t>Yes (penal code provisions criminalising promotion of homosexuality)</t>
  </si>
  <si>
    <t>Yes (Digital Security Act used to target LGBTQ expression)</t>
  </si>
  <si>
    <t>Yes (laws against LGBT propaganda)</t>
  </si>
  <si>
    <t>Yes (bans on LGBT promotion under morality laws)</t>
  </si>
  <si>
    <t>Yes (restrictions under Penal Code)</t>
  </si>
  <si>
    <t>Yes (restrictions in law)</t>
  </si>
  <si>
    <t>Yes (anti-LGBT provisions)</t>
  </si>
  <si>
    <t>Yes (censorship laws restrict LGBTQ expression online)</t>
  </si>
  <si>
    <t>Yes (restrictions on LGBTQ expression)</t>
  </si>
  <si>
    <t>Yes (morality law restrictions)</t>
  </si>
  <si>
    <t>Yes (restrictions on online content remain)</t>
  </si>
  <si>
    <t>Yes (morality-based restrictions)</t>
  </si>
  <si>
    <t>Yes (censorship laws)</t>
  </si>
  <si>
    <t>Yes (restrictions in Penal Code)</t>
  </si>
  <si>
    <t>Yes (morality/public decency restrictions)</t>
  </si>
  <si>
    <t>No (no propaganda bans)</t>
  </si>
  <si>
    <t>Proposed/Unclear (morality/public decency restrictions)</t>
  </si>
  <si>
    <t>Yes (anti-LGBTQ propaganda restrictions)</t>
  </si>
  <si>
    <t>Proposed/Unclear</t>
  </si>
  <si>
    <t>Yes (morality provisions)</t>
  </si>
  <si>
    <t>Yes (morality/public decency laws)</t>
  </si>
  <si>
    <t>Yes (morality laws)</t>
  </si>
  <si>
    <t>Proposed/Unclear (2021 anti-LGBTQ bill pending)</t>
  </si>
  <si>
    <t>Proposed/Unclear (frequent restrictions proposed)</t>
  </si>
  <si>
    <t>Proposed/Unclear (anti-LGBTQ bills attempted)</t>
  </si>
  <si>
    <t>Yes (2021 anti-LGBTQ propaganda law)</t>
  </si>
  <si>
    <t>Proposed/Unclear (state-level restrictions)</t>
  </si>
  <si>
    <t>Yes (morality/decency laws)</t>
  </si>
  <si>
    <t>Yes (strict censorship)</t>
  </si>
  <si>
    <t>Proposed/Unclear (morality restrictions in practice)</t>
  </si>
  <si>
    <t>Proposed/Unclear (anti-propaganda bills tabled)</t>
  </si>
  <si>
    <t>Yes (morality restrictions applied)</t>
  </si>
  <si>
    <t>Yes (morality restrictions)</t>
  </si>
  <si>
    <t>Yes (strict morality censorship)</t>
  </si>
  <si>
    <t>Yes (morality/public order laws)</t>
  </si>
  <si>
    <t>Proposed/Unclear (Law on Minors restricts LGBTQ content)</t>
  </si>
  <si>
    <t>Yes (censorship against LGBTQ content)</t>
  </si>
  <si>
    <t>Yes (censorship powers used)</t>
  </si>
  <si>
    <t>Yes — media restrictions on LGBTQ content</t>
  </si>
  <si>
    <t>Yes — “LGBT-free zones”</t>
  </si>
  <si>
    <t>Yes — propaganda bans</t>
  </si>
  <si>
    <t>Proposed — reports of propaganda restrictions</t>
  </si>
  <si>
    <t>Yes — promotion bans</t>
  </si>
  <si>
    <t>Yes — bans on LGBTQ “propaganda” events</t>
  </si>
  <si>
    <t>https://www.hrw.org/news/2023/08/30/afghanistan-lgbt-afghans-face-persecution; https://ilga.org/maps-sexual-orientation-laws</t>
  </si>
  <si>
    <t>https://www.ilga-europe.org/resources/news/latest-news/albania-new-anti-discrimination-law</t>
  </si>
  <si>
    <t>https://ilga.org/maps-sexual-orientation-laws</t>
  </si>
  <si>
    <t>https://ilga.org/ilga-world-maps/</t>
  </si>
  <si>
    <t>No – No national COP or child online protection strategy (2024)</t>
  </si>
  <si>
    <t>No – No explicit child online protection law; general cybercrime &amp; DP law apply</t>
  </si>
  <si>
    <t>No – No national child online protection law; some general cybercrime law</t>
  </si>
  <si>
    <t>Partial (national COP initiatives with UNICEF/ITU)</t>
  </si>
  <si>
    <t>Yes (national COP plan led by eSafety)</t>
  </si>
  <si>
    <t>Partial (child protection integrated in digital strategy)</t>
  </si>
  <si>
    <t>Partial (BTRC COP strategy with ITU/UNICEF support)</t>
  </si>
  <si>
    <t>Partial (national COP actions under EU programs)</t>
  </si>
  <si>
    <t>Partial (regional COP cooperation with EU/UNICEF)</t>
  </si>
  <si>
    <t>Partial (programs with SaferNet and ITU; no unified COP strategy)</t>
  </si>
  <si>
    <t>Partial (COP framework with ITU/ASEAN)</t>
  </si>
  <si>
    <t>Partial (EU/UNICEF COP projects; no national strategy)</t>
  </si>
  <si>
    <t>Partial (cooperation with ITU/UNICEF on COP initiatives)</t>
  </si>
  <si>
    <t>Partial (government COP campaigns, UNICEF cooperation)</t>
  </si>
  <si>
    <t>Partial (child online protections under CAC programs)</t>
  </si>
  <si>
    <t>Yes (national COP initiatives + UNICEF cooperation)</t>
  </si>
  <si>
    <t>Yes (national COP programs with UNICEF/ITU)</t>
  </si>
  <si>
    <t>Yes (Safer Internet Centre, EU/UNICEF COP initiatives)</t>
  </si>
  <si>
    <t>Yes (EU/UNICEF COP programs)</t>
  </si>
  <si>
    <t>Yes (EU Safer Internet Centre + UNICEF)</t>
  </si>
  <si>
    <t>Yes (EU Safer Internet + national initiatives)</t>
  </si>
  <si>
    <t>Partial (awareness programs; no national strategy)</t>
  </si>
  <si>
    <t>Partial (child digital safety initiatives)</t>
  </si>
  <si>
    <t>Partial (ICT education initiatives)</t>
  </si>
  <si>
    <t>Partial (awareness campaigns)</t>
  </si>
  <si>
    <t>Yes (national COP programmes + EU initiatives)</t>
  </si>
  <si>
    <t>Yes (national COP strategy + EU Safer Internet Centre)</t>
  </si>
  <si>
    <t>Yes (national COP initiatives + EU Safer Internet Centre)</t>
  </si>
  <si>
    <t>Partial (digital literacy programs)</t>
  </si>
  <si>
    <t>Yes (EU Safer Internet Centre + national COP initiatives)</t>
  </si>
  <si>
    <t>Yes (EU Safer Internet Centre + national initiatives)</t>
  </si>
  <si>
    <t>Yes (EU Safer Internet Centre + national measures)</t>
  </si>
  <si>
    <t>Partial (initiatives, not comprehensive)</t>
  </si>
  <si>
    <t>Partial (national ICT &amp; child online campaigns)</t>
  </si>
  <si>
    <t>Partial (programmes on online child safety)</t>
  </si>
  <si>
    <t>Yes (government COP initiatives)</t>
  </si>
  <si>
    <t>Partial (child online safety initiatives with ICT Authority)</t>
  </si>
  <si>
    <t>Yes (EU Safer Internet Centre)</t>
  </si>
  <si>
    <t>Yes (EU Safer Internet participation)</t>
  </si>
  <si>
    <t>Partial (awareness programs; no framework)</t>
  </si>
  <si>
    <t>Partial (school campaigns)</t>
  </si>
  <si>
    <t>Yes (Safer Internet initiatives)</t>
  </si>
  <si>
    <t>Partial (child safety awareness programs)</t>
  </si>
  <si>
    <t>Yes (NetSafe initiatives)</t>
  </si>
  <si>
    <t>Yes — Safer Internet Centre</t>
  </si>
  <si>
    <t>Yes — EU Safer Internet Centre</t>
  </si>
  <si>
    <t>Yes — EU Safer Internet</t>
  </si>
  <si>
    <t>Yes — EU Safer Internet program</t>
  </si>
  <si>
    <t>Yes — cyber wellness programs</t>
  </si>
  <si>
    <t>Yes — national COP plan</t>
  </si>
  <si>
    <t>Partial — Safer Internet programs</t>
  </si>
  <si>
    <t>Yes — national programs</t>
  </si>
  <si>
    <t>https://www.unicef.org/albania/media/1871/file/Child%20protection%20system%20in%20Albania.pdf</t>
  </si>
  <si>
    <t>https://www.unicef.org/algeria/en/protection; https://www.dlapiperdataprotection.com/index.html?t=law&amp;c=DZ</t>
  </si>
  <si>
    <t>https://www.unicef.org/andorra/en/protection; https://apda.ad/wp-content/uploads/2021/12/LQPD-EN.pdf</t>
  </si>
  <si>
    <t>https://www.unicef.org/angola/</t>
  </si>
  <si>
    <t>https://www.unicef.org/antigua-and-barbuda/</t>
  </si>
  <si>
    <t>https://www.unicef.org/argentina/</t>
  </si>
  <si>
    <t>https://www.unicef.org/armenia/</t>
  </si>
  <si>
    <t>https://www.unicef.org/australia/</t>
  </si>
  <si>
    <t>https://www.unicef.org/austria/</t>
  </si>
  <si>
    <t>https://www.unicef.org/azerbaijan/</t>
  </si>
  <si>
    <t>https://www.unicef.org/bahamas/</t>
  </si>
  <si>
    <t>https://www.unicef.org/bahrain/</t>
  </si>
  <si>
    <t>https://www.unicef.org/bangladesh/</t>
  </si>
  <si>
    <t>https://www.unicef.org/barbados/</t>
  </si>
  <si>
    <t>https://www.unicef.org/belarus/</t>
  </si>
  <si>
    <t>https://www.unicef.org/belgium/</t>
  </si>
  <si>
    <t>https://www.unicef.org/belize/</t>
  </si>
  <si>
    <t>https://www.unicef.org/benin/</t>
  </si>
  <si>
    <t>https://www.unicef.org/bhutan/</t>
  </si>
  <si>
    <t>https://www.unicef.org/bolivia-plurinational-state-of/</t>
  </si>
  <si>
    <t>https://www.unicef.org/bosnia-and-herzegovina/</t>
  </si>
  <si>
    <t>https://www.unicef.org/botswana/</t>
  </si>
  <si>
    <t>https://www.unicef.org/brazil/</t>
  </si>
  <si>
    <t>https://www.unicef.org/brunei-darussalam/</t>
  </si>
  <si>
    <t>https://www.unicef.org/bulgaria/</t>
  </si>
  <si>
    <t>https://www.unicef.org/burkina-faso/</t>
  </si>
  <si>
    <t>https://www.unicef.org/burundi/</t>
  </si>
  <si>
    <t>https://www.unicef.org/cabo-verde/</t>
  </si>
  <si>
    <t>https://www.unicef.org/cambodia/</t>
  </si>
  <si>
    <t>https://www.unicef.org/cameroon/</t>
  </si>
  <si>
    <t>https://www.unicef.org/central-african-republic/</t>
  </si>
  <si>
    <t>https://www.unicef.org/chad/</t>
  </si>
  <si>
    <t>https://www.unicef.org/chile/</t>
  </si>
  <si>
    <t>https://www.unicef.org/china/</t>
  </si>
  <si>
    <t>https://www.unicef.org/colombia/</t>
  </si>
  <si>
    <t>https://www.unicef.org/comoros/</t>
  </si>
  <si>
    <t>https://www.unicef.org/congo-republic-of-the/</t>
  </si>
  <si>
    <t>https://www.unicef.org/costa-rica/</t>
  </si>
  <si>
    <t>https://www.unicef.org/croatia/</t>
  </si>
  <si>
    <t>https://www.unicef.org/cuba/</t>
  </si>
  <si>
    <t>https://www.unicef.org/cyprus/</t>
  </si>
  <si>
    <t>https://www.unicef.org/czechia/</t>
  </si>
  <si>
    <t>https://www.unicef.org/cote-divoire/</t>
  </si>
  <si>
    <t>https://www.unicef.org/democratic-republic-of-the-congo/</t>
  </si>
  <si>
    <t>https://www.unicef.org/denmark/</t>
  </si>
  <si>
    <t>https://www.unicef.org/dominica/</t>
  </si>
  <si>
    <t>https://www.unicef.org/dominican-republic/</t>
  </si>
  <si>
    <t>https://www.unicef.org/ecuador/</t>
  </si>
  <si>
    <t>https://www.unicef.org/egypt/</t>
  </si>
  <si>
    <t>https://www.unicef.org/el-salvador/</t>
  </si>
  <si>
    <t>https://www.unicef.org/estonia/</t>
  </si>
  <si>
    <t>https://www.unicef.org/ethiopia/</t>
  </si>
  <si>
    <t>https://www.unicef.org/fiji/</t>
  </si>
  <si>
    <t>https://www.unicef.org/finland/</t>
  </si>
  <si>
    <t>https://www.unicef.org/france/</t>
  </si>
  <si>
    <t>https://www.unicef.org/gabon/</t>
  </si>
  <si>
    <t>https://www.unicef.org/georgia/</t>
  </si>
  <si>
    <t>https://www.unicef.org/germany/</t>
  </si>
  <si>
    <t>https://www.unicef.org/ghana/</t>
  </si>
  <si>
    <t>https://www.unicef.org/greece/</t>
  </si>
  <si>
    <t>https://www.unicef.org/guinea/</t>
  </si>
  <si>
    <t>https://www.unicef.org/guyana/</t>
  </si>
  <si>
    <t>https://www.unicef.org/hungary/</t>
  </si>
  <si>
    <t>https://www.unicef.org/iceland/</t>
  </si>
  <si>
    <t>https://www.unicef.org/india/</t>
  </si>
  <si>
    <t>https://www.unicef.org/indonesia/</t>
  </si>
  <si>
    <t>https://www.unicef.org/ireland/</t>
  </si>
  <si>
    <t>https://www.unicef.org/israel/</t>
  </si>
  <si>
    <t>https://www.unicef.org/italy/</t>
  </si>
  <si>
    <t>https://www.unicef.org/jamaica/</t>
  </si>
  <si>
    <t>https://www.unicef.org/japan/</t>
  </si>
  <si>
    <t>https://www.unicef.org/jordan/</t>
  </si>
  <si>
    <t>https://www.unicef.org/kazakhstan/</t>
  </si>
  <si>
    <t>https://www.unicef.org/kenya/</t>
  </si>
  <si>
    <t>https://www.unicef.org/kyrgyzstan/</t>
  </si>
  <si>
    <t>https://www.unicef.org/latvia/</t>
  </si>
  <si>
    <t>https://www.unicef.org/lesotho/</t>
  </si>
  <si>
    <t>https://www.unicef.org/liechtenstein/</t>
  </si>
  <si>
    <t>https://www.unicef.org/lithuania/</t>
  </si>
  <si>
    <t>https://www.unicef.org/luxembourg/</t>
  </si>
  <si>
    <t>https://www.unicef.org/malawi/</t>
  </si>
  <si>
    <t>https://www.unicef.org/malaysia/</t>
  </si>
  <si>
    <t>https://www.unicef.org/malta/</t>
  </si>
  <si>
    <t>https://www.unicef.org/mauritius/</t>
  </si>
  <si>
    <t>https://www.unicef.org/mexico/</t>
  </si>
  <si>
    <t>https://www.unicef.org/monaco/</t>
  </si>
  <si>
    <t>https://www.unicef.org/mongolia/</t>
  </si>
  <si>
    <t>https://www.unicef.org/montenegro/</t>
  </si>
  <si>
    <t>https://www.unicef.org/netherlands/</t>
  </si>
  <si>
    <t>https://www.unicef.org/new-zealand/</t>
  </si>
  <si>
    <t>https://www.unicef.org/nigeria/</t>
  </si>
  <si>
    <t>https://www.unicef.org/north-macedonia/</t>
  </si>
  <si>
    <t>https://www.unicef.org/norway/</t>
  </si>
  <si>
    <t>https://www.unicef.org/panama/</t>
  </si>
  <si>
    <t>https://www.unicef.org/peru/</t>
  </si>
  <si>
    <t>https://www.unicef.org/philippines/</t>
  </si>
  <si>
    <t>https://www.unicef.org/poland/</t>
  </si>
  <si>
    <t>https://www.unicef.org/portugal/</t>
  </si>
  <si>
    <t>https://www.unicef.org/republic-of-korea/</t>
  </si>
  <si>
    <t>https://www.unicef.org/republic-of-moldova/</t>
  </si>
  <si>
    <t>https://www.unicef.org/romania/</t>
  </si>
  <si>
    <t>https://www.unicef.org/rwanda/</t>
  </si>
  <si>
    <t>https://www.unicef.org/san-marino/</t>
  </si>
  <si>
    <t>https://www.unicef.org/senegal/</t>
  </si>
  <si>
    <t>https://www.unicef.org/serbia/</t>
  </si>
  <si>
    <t>https://www.unicef.org/sierra-leone/</t>
  </si>
  <si>
    <t>https://www.unicef.org/singapore/</t>
  </si>
  <si>
    <t>https://www.unicef.org/slovakia/</t>
  </si>
  <si>
    <t>https://www.unicef.org/slovenia/</t>
  </si>
  <si>
    <t>https://www.unicef.org/south-africa/</t>
  </si>
  <si>
    <t>https://www.unicef.org/spain/</t>
  </si>
  <si>
    <t>https://www.unicef.org/sri-lanka/</t>
  </si>
  <si>
    <t>https://www.unicef.org/sweden/</t>
  </si>
  <si>
    <t>https://www.unicef.org/switzerland/</t>
  </si>
  <si>
    <t>https://www.unicef.org/thailand/</t>
  </si>
  <si>
    <t>https://www.unicef.org/togo/</t>
  </si>
  <si>
    <t>https://www.unicef.org/trinidad-and-tobago/</t>
  </si>
  <si>
    <t>https://www.unicef.org/tunisia/</t>
  </si>
  <si>
    <t>https://www.unicef.org/turkiye/</t>
  </si>
  <si>
    <t>https://www.unicef.org/uganda/</t>
  </si>
  <si>
    <t>https://www.unicef.org/ukraine/</t>
  </si>
  <si>
    <t>https://www.unicef.org/united-arab-emirates/</t>
  </si>
  <si>
    <t>https://www.unicef.org/united-kingdom-of-great-britain-and-northern-ireland/</t>
  </si>
  <si>
    <t>https://www.unicef.org/united-states-of-america/</t>
  </si>
  <si>
    <t>https://www.unicef.org/uruguay/</t>
  </si>
  <si>
    <t>https://www.unicef.org/viet-nam/</t>
  </si>
  <si>
    <t>https://www.unicef.org/zambia/</t>
  </si>
  <si>
    <t>Biometric mandatory – SIM registration requires biometrics (GSMA 2023)</t>
  </si>
  <si>
    <t>ID mandatory – SIM registration requires national ID, not biometric (GSMA 2023)</t>
  </si>
  <si>
    <t>ID mandatory – SIM registration with ID, not biometric (GSMA 2023)</t>
  </si>
  <si>
    <t>No (ID required; no biometrics)</t>
  </si>
  <si>
    <t>No (passport/ID for SIM, no biometrics)</t>
  </si>
  <si>
    <t>No (ID required, no biometrics)</t>
  </si>
  <si>
    <t>Yes (mandatory SIM registration with ID and biometric linkage in practice)</t>
  </si>
  <si>
    <t>Yes (mandatory biometric SIM registration)</t>
  </si>
  <si>
    <t>Yes (mandatory biometric SIM registration, fingerprints required)</t>
  </si>
  <si>
    <t>Yes (SIM registration tied to national ID; biometric KYC expanding)</t>
  </si>
  <si>
    <t>Yes (SIM biometric registration required)</t>
  </si>
  <si>
    <t>Yes (mandatory biometric SIM registration introduced 2018)</t>
  </si>
  <si>
    <t>Yes (biometric SIM registration required)</t>
  </si>
  <si>
    <t>Yes (SIM card registration linked to ID, biometric expansion in progress)</t>
  </si>
  <si>
    <t>Yes (SIM biometric registration mandatory)</t>
  </si>
  <si>
    <t>Yes (biometric SIM registration increasingly required with facial/biometric KYC)</t>
  </si>
  <si>
    <t>Yes (mandatory biometric SIM registration required)</t>
  </si>
  <si>
    <t>Yes (SIM registration with ID and biometric data required)</t>
  </si>
  <si>
    <t>No (SIM requires ID, not biometrics)</t>
  </si>
  <si>
    <t>Yes (mandatory facial biometrics for SIM registration)</t>
  </si>
  <si>
    <t>Yes (SIMs tightly controlled by state)</t>
  </si>
  <si>
    <t>Yes (mandatory SIM registration with ID)</t>
  </si>
  <si>
    <t>Yes (mandatory SIM registration; biometric ID used)</t>
  </si>
  <si>
    <t>Yes (SIM registration tied to national ID)</t>
  </si>
  <si>
    <t>Yes (SIMs tied to national ID)</t>
  </si>
  <si>
    <t>Yes (SIMs linked to national ID; biometric registration reported)</t>
  </si>
  <si>
    <t>No (SIM registration required; no biometrics)</t>
  </si>
  <si>
    <t>Yes (biometric SIM registration mandatory)</t>
  </si>
  <si>
    <t>Yes (mandatory SIM registration)</t>
  </si>
  <si>
    <t>Yes (SIM registration with ID; biometric linkage expanding)</t>
  </si>
  <si>
    <t>Yes (mandatory biometric SIM registration since 2021)</t>
  </si>
  <si>
    <t>No (SIM requires ID, no biometrics)</t>
  </si>
  <si>
    <t>Yes (SIMs linked to ID)</t>
  </si>
  <si>
    <t>Yes (SIM tied to national ID)</t>
  </si>
  <si>
    <t>Yes (Aadhaar-linked biometric SIM registration)</t>
  </si>
  <si>
    <t>Yes (SIM tied to biometric national ID)</t>
  </si>
  <si>
    <t>No (SIM requires ID; no biometrics)</t>
  </si>
  <si>
    <t>Yes (mandatory SIM ID registration)</t>
  </si>
  <si>
    <t>Yes (SIMs tied to biometric ID)</t>
  </si>
  <si>
    <t>Yes (mandatory biometric SIM registration via Huduma Namba)</t>
  </si>
  <si>
    <t>Yes (SIM registration required)</t>
  </si>
  <si>
    <t>Yes (SIM registration with biometric ID)</t>
  </si>
  <si>
    <t>Yes (SIM registration linked to ID)</t>
  </si>
  <si>
    <t>Yes (SIM tied to ID)</t>
  </si>
  <si>
    <t>Yes (mandatory SIM ID)</t>
  </si>
  <si>
    <t>Yes (SIM tied to biometric ID)</t>
  </si>
  <si>
    <t>Yes (SIM tied to ID; biometric capture common)</t>
  </si>
  <si>
    <t>Yes (registry created 2021; later repealed)</t>
  </si>
  <si>
    <t>Yes (ID required; biometrics used)</t>
  </si>
  <si>
    <t>Yes (ID required; biometrics emerging)</t>
  </si>
  <si>
    <t>Yes (SIM registration tied to biometric ID)</t>
  </si>
  <si>
    <t>Yes — biometric SIM registration mandatory</t>
  </si>
  <si>
    <t>Yes — SIM-NIN biometric linkage mandatory</t>
  </si>
  <si>
    <t>Yes — biometric SIM compulsory</t>
  </si>
  <si>
    <t>Yes — SIM tied to ID</t>
  </si>
  <si>
    <t>Yes — SIM Registration Act 2022</t>
  </si>
  <si>
    <t>Yes — tied to ID, not biometrics</t>
  </si>
  <si>
    <t>Yes — SIM registration required, ID-based</t>
  </si>
  <si>
    <t>Yes — SIM tied to NRIC/ID</t>
  </si>
  <si>
    <t>Yes — mandatory SIM registration</t>
  </si>
  <si>
    <t>Yes — SIMs linked to ID, not biometrics</t>
  </si>
  <si>
    <t>Yes — SIMs linked to ID</t>
  </si>
  <si>
    <t>Yes — biometric SIM registration required</t>
  </si>
  <si>
    <t>Yes — biometric SIM registration mandatory since 2020</t>
  </si>
  <si>
    <t>Yes — SIM linked to ID</t>
  </si>
  <si>
    <t>Yes — SIM ID-linked</t>
  </si>
  <si>
    <t>Yes — Emirates ID required, biometric enabled</t>
  </si>
  <si>
    <t>https://www.gsma.com/mobilefordevelopment/resources/mandatory-sim-registration-in-afghanistan/; https://privacyinternational.org/examples/3208/afghanistan-mandatory-sim-registration</t>
  </si>
  <si>
    <t>https://www.gsma.com/mobilefordevelopment/resources/mandatory-sim-registration-in-albania/</t>
  </si>
  <si>
    <t>https://www.gsma.com/mobilefordevelopment/resources/mandatory-sim-registration-in-algeria/</t>
  </si>
  <si>
    <t>https://www.gsma.com/mobilefordevelopment/resources/mandatory-sim-registration-in-andorra/</t>
  </si>
  <si>
    <t>https://www.gsma.com/solutions-and-impact/connectivity-for-good/public-policy/mobile-policy-handbook/consumer-protection/mandatory-registration-of-prepaid-sims/</t>
  </si>
  <si>
    <t>https://www.gsma.com/solutions-and-impact/connectivity-for-good/public-policy/mobile-policy-handbook/consumer-protection/mandatory-registration-of-prepaid-sims/; https://privacyinternational.org/learn/sim-card-registration</t>
  </si>
  <si>
    <t>ECOWAS</t>
  </si>
  <si>
    <t>White Paper on ICT 2023–2027 (Presidential Decree No. 272/24, Dec 2024). Not a dedicated AI law.</t>
  </si>
  <si>
    <t>In force — Law No. 22/11 of 17 June 2011 on Personal Data Protection (establishes APD).</t>
  </si>
  <si>
    <t>https://unctad.org/page/data-protection-and-privacy-legislation-worldwide ; https://lex.ao/docs/assembleia-nacional/2011/lei-n-o-22-11-de-17-de-junho/</t>
  </si>
  <si>
    <t>Law No. 25/12 (2012), Articles 30, 32–33: online safety, harmful content, misuse of children’s data, protection from exploitation.</t>
  </si>
  <si>
    <t>Yes — Law 22/11 defines “sensitive data” to include sex life (“vida sexual”), widely read as covering sexual orientation.</t>
  </si>
  <si>
    <t>Independent public-law body (APD) with legal/financial autonomy; structure in Decree 214/16 and board appointment in Decree 277/19.</t>
  </si>
  <si>
    <t>https://unctad.org/page/data-protection-and-privacy-legislation-worldwide ; https://lex.ao/docs/presidente-da-republica/2016/decreto-presidencial-n-o-214-16-de-10-de-outubro/ ; https://lex.ao/docs/presidente-da-republica/2019/decreto-presidencial-n-o-277-19-de-06-de-setembro/</t>
  </si>
  <si>
    <t>No AI-specific DPIA regime. Law 22/11 requires prior notification/authorisation for certain processing, which functions as partial risk assessment.</t>
  </si>
  <si>
    <t>Decriminalised — Penal Code Law No. 38/20 (2020, in force 2021). Discrimination based on sexual orientation criminalised.</t>
  </si>
  <si>
    <t>No stand-alone COP strategy; legal COP measures embedded in Law 25/12. ITU profile summarises legal tools.</t>
  </si>
  <si>
    <t>No standalone AI law. Botswana implements SmartBots 4IR Strategy; SmartBots Lab established.</t>
  </si>
  <si>
    <t>https://en.unesco.org/artificial-intelligence/observatory/policies?country=BW ; https://www.unesco.org/ethics-ai/en/global-hub ; https://www.smartbots.gov.bw/ ; https://www.gov.bw/news/smartbots-strategy</t>
  </si>
  <si>
    <t>In force — Data Protection Act 2024 (Act 18 of 2024), commenced 14 Jan 2025 (S.I. 4/2025), repealing the 2018 Act.</t>
  </si>
  <si>
    <t>https://unctad.org/page/data-protection-and-privacy-legislation-worldwide ; https://botswanalaws.com/StatutesAct/2024%20Data%20Protection%20Act.pdf ; https://gazettes.africa/gazettes/bw-government-gazette-dated-2025-01-14-no-4.pdf</t>
  </si>
  <si>
    <t>Children’s Act (Cap. 28:04) + Data Protection Act 2024 (s.29: parental authorization; child 16+ may consent).</t>
  </si>
  <si>
    <t>https://www.unicef.org/botswana/ ; https://botswanalaws.com/StatutesAct/2024%20Data%20Protection%20Act.pdf</t>
  </si>
  <si>
    <t>Yes — DPA 2024 s.30 prohibits processing data revealing sex life or sexual orientation.</t>
  </si>
  <si>
    <t>https://botswanalaws.com/StatutesAct/2024%20Data%20Protection%20Act.pdf</t>
  </si>
  <si>
    <t>Information and Data Protection Commission (IDPC) acts with complete operational independence; not subject to ministerial direction.</t>
  </si>
  <si>
    <t>Yes — DPA 2024 Part XII requires Data Protection Impact Assessments for high-risk processing, with prior consultation.</t>
  </si>
  <si>
    <t>Decriminalised — High Court (2019) and Court of Appeal (2021) struck down Penal Code provisions criminalising same-sex relations.</t>
  </si>
  <si>
    <t>https://www.humandignitytrust.org/country-profile/botswana/ ; https://ilga.org/ilga-world-maps/ ; https://botswanalaws.com/case/NDBHC_2019_0001.html</t>
  </si>
  <si>
    <t>https://ilga.org/ilga-world-maps/ ; https://upr-info.org/en/review/botswana</t>
  </si>
  <si>
    <t>No dedicated COP strategy; SmartBots programme commits to a safer cyberspace.</t>
  </si>
  <si>
    <t>https://www.unicef.org/botswana/ ; https://www.smartbots.gov.bw/</t>
  </si>
  <si>
    <t>https://www.gsma.com/solutions-and-impact/connectivity-for-good/public-policy/mobile-policy-handbook/consumer-protection/mandatory-registration-of-prepaid-sims/ ; https://privacyinternational.org/learn/sim-card-registration</t>
  </si>
  <si>
    <t>No dedicated AI law or national strategy. Government participates in AU and ITU AI capacity-building initiatives.</t>
  </si>
  <si>
    <t>https://en.unesco.org/artificial-intelligence/observatory/policies?country=KM ; https://au.int/en/documents/20240620/continental-strategy-artificial-intelligence-africa-2024</t>
  </si>
  <si>
    <t>Law No. 18-007 (2018) on the Protection of Personal Data — in force, GDPR-inspired provisions, establishes CNPDCP.</t>
  </si>
  <si>
    <t>No explicit COP law. Law 18-007 (2018) provides general safeguards. Penal Code and Child Protection Law criminalise sexual exploitation and abuse.</t>
  </si>
  <si>
    <t>https://unctad.org/page/data-protection-and-privacy-legislation-worldwide ; https://www.unicef.org/comoros/</t>
  </si>
  <si>
    <t>Yes — Law 18-007 defines “sensitive data” to include data concerning sex life, interpreted as covering sexual orientation.</t>
  </si>
  <si>
    <t>Commission Nationale de Protection des Données à Caractère Personnel (CNPDCP) established as independent administrative authority.</t>
  </si>
  <si>
    <t>Law 18-007 requires prior notification/authorisation for processing sensitive data or large-scale processing, but no AI-specific DPIA.</t>
  </si>
  <si>
    <t>Criminalised — Penal Code (Art. 318) punishes same-sex relations with up to 5 years imprisonment and fines.</t>
  </si>
  <si>
    <t>https://www.humandignitytrust.org/country-profile/comoros/ ; https://ilga.org/ilga-world-maps/</t>
  </si>
  <si>
    <t>No dedicated COP strategy identified. UNICEF reports initiatives on online child protection and awareness campaigns.</t>
  </si>
  <si>
    <t>No dedicated AI law or national strategy. Government has signalled interest in digital transformation but no AI-specific policy.</t>
  </si>
  <si>
    <t>Law No. 22/030 on Personal Data Protection, promulgated 15 July 2022 — in force, GDPR-inspired.</t>
  </si>
  <si>
    <t>Law 22/030 contains baseline safeguards but no child-specific provisions. General child protection in Law No. 09/001 (Child Protection Code, 2009).</t>
  </si>
  <si>
    <t>Law 22/030 creates the Data Protection Authority (APDP). Independence is formally provided, but practical autonomy may be constrained.</t>
  </si>
  <si>
    <t>Same-sex conduct is criminalised under Penal Code provisions. No anti-discrimination protections for SOGI.</t>
  </si>
  <si>
    <t>No national COP strategy identified. UNICEF and NGOs provide awareness and OCSEA prevention programmes.</t>
  </si>
  <si>
    <t>No national AI law or strategy identified. Eswatini participates in AU-level digital and AI initiatives.</t>
  </si>
  <si>
    <t>https://en.unesco.org/artificial-intelligence/observatory/policies?country=SZ ; https://au.int/en/documents/20240620/continental-strategy-artificial-intelligence-africa-2024</t>
  </si>
  <si>
    <t>Data Protection Act, 2022 — in force, establishes principles for processing and creates the Data Protection Commissioner.</t>
  </si>
  <si>
    <t>https://eswatinilii.org/sz/legislation/act/2022/5/ ; https://unctad.org/page/data-protection-and-privacy-legislation-worldwide</t>
  </si>
  <si>
    <t>Data Protection Act 2022 includes child-protection provisions. Broader protections in Children’s Protection and Welfare Act 2012.</t>
  </si>
  <si>
    <t>https://eswatinilii.org/sz/legislation/act/2022/5/ ; https://www.unicef.org/eswatini/child-protection</t>
  </si>
  <si>
    <t>Law defines sensitive data, but sexual orientation is not expressly included.</t>
  </si>
  <si>
    <t>https://eswatinilii.org/sz/legislation/act/2022/5/</t>
  </si>
  <si>
    <t>The Act establishes a Data Protection Commissioner. While legally independent, appointment and budgetary dependence suggest moderate autonomy.</t>
  </si>
  <si>
    <t>No AI-specific DPIA regime. Data Protection Act requires certain processing notifications but not structured DPIAs.</t>
  </si>
  <si>
    <t>Same-sex sexual conduct remains criminalised under Penal Code. No anti-discrimination protections for SOGI.</t>
  </si>
  <si>
    <t>https://www.humandignitytrust.org/country-profile/eswatini/ ; https://ilga.org/ilga-world-maps/</t>
  </si>
  <si>
    <t>No explicit propaganda law, but Broadcasting Guidelines (2003) prohibit programmes vilifying based on “sexual preference” — indicating indirect restrictions.</t>
  </si>
  <si>
    <t>https://eswatinibroadcasting.org/ ; https://ilga.org/ilga-world-maps/</t>
  </si>
  <si>
    <t>No stand-alone COP strategy, but UNICEF and government initiatives promote online child protection.</t>
  </si>
  <si>
    <t>https://www.unicef.org/eswatini/child-protection</t>
  </si>
  <si>
    <t>SIM registration mandatory using national ID. National ID system includes biometrics, linking SIMs indirectly to biometric data.</t>
  </si>
  <si>
    <t>That means for the rows we already finalized:</t>
  </si>
  <si>
    <t>Angola → 2 (no biometric at SIM; ID-only).</t>
  </si>
  <si>
    <t>Botswana → 2 (Omang used but no biometric at SIM point).</t>
  </si>
  <si>
    <t>Comoros → 2 (ID required, but no biometric).</t>
  </si>
  <si>
    <t>DRC → 2 (ID-based SIM registration; no biometric capture specified).</t>
  </si>
  <si>
    <t>Eswatini → 2 (ID-based SIM registration; biometric ID exists, but no biometric SIM reg).</t>
  </si>
  <si>
    <t>Lesotho → 0 (2021 SIM Regulations require live fingerprint capture).</t>
  </si>
  <si>
    <t>Revised SIM_Biometric_ID_Linkage scoring rule</t>
  </si>
  <si>
    <t>0 = Yes (biometric SIM registration required) → explicit fingerprint, photo, face, or biometric ID capture at point-of-sale or in regulation.</t>
  </si>
  <si>
    <t>2 = No (no biometric SIM requirement) → SIM registration may exist (ID, address, Omang, etc.) but not biometrics.</t>
  </si>
  <si>
    <t>1 = not used → we drop this middle state to sharpen the index on biometric-specific harms.</t>
  </si>
  <si>
    <t>Revised Promotion_Propaganda_Offences scoring rule</t>
  </si>
  <si>
    <t>0 = Fault → if there are any mechanisms of restriction (explicit propaganda laws, morality/indecency codes, censorship boards, “promotion bans,” or societal/legal frameworks that can or do suppress LGBTQ expression).</t>
  </si>
  <si>
    <t>2 = No Fault → only if there are no legal provisions, no administrative restrictions, and no morality policing in law or practice.</t>
  </si>
  <si>
    <t>So under this sharpened rule:</t>
  </si>
  <si>
    <t>Angola → 2 (no propaganda laws, no morality policing identified).</t>
  </si>
  <si>
    <t>Botswana → 2 (decriminalised, no propaganda laws, no morality policing).</t>
  </si>
  <si>
    <t>Comoros → 0 (same-sex criminalised; morality law environment).</t>
  </si>
  <si>
    <t>DRC → 0 (indecency + CSAC sanctions used).</t>
  </si>
  <si>
    <t>Eswatini → 0 (Broadcasting Guidelines restrict expression).</t>
  </si>
  <si>
    <t>Lesotho → 0 (unclear law + indecency provisions allow restriction).</t>
  </si>
  <si>
    <t>Madagascar → 0 (indecency provisions used against LGBTQ people).</t>
  </si>
  <si>
    <t>Malawi → 0 (criminalised + indecency provisions).</t>
  </si>
  <si>
    <t>Mauritius → 2 (explicitly decriminalised, equality protections, no propaganda restrictions).</t>
  </si>
  <si>
    <t>Mozambique → 2 (decriminalised, Penal Code reform removed propaganda provisions).</t>
  </si>
  <si>
    <t>https://en.unesco.org/artificial-intelligence/observatory/policies?country=AO ; https://www.unesco.org/ethics-ai/en/global-hub ; https://lex.ao/docs/presidente-da-republica/2024/decreto-presidencial-no-272-24-de-05-de-dezembro/ ; https://rna.ao/2024/03/23/mintics-poe-a-disposicao-dos-cidadaos-livro-branco-das-ictic-2023-2027/</t>
  </si>
  <si>
    <t>https://www.unicef.org/angola/ ; https://unctad.org/page/data-protection-and-privacy-legislation-worldwide ; https://files.lex.ao/assembleia-nacional/2012/lei-n-o-25-12-de-22-de-agosto/download/lei-n-o-25-12-de-22-de-agosto_assembleia-nacional_lex.ao.pdf</t>
  </si>
  <si>
    <t>https://www.humandignitytrust.org/country-profile/angola/ ; https://ilga.org/ilga-world-maps/ ; https://lex.ao/docs/assembleia-nacional/2020/lei-n-o-38-20-de-11-de-novembro/ ; https://tribunaisuperior.ao/wp-content/uploads/2023/03/C%C3%B3digo-Penal-do-Processo-Penal-Angolanos-2020-DRI-179_11-Novembro-176_230110_151357-1.pdf</t>
  </si>
  <si>
    <t>No — 2020 Penal Code contains no “propaganda/promotion of homosexuality”.</t>
  </si>
  <si>
    <t>region_norm</t>
  </si>
  <si>
    <t>Risk_index</t>
  </si>
  <si>
    <t>protection_index</t>
  </si>
  <si>
    <t>https://afadpp.org/wp-content/uploads/2019/04/Comores-Loi-2018-007-sur-la-protection-des-donnees-personnelles.pdf ; https://unctad.org/page/data-protection-and-privacy-legislation-worldwide</t>
  </si>
  <si>
    <t>https://afadpp.org/wp-content/uploads/2019/04/Comores-Loi-2018-007-sur-la-protection-des-donnees-personnelles.pdf</t>
  </si>
  <si>
    <t>Tier 1 – Quick Wins</t>
  </si>
  <si>
    <t>New Data Protection Act (2024), stable governance, lower food insecurity</t>
  </si>
  <si>
    <t>Staff training, NGO/donor safeguards, school/health guidance</t>
  </si>
  <si>
    <t>POPIA in force, active regulator (under-resourced)</t>
  </si>
  <si>
    <t>Child-specific privacy standards, expand NGO oversight</t>
  </si>
  <si>
    <t>Law exists, relatively stable institutions, high inequality</t>
  </si>
  <si>
    <t>Technical support for DPA, privacy circulars</t>
  </si>
  <si>
    <t>High HDI, strong GDPR-aligned law (2017)</t>
  </si>
  <si>
    <t>Child-specific safeguards, NGO partnerships</t>
  </si>
  <si>
    <t>Strong institutions, privacy law exists</t>
  </si>
  <si>
    <t>Embed LGBTQ+ child data protection in schools/health</t>
  </si>
  <si>
    <t>New Data Protection Law (2022), strong donor presence</t>
  </si>
  <si>
    <t>Child-data handling protocols in schools/clinics</t>
  </si>
  <si>
    <t>Tier 2 – Mid-Level Improvements</t>
  </si>
  <si>
    <t>Law (2021), weak enforcement, high donor presence</t>
  </si>
  <si>
    <t>Donor-driven privacy standards, staff training</t>
  </si>
  <si>
    <t>Law exists, weak enforcement, climate disasters</t>
  </si>
  <si>
    <t>NGO child-data safeguards, privacy pilots</t>
  </si>
  <si>
    <t>Law (2011), weak regulator, food insecurity high</t>
  </si>
  <si>
    <t>Pilot enforcement in donor programs, training</t>
  </si>
  <si>
    <t>Law (2021), regulator emerging, moderate food insecurity</t>
  </si>
  <si>
    <t>Health/education privacy protocols, donor audits</t>
  </si>
  <si>
    <t>Small state, some frameworks, centralized governance</t>
  </si>
  <si>
    <t>School/health circulars on child-data</t>
  </si>
  <si>
    <t>DRC</t>
  </si>
  <si>
    <t>Tier 3 – Structural Challenges</t>
  </si>
  <si>
    <t>Law (2022), weak enforcement, conflict, criminalises LGBTQ+</t>
  </si>
  <si>
    <t>NGO encryption, donor safeguards only</t>
  </si>
  <si>
    <t>Law (2018), weak regulator, criminalises LGBTQ+</t>
  </si>
  <si>
    <t>Donor-driven confidentiality rules</t>
  </si>
  <si>
    <t>Severe economic stress, political capture</t>
  </si>
  <si>
    <t>NGO/donor safeguards only</t>
  </si>
  <si>
    <t>Food insecurity, weak DP enforcement</t>
  </si>
  <si>
    <t>UNICEF/NGO program safeguards</t>
  </si>
  <si>
    <t>Tanzania (Zanzibar)</t>
  </si>
  <si>
    <t>Conservative governance, higher risk to LGBTQ+ children</t>
  </si>
  <si>
    <t>NGO encryption, donor protections</t>
  </si>
  <si>
    <t>Weak/partial privacy law, very high food insecurity, donor-dependent</t>
  </si>
  <si>
    <t>NGO/donor safeguards, staff training, child-data protection clauses in aid programs</t>
  </si>
  <si>
    <t>Status</t>
  </si>
  <si>
    <t xml:space="preserve">Recommendation </t>
  </si>
  <si>
    <t>Tier</t>
  </si>
  <si>
    <t>Draft AI Policy under consultation (validation workshop Jan 2025; Draft Implementation Plan v0.1 published). No binding law yet.</t>
  </si>
  <si>
    <t>https://www.gov.ls/ai-policy-validation-workshop/ ; https://www.gov.ls/download/draft-artificial-intelligence-policy-implementation-plan-version-0-1/</t>
  </si>
  <si>
    <t>Data Protection Act, 2011 (Act No. 5 of 2012) — in force; establishes the Data Protection Commission.</t>
  </si>
  <si>
    <t>https://lesotholii.org/akn/ls/act/2012/5/eng@2012-02-22/source.pdf ; https://unctad.org/page/data-protection-and-privacy-legislation-worldwide</t>
  </si>
  <si>
    <t>Children’s Protection and Welfare Act, 2011 + DPA 2011: parental consent required for processing sensitive data of children; best-interest principle embedded.</t>
  </si>
  <si>
    <t>https://lesotholii.org/akn/ls/act/2011/7/eng@2011-03-31/source.pdf ; https://lesotholii.org/akn/ls/act/2012/5/eng@2012-02-22/source.pdf</t>
  </si>
  <si>
    <t>DPA 2011 classifies “sexual life” as sensitive data (s.29(b)).</t>
  </si>
  <si>
    <t>https://lesotholii.org/akn/ls/act/2012/5/eng@2012-02-22/source.pdf</t>
  </si>
  <si>
    <t>Data Protection Commission created by Act 2011; members may be terminated by PM, funds from Consolidated Fund, reporting obligations → limited independence.</t>
  </si>
  <si>
    <t>DPA 2011 provides rights against automated decision-making but contains no DPIA clause.</t>
  </si>
  <si>
    <t>https://lesotholii.org/akn/ls/act/2010/6/eng@2012-06-01 ; https://lesotholii.org/akn/ls/act/1981/9/eng@1999-12-31/source.pdf ; https://www.ohchr.org/en/hr-bodies/upr/ls-index</t>
  </si>
  <si>
    <t>No explicit propaganda law. General indecency/obscenity provisions could be used against LGBTQ expression.</t>
  </si>
  <si>
    <t>https://lesotholii.org/akn/ls/act/2010/6/eng@2012-06-01</t>
  </si>
  <si>
    <t>Lesotho Communications Authority issued Child Online Protection Guidelines (2020) transposing ITU standards.</t>
  </si>
  <si>
    <t>https://lca.org.ls/wp-content/uploads/filr/3941/CHILD-ONLINE-PROTECTION-GUIDELINES_FINAL-2.pdf</t>
  </si>
  <si>
    <t>SIM registration mandatory under 2021 Regulations (in force 2022); requires NICR ID and live fingerprint verification; central database maintained by LCA.</t>
  </si>
  <si>
    <t>https://archive.gazettes.africa/archive/ls/2021/ls-government-gazette-dated-2021-05-21-no-52.pdf ; https://www.lca.org.ls/sim-registration-regulations-2011-revoked-sim-registration-regulations-2021/</t>
  </si>
  <si>
    <t>No biometric at SIM; ID-only</t>
  </si>
  <si>
    <t>SIM registration mandatory using Omang ID/passport. No biometric capture at point-of-sale, but Omang is biometric-backed, creating indirect linkage. Omang used but no biometric at SIM point.</t>
  </si>
  <si>
    <t>SIM registration mandatory with ID (passport or national ID). Omnipresence of biometric-backed ID creates indirect biometric link. ID required, but no biometric</t>
  </si>
  <si>
    <t>ID-based SIM registration; no biometric capture specified</t>
  </si>
  <si>
    <t>SIM registration mandatory using national ID. National ID system includes biometrics, linking SIMs indirectly to biometric data. ID-based SIM registration; biometric ID exists, but no biometric SIM reg</t>
  </si>
  <si>
    <t>No/Annulled. No propaganda laws, no morality policing identified.</t>
  </si>
  <si>
    <t>No evidence of propaganda laws or morality-based administrative censorship targeting LGBTQ expression. Decriminalised, no propaganda laws, no morality policing.</t>
  </si>
  <si>
    <t>No specific propaganda ban. General Penal Code morality/indecency provisions may be applied against LGBTQ expression. Same-sex criminalised; morality law environment.</t>
  </si>
  <si>
    <t>Yes (restrictions in Penal Code). Indecency + CSAC sanctions used.</t>
  </si>
  <si>
    <t>No explicit propaganda law, but Broadcasting Guidelines (2003) prohibit programmes vilifying based on “sexual preference” — indicating indirect restrictions. Broadcasting Guidelines restrict expression.</t>
  </si>
  <si>
    <t>Legal status unclear: Penal Code 2010/2011 repealed, but Criminal Procedure and Evidence Act 1981 still lists “sodomy” as an arrestable offence. No anti-discrimination protections.</t>
  </si>
  <si>
    <t>No national AI policy or law identified. Government engages in AU/UNESCO AI readiness initiatives.</t>
  </si>
  <si>
    <t>https://en.unesco.org/artificial-intelligence/observatory/policies?country=MG ; https://au.int/en/documents/20240620/continental-strategy-artificial-intelligence-africa-2024</t>
  </si>
  <si>
    <t>https://unctad.org/page/data-protection-and-privacy-legislation-worldwide ; https://afapdp.org/wp-content/uploads/2015/07/Madagascar-Law-2014-038.pdf</t>
  </si>
  <si>
    <t>Law 2014-038 provides baseline protections; Penal Code criminalises child sexual exploitation online/offline. No standalone COP strategy.</t>
  </si>
  <si>
    <t>https://unctad.org/page/data-protection-and-privacy-legislation-worldwide ; https://www.unicef.org/madagascar/</t>
  </si>
  <si>
    <t>Yes — Law 2014-038 defines sensitive data to include data concerning sex life, covering sexual orientation.</t>
  </si>
  <si>
    <t>https://afapdp.org/wp-content/uploads/2015/07/Madagascar-Law-2014-038.pdf</t>
  </si>
  <si>
    <t>CMIL created as an independent administrative authority under Law 2014-038.</t>
  </si>
  <si>
    <t>No explicit DPIA regime; law requires authorisation for sensitive/high-risk processing.</t>
  </si>
  <si>
    <t>https://www.humandignitytrust.org/country-profile/madagascar/ ; https://ilga.org/ilga-world-maps/</t>
  </si>
  <si>
    <t>https://www.humandignitytrust.org/country-profile/madagascar/</t>
  </si>
  <si>
    <t>No standalone COP strategy. UNICEF and government initiatives target online child protection and OCSEA prevention.</t>
  </si>
  <si>
    <t>SIM registration is mandatory. National ID system is biometric, linking SIMs indirectly to biometric data.</t>
  </si>
  <si>
    <t>No explicit propaganda laws. Penal Code indecency/morality provisions have been used restrictively against LGBTQ persons. Indecency provisions used against LGBTQ people.</t>
  </si>
  <si>
    <t>Law No. 2014-038 on Protection of Personal Data (in force). Establishes the Commission Malgasy sur l’Informatique et des Libertés (CMIL).</t>
  </si>
  <si>
    <t>Same-sex sexual activity is criminalised under Penal Code (Art. 331) (unequal age of consent, used to prosecute LGBTQ persons).</t>
  </si>
  <si>
    <t>No dedicated AI law/strategy enacted. Malawi is revising its National Science, Technology and Innovation Policy (NSTIP) to integrate AI.</t>
  </si>
  <si>
    <t>Data Protection Act, No. 3 of 2024 (assented Jan 31, 2024; commenced Feb 2, 2024) — in force.</t>
  </si>
  <si>
    <t>https://www.mca.ac.mw/mca-siteup/uploads/Data%20Protection%20Act%202024.pdf ; https://dpa.mw/about</t>
  </si>
  <si>
    <t>Processing children’s personal data requires parental consent and age checks (s.17). Broader protections via National Strategy on Child Protection 2022–2026.</t>
  </si>
  <si>
    <t>https://www.mca.ac.mw/mca-siteup/uploads/Data%20Protection%20Act%202024.pdf ; https://www.unicef.org/malawi/media/5066/file/National%20Strategy%20on%20Child%20Protection%202022-2026.pdf</t>
  </si>
  <si>
    <t>Act defines sensitive personal data, but does not expressly list sexual orientation/gender identity.</t>
  </si>
  <si>
    <t>https://www.mca.ac.mw/mca-siteup/uploads/Data%20Protection%20Act%202024.pdf</t>
  </si>
  <si>
    <t>Malawi Communications Regulatory Authority (MACRA) designated as Data Protection Authority; Act states it acts independently (s.4).</t>
  </si>
  <si>
    <t>Act requires Data Protection Impact Assessments where processing is likely to result in high risk, including profiling/automated processing.</t>
  </si>
  <si>
    <t>Same-sex conduct criminalised (Penal Code ss. 153–156, 137A). In June 2024, Constitutional Court declined to strike down these provisions.</t>
  </si>
  <si>
    <t>https://malawilii.org/akn/mw/act/1929/22/eng%402014-12-31 ; https://www.hrw.org/news/2024/07/11/dark-day-malawi-rights-lgbt-people ; https://upr-info.org/en/review/malawi</t>
  </si>
  <si>
    <t>No propaganda law identified, but Penal Code includes broad “gross indecency” provisions and Communications Act regulates online content.</t>
  </si>
  <si>
    <t>https://malawilii.org/akn/mw/act/1929/22/eng%402014-12-31 ; https://malawilii.org/akn/mw/act/2016/33/eng%402017-12-31</t>
  </si>
  <si>
    <t>MACRA has a Child Online Protection (COP) programme, strategy developed in 2023 with ITU, and national initiative launched in Feb 2025.</t>
  </si>
  <si>
    <t>SIM registration mandatory under 2023 Regulations; requires biometric verification against National Registration Bureau database; linkage to National ID.</t>
  </si>
  <si>
    <t>https://macra.mw/wpfd_file/communications-sim-card-registration-regulations-2023-2/ ; https://www.maravipost.com/macra-calls-for-compliance-in-sim-card-registration/</t>
  </si>
  <si>
    <t>National Artificial Intelligence Strategy (2018) in force; government budgets (2025–2026) emphasise AI adoption; sectoral FSC guidance for AI-enabled financial services (2021).</t>
  </si>
  <si>
    <t>Data Protection Act 2017 (Act 20 of 2017), in force since Jan 2018. GDPR-style framework.</t>
  </si>
  <si>
    <t>https://dataprotection.govmu.org/Documents/DPA_2017.pdf</t>
  </si>
  <si>
    <t>DPA 2017 prohibits processing data of children &lt;16 without parental consent (s.30). Children’s Act 2020 criminalises child grooming/pornography and protects privacy.</t>
  </si>
  <si>
    <t>https://dataprotection.govmu.org/Documents/DPA_2017.pdf ; https://www.icta.mu/documents/2023/06/The_Childrens_Act_2020.pdf</t>
  </si>
  <si>
    <t>DPA 2017 special categories include “sexual orientation, practices or preferences.”</t>
  </si>
  <si>
    <t>Data Protection Office acts “with complete independence and impartiality” (s.4(2)).</t>
  </si>
  <si>
    <t>DPA 2017 mandates DPIAs for high-risk processing, including profiling/automated decisions (s.34).</t>
  </si>
  <si>
    <t>Supreme Court decriminalised consensual same-sex intimacy in 2023 (Ah Seek v State). Equal Opportunities Act 2008 prohibits discrimination based on sexual orientation.</t>
  </si>
  <si>
    <t>https://www.icta.mu/documents/2021/11/ict_act.pdf ; https://www.icta.mu/documents/2023/06/The_Childrens_Act_2020.pdf</t>
  </si>
  <si>
    <t>https://www.icta.mu/acts-regulations/ ; https://www.icta.mu/wp-content/uploads/2025/01/Revocation_of_SIM_Registration_Regulations.pdf ; https://www.icta.mu/wp-content/uploads/2025/01/TD_1_of_2025.pdf</t>
  </si>
  <si>
    <t>No AI-specific law adopted. Work underway on a National Artificial Intelligence Strategy, as part of digital transformation (INTIC Data Diagnostic 2025; ITU–EU “VaMoz Digital!” project).</t>
  </si>
  <si>
    <t>https://intic.gov.mz/wp-content/uploads/2025/04/Mozambique-Data-Diagnostic-Prelim-Summary-April-2025-2.pdf ; https://www.itu.int/en/ITU-D/Regional-Presence/Africa/Pages/projects/2023/mozambique-vamoz-digital.aspx</t>
  </si>
  <si>
    <t>No comprehensive data protection law yet. Constitution Art. 71 guarantees privacy; AU Malabo Convention ratified (2019). Draft law under preparation.</t>
  </si>
  <si>
    <t>https://www.minec.gov.mz/index.php/documentos/legislacao/1-constituicao-da-republica-de-mocambique/file ; https://intic.gov.mz/wp-content/uploads/2025/04/Mozambique-Data-Diagnostic-Prelim-Summary-April-2025-2.pdf</t>
  </si>
  <si>
    <t>Law No. 7/2008 on Rights of the Child: IT use in best interests of the child (Art. 52). UNICEF Disrupting Harm (2022) highlights gaps in OCSEA response.</t>
  </si>
  <si>
    <t>No general data law, but Constitution protects privacy. Prior labour law (2007) included sex life in data protection. Current framework incomplete.</t>
  </si>
  <si>
    <t>No authority yet. Draft law proposes creation of an independent National Data Protection Authority (ANPD).</t>
  </si>
  <si>
    <t>https://intic.gov.mz/wp-content/uploads/2025/04/Mozambique-Data-Diagnostic-Prelim-Summary-April-2025-2.pdf</t>
  </si>
  <si>
    <t>No DPIA regime yet. Future draft law expected to include provisions.</t>
  </si>
  <si>
    <t>Same-sex conduct decriminalised under Penal Code 2014 (Law 35/2014).</t>
  </si>
  <si>
    <t>https://www.unicef.org/innocenti/innocenti/media/4116/file/DH-Mozambique-Report-2022.pdf</t>
  </si>
  <si>
    <t>No AI-specific Act. Namibia joined UNESCO AI Readiness (Aug 2025) and launched National Digital Strategy 2025–2028. AI governance groundwork linked to pending Data Protection Bill.</t>
  </si>
  <si>
    <t>https://www.unesco.org/en/artificial-intelligence/ram/namibia ; https://www.mict.gov.na/policies/downloads ; https://thebrief.com.na/2025/08/namibias-data-protection-bill-to-be-tabled-in-september/</t>
  </si>
  <si>
    <t>No law yet. Draft Data Protection Bill (2022) under consultation; government to table in Sept 2025.</t>
  </si>
  <si>
    <t>https://digitalpolicyalert.org/event/7358-mict-opens-public-consultation-on-draft-data-protection-bill-including-establishment-of-data-protection-supervisory-authority ; https://thebrief.com.na/2025/08/namibias-data-protection-bill-to-be-tabled-in-september/</t>
  </si>
  <si>
    <t>Draft Bill: parental/guardian consent required for processing child data; best interests principle. Child Care and Protection Act 2015 prohibits disclosure of child’s identity in legal/HIV contexts.</t>
  </si>
  <si>
    <t>Draft Bill defines sexual orientation as a “special category” of data (with heightened safeguards).</t>
  </si>
  <si>
    <t>No propaganda bans. Broadcasting Code (2018) prohibits hate speech (including on sexual orientation) but does not restrict LGBTQ expression.</t>
  </si>
  <si>
    <t>https://gazettes.africa/akn/na/officialGazette/government-gazette/2018-10-31/6750/eng@2018-10-31/source ; https://www.cran.na/download/broadcasting-code-for-broadcasting-licensees-6750-602-31october-2018/</t>
  </si>
  <si>
    <t>SIM registration mandatory (since 2023). Requires government photo ID and proof of address. Civil Registration and Identification Act 2024 provides for biometric ID, but not yet in force.</t>
  </si>
  <si>
    <t>No dedicated AI law or strategy. Tech governance handled through Data Protection Act 2023 and digital/cyber policies.</t>
  </si>
  <si>
    <t>DPA 2023 s.23: special safeguards for minors. Children’s (Amendment) Act 2020 strengthened protections.</t>
  </si>
  <si>
    <t>https://seylii.org/akn/sc/act/2023/24/eng%402023-12-22 ; https://seylii.org/akn/sc/act/2020/18</t>
  </si>
  <si>
    <t>DPA 2023 defines “sensitive data” including sexual orientation/sex life.</t>
  </si>
  <si>
    <t>https://seylii.org/akn/sc/act/2023/24/eng%402023-12-22</t>
  </si>
  <si>
    <t>Oversight by Information Commission, established under ATI Act 2018, independent authority.</t>
  </si>
  <si>
    <t>https://seylii.org/akn/sc/act/2018/4/eng%402018-07-24/source.pdf ; https://seylii.org/akn/sc/act/2023/24/eng%402023-12-22</t>
  </si>
  <si>
    <t>Same-sex relations decriminalised by Penal Code (Amendment) Act 2016. No recognition of same-sex marriage.</t>
  </si>
  <si>
    <t>https://seylii.org/akn/sc/act/2016/11 ; https://www.humandignitytrust.org/news/seychelles-decriminalises-consensual-same-sex-sexual-relations/</t>
  </si>
  <si>
    <t>No propaganda or morality-based restrictions identified.</t>
  </si>
  <si>
    <t>SIM registration mandatory (2020–2021) using national ID. No biometric capture required; SeyID (digital ID) includes biometrics but not used for SIM.</t>
  </si>
  <si>
    <t>https://www.nation.sc/articles/7243/stricter-sim-card-registration-to-curb-criminality ; https://www.ics.gov.sc/civil-status/national-identity-card</t>
  </si>
  <si>
    <t>National AI Policy Framework published (Oct 2024) for consultation. AI Institute of South Africa launched Nov 2022 (UJ/TUT hubs). No binding AI Act.</t>
  </si>
  <si>
    <t>Protection of Personal Information Act (POPIA), 2013 — in force.</t>
  </si>
  <si>
    <t>https://lawlibrary.org.za/akn/za/act/2013/4/eng</t>
  </si>
  <si>
    <t>POPIA prohibits processing children’s personal data unless narrow exceptions apply (ss.34–35).</t>
  </si>
  <si>
    <t>POPIA defines “special personal information” including sexual orientation and sex life.</t>
  </si>
  <si>
    <t>Information Regulator established under POPIA; independent, impartial, accountable to Parliament (s.39).</t>
  </si>
  <si>
    <t>Constitutional equality clause (s.9) prohibits discrimination on sexual orientation. Civil Union Act 2006 allows same-sex marriage.</t>
  </si>
  <si>
    <t>No propaganda bans or morality policing restricting LGBTQ expression.</t>
  </si>
  <si>
    <t>https://www.gov.za/documents/promotion-equality-and-prevention-unfair-discrimination-act ; https://www.sahrc.org.za/home/21/files/Hate%20Speech%20Information%20Sheet-%20print%20ready-.pdf</t>
  </si>
  <si>
    <t>SIM registration mandated by RICA 2002. Requires ID and proof of address, but no biometric requirement (biometric proposals not enacted).</t>
  </si>
  <si>
    <t>https://www.gov.za/documents/regulation-interception-communications-and-provision-communication-related-information-act ; https://www.icasa.org.za/uploads/files/Gen-900-of-2022-Numbering-Plan-Regs-Amendments-Draft.pdf</t>
  </si>
  <si>
    <t>No binding AI Act. In 2025, Ministry of Education issued “Guidelines for the Use of Generative AI in Education.” Draft National AI Strategy under preparation with UNESCO/AU support.</t>
  </si>
  <si>
    <t>https://www.education.go.tz/uploads/publications/en-1734439976-Guidelines%20for%20the%20Use%20of%20Generative%20AI%20in%20the%20Education%20Sector%202025-2028.pdf ; https://tanzania.un.org/sites/default/files/2025-07/National%20AI%20Readiness%20Report.pdf</t>
  </si>
  <si>
    <t>Personal Data Protection Act 2022 (Act 11/2022) in force; operationalised by 2023 Regulations. Establishes the Personal Data Protection Commission (PDPC).</t>
  </si>
  <si>
    <t>https://elibrary.osg.go.tz/items/7fab6bda-5f8b-4923-a4aa-981c98c15806 ; https://tanzlii.org/akn/tz/act/gn/2023/449c/eng%402023-07-04</t>
  </si>
  <si>
    <t>https://www.mawasiliano.go.tz/uploads/documents/sw-1691159153-GN%20NO.%20449C%20OF%202023.pdf ; https://tanzlii.org/akn/tz/act/2009/21/eng%402019-12-31</t>
  </si>
  <si>
    <t>PDPA defines sensitive data to include “gender” and “sex life,” capturing SOGI attributes.</t>
  </si>
  <si>
    <t>https://elibrary.osg.go.tz/items/7fab6bda-5f8b-4923-a4aa-981c98c15806</t>
  </si>
  <si>
    <t>PDPC established with legal personality, but appointment/budget controlled by President/Minister → limited independence.</t>
  </si>
  <si>
    <t>2023 Regulations require DPIAs for automated decision-making, profiling, biometric/genetic data, and child data.</t>
  </si>
  <si>
    <t>https://www.mawasiliano.go.tz/uploads/documents/sw-1691159153-GN%20NO.%20449C%20OF%202023.pdf</t>
  </si>
  <si>
    <t>SIM registration mandatory under 2020 Regulations. Anchored to National ID (NIN) with biometric fingerprint verification.</t>
  </si>
  <si>
    <t>No AI-specific law. National Digital Transformation Strategy 2023–2027 references AI. Zambia also endorsed the AU Continental AI Strategy (2024).</t>
  </si>
  <si>
    <t>https://www.smartzambia.gov.zm/download/national-digital-transformation-strategy-2023-2027/ ; https://au.int/en/documents/20240620/continental-strategy-artificial-intelligence-africa-2024</t>
  </si>
  <si>
    <t>Data Protection Act No. 3 of 2021, in force. Establishes the Office of the Data Protection Commissioner.</t>
  </si>
  <si>
    <t>https://zambialii.org/zm/legislation/act/2021/3/ ; https://unctad.org/page/data-protection-and-privacy-legislation-worldwide</t>
  </si>
  <si>
    <t>Data Protection Act 2021 includes children’s data as sensitive (s.2, s.6). ICT Policy (2023) recognises child online safety.</t>
  </si>
  <si>
    <t>https://zambialii.org/zm/legislation/act/2021/3/ ; https://www.smartzambia.gov.zm/download/national-digital-transformation-strategy-2023-2027/</t>
  </si>
  <si>
    <t>Act defines “sensitive personal data” to include sex life (s.2), covering sexual orientation.</t>
  </si>
  <si>
    <t>https://zambialii.org/zm/legislation/act/2021/3/</t>
  </si>
  <si>
    <t>Office of the Data Protection Commissioner established as independent authority, though appointments made by President.</t>
  </si>
  <si>
    <t>Act requires DPIAs for high-risk processing, including profiling and automated decisions.</t>
  </si>
  <si>
    <t>Same-sex conduct criminalised under Penal Code (ss.155–158). No anti-discrimination protections.</t>
  </si>
  <si>
    <t>https://www.humandignitytrust.org/country-profile/zambia/ ; https://ilga.org/ilga-world-maps/</t>
  </si>
  <si>
    <t>No explicit propaganda bans, but Penal Code morality/indecency provisions restrict LGBTQ expression.</t>
  </si>
  <si>
    <t>https://www.humandignitytrust.org/country-profile/zambia/</t>
  </si>
  <si>
    <t>No standalone COP strategy. Digital Transformation Strategy 2023–2027 references online child safety.</t>
  </si>
  <si>
    <t>https://www.smartzambia.gov.zm/download/national-digital-transformation-strategy-2023-2027/</t>
  </si>
  <si>
    <t>SIM registration mandatory since 2012; updated directives (2019) require biometric capture (fingerprint/photo) for SIM activation.</t>
  </si>
  <si>
    <t>No binding AI Act. Government references AI in National ICT Policy (2016, updated 2020) and Digital Economy Blueprint (2020). Draft AI/Big Data strategy under preparation (2024–2025).</t>
  </si>
  <si>
    <t>https://aipolicyportal.org/states/zimbabwe ; https://www.techzim.co.zw/2024/06/zimbabwes-ministry-of-ict-drafting-ai-and-big-data-strategy/</t>
  </si>
  <si>
    <t>Cybersecurity and Data Protection Act, 2021 (Act 5/2021) — in force, GDPR-inspired. Creates Cybersecurity and Monitoring Centre and Data Protection Authority.</t>
  </si>
  <si>
    <t>https://www.veritaszim.net/node/5577 ; https://unctad.org/page/data-protection-and-privacy-legislation-worldwide</t>
  </si>
  <si>
    <t>2021 Act defines “child” as under 18, requires parental consent for processing minors’ data. Child Protection and Welfare Act 2022 strengthens safeguards.</t>
  </si>
  <si>
    <t>https://www.veritaszim.net/node/5577 ; https://www.veritaszim.net/node/6289</t>
  </si>
  <si>
    <t>2021 Act defines “sensitive data” including sex life, covering sexual orientation.</t>
  </si>
  <si>
    <t>https://www.veritaszim.net/node/5577</t>
  </si>
  <si>
    <t>Data Protection Authority located within POTRAZ (telecom regulator), limiting independence.</t>
  </si>
  <si>
    <t>2021 Act requires Data Protection Impact Assessments for high-risk processing (sensitive data, profiling, cross-border transfers).</t>
  </si>
  <si>
    <t>Same-sex conduct criminalised under Criminal Law (Codification and Reform) Act (ss.73). No protections against SOGI discrimination.</t>
  </si>
  <si>
    <t>https://www.humandignitytrust.org/country-profile/zimbabwe/ ; https://ilga.org/ilga-world-maps/</t>
  </si>
  <si>
    <t>No propaganda laws, but broad morality/indecency provisions in Criminal Law Act enable restrictions against LGBTQ expression.</t>
  </si>
  <si>
    <t>https://www.humandignitytrust.org/country-profile/zimbabwe/</t>
  </si>
  <si>
    <t>No stand-alone COP strategy. 2023 Child Online Protection Framework developed by Ministry of ICT and Cyber Security.</t>
  </si>
  <si>
    <t>https://www.postzim.co.zw/2023/10/child-online-protection-framework-launched/ ; https://www.veritaszim.net/node/6289</t>
  </si>
  <si>
    <t>https://www.techzim.co.zw/2022/03/potraz-now-requiring-biometric-registration-for-sim-cards/ ; https://www.gsma.com/solutions-and-impact/connectivity-for-good/public-policy/mobile-policy-handbook/consumer-protection/mandatory-registration-of-prepaid-sims/</t>
  </si>
  <si>
    <t>https://scienceforafrica.foundation/sites/default/files/2025-03/Report%20the%20Malawi%20NSTIP%20National%20Stakeholder%20Consultative%20Workshop%20v2.pdf ; https://aipolicyportal.org/states/malawi</t>
  </si>
  <si>
    <t>https://macra.mw/macra-appoints-child-online-protection-ambassador/ ; https://mvcernt.mw/macra-and-partners-launch-child-online-safety-for-all-initiative/</t>
  </si>
  <si>
    <t>https://mitci.govmu.org/mitci/wp-content/uploads/2025/05/Mauritius-Artificial-Intelligence-Strategy-2018.pdf ; https://edbmauritius.org/newsroom/budget-2025-2026-artificial-intelligence ; https://www.fscmauritius.org/media/85170/credit-and-artificial-intelligence-enabled-advisory.pdf</t>
  </si>
  <si>
    <t>https://www.undp.org/press-releases/supreme-court-mauritius-decriminalises-same-sex-relations ; https://attorneygeneral.govmu.org/Documents/Laws%20of%20Mauritius/A-Z%20Acts/E/Equal%20Opportunities%20Act-E3.pdf</t>
  </si>
  <si>
    <t>No propaganda laws. Restrictions only via general indecency laws (ICT Act s.46).</t>
  </si>
  <si>
    <t>CERT-MU published Child Online Protection Guide (2019). Ongoing COP actions on child online safety (2025).</t>
  </si>
  <si>
    <t>https://www.cert.mu.org.ge/documents/Child_Online_Protection.pdf ; https://mitci.govmu.org/mitci/?page_id=5781</t>
  </si>
  <si>
    <t>2023 SIM Regulations mandate SIM capture and ID matching. Revoked in 2025 by GN No. 2/2025; now SIMs require ID but no biometric. Historical biometric linkage means fault remains.</t>
  </si>
  <si>
    <t>https://www.africanchildforum.org/clr/Legislation%20Per%20Country/Mozambique/mozambique_children_2008_por.pdf ; https://www.unicef.org/innocenti/innocenti/media/4116/file/DH-Mozambique-Report-2022.pdf</t>
  </si>
  <si>
    <t>https://www.minec.gov.mz/index.php/documentos/legislacao/1-constituicao-da-republica-de-mocambique/file ; https://www.clr.africanchildforum.org/mozambique/mozambique_labour_2007_en.pdf</t>
  </si>
  <si>
    <t>https://reformar.co.mz/documentos-diversos/lei-35-2014-reforma-penal-1.pdf/view ; https://www.ohchr.org/en/documents/country-reports/ahrc41add2-visit-mozambique-report-independent-expert-protection</t>
  </si>
  <si>
    <t>No provisions criminalising “promotion/propaganda.” Penal Code 2014 approved prior restrictions.</t>
  </si>
  <si>
    <t>https://reformar.co.mz/documentos-diversos/lei-35-2014-reforma-penal-1.pdf/view ; https://www.ohchr.org/en/hr-bodies/upr/mz-index</t>
  </si>
  <si>
    <t>No national COP strategy. UNICEF Disrupting Harm (2022) notes no COP programmes in place.</t>
  </si>
  <si>
    <t>Decree No. 13/2023 requires biometric SIM registration, with centralised back office centre and ID verification (fingerprint/face).</t>
  </si>
  <si>
    <t>https://www.incm.gov.mz/index.php/legislacao/legislacao-telemoveis/266-decreto-n-13-2023-regulamento-sobre-registo-dos-subscritores-dos-servicos-de-telecomunicacoes/file</t>
  </si>
  <si>
    <t>https://action-namibia.org/wp-content/uploads/2022/10/Data-Protection-Bill-March-2022.pdf ; https://namblii.org/akn/na/act/2015/3/eng@2019-11-14/source.pdf</t>
  </si>
  <si>
    <t>https://action-namibia.org/wp-content/uploads/2022/10/Data-Protection-Bill-March-2022.pdf</t>
  </si>
  <si>
    <t>No DPA exists yet. Draft Bill establishes a Supervisory Authority that is notionally independent.</t>
  </si>
  <si>
    <t>Draft Bill requires DPIAs for high-risk processing (extensive profiling, large-scale sensitive data, public monitoring).</t>
  </si>
  <si>
    <t>Consensual same-sex intimacy decriminalised in 2024 (Supreme Court ruling). Marriage Act 2024 excludes same-sex marriages (not commenced).</t>
  </si>
  <si>
    <t>https://namblii.org/akn/na/judgment/naclhc/2024/33 ; https://namblii.org/akn/na/act/2024/14/eng@2024-12-30</t>
  </si>
  <si>
    <t>National COP Task Force established with UNICEF support; research project into online grooming (2019–2022).</t>
  </si>
  <si>
    <t>https://www.unicef.org/namibia/media/1641/file/An%20exploratory%20into%20the%20nature%20and%20dynamics%20of%20online%20grooming%20in%20Namibia.pdf ; https://www.itu.int/en/cop/Documents/profiles/namibia.pdf</t>
  </si>
  <si>
    <t>https://namibiafactcheck.org.na/news-item/explainer-what-information-should-be-collected-during-sim-card-registration/ ; https://namblii.org/akn/na/act/2024/13/eng@2024-10-25/source.pdf</t>
  </si>
  <si>
    <t>https://seylii.org/akn/sc/act/2023/24/eng%402023-12-22 ; https://ict.gov.sc/documents/Policies/Seychelles%20National%20Cybersecurity%20Policy%202019.pdf</t>
  </si>
  <si>
    <t>Data Protection Act 2023 (Act 24 of 2023) — repealed 2003 law; commenced Dec 22, 2023.</t>
  </si>
  <si>
    <t>https://seylii.org/akn/sc/act/2023/24/eng%402023-12-22 ; https://globalcompliancenews.com/publications/data-protection-law-now-in-force-in-seychelles/</t>
  </si>
  <si>
    <t>DPA 2023 requires DPIAs for processing likely to result in high risk (s.48(4)).</t>
  </si>
  <si>
    <t>https://seylii.org/akn/sc/act/2010/11 ; https://seylii.org/akn/sc/act/1952/1/eng%402020-06-01</t>
  </si>
  <si>
    <t>No national COP strategy, but cybersecurity strategy (2019–2020) created child protection unit, and ITU/Commonwealth initiatives in place.</t>
  </si>
  <si>
    <t>https://ict.gov.sc/documents/Policies/Seychelles%20National%20Cybersecurity%20Policy%202019.pdf ; https://police.gov.sc/about-us/roles-and-functions/child-protection-unit</t>
  </si>
  <si>
    <t>https://www.ddct.gov.za/sa-national-ai-policy-framework-file/338-sa-national-ai-policy-framework.html ; https://www.gov.za/news/media-advisories/minister-khumbudzo-ntshavheni-launches-artificial ; https://www.ddct.gov.za/minister-s-speeches/534-south-africa-s-digital-transformation-infrastructure-roadmap.html</t>
  </si>
  <si>
    <t>https://lawlibrary.org.za/akn/za/act/2013/4/eng%402013-11-26/provision/chp_3_part_B_sec_34</t>
  </si>
  <si>
    <t>https://lawlibrary.org.za/akn/za/act/2013/4/eng%402013-11-26/provision/chp_3_part_A_sec_26</t>
  </si>
  <si>
    <t>https://lawlibrary.org.za/akn/za/act/2013/4/eng%402013-11-26/provision/chp_5_part_A_sec_39 ; https://inforegulator.org.za/about/</t>
  </si>
  <si>
    <t>POPIA Regulations (2018) require information officers to perform DPIAs. Regulator may require prior authorisation for high-risk processing (s.57).</t>
  </si>
  <si>
    <t>https://www.gov.za/sites/default/files/gcis_document/201805/41726gon1383.pdf ; https://inforegulator.org.za/wp-content/uploads/2021/06/Guidance-Note-on-Applications-for-Prior-Authorization-Section-57-and-58.pdf</t>
  </si>
  <si>
    <t>https://www.concourt.org.za/images/phocadownload/tet_english-2003.pdf ; https://lawlibrary.org.za/akn/za/act/2006/17/eng%402006-11-30/source</t>
  </si>
  <si>
    <t>National Child Protection (COP) programmes in place. POPIA + Films and Publications and Digital Technologies; supported by Films and Publications Amendment Act 2019 and Cybercrimes Act 2020.</t>
  </si>
  <si>
    <t>https://www.ddct.gov.za/sa-national-ai-policy-framework-file/338-sa-national-ai-policy-framework.html ; https://www.gov.za/documents/films-and-publications-amendment-act-11-2019-0 ; https://www.justice.gov.za/legislation/acts/2020-019.pdf</t>
  </si>
  <si>
    <t>PDPA 2022 defines sensitive data to include children’s data; requires DPIAs for processing involving children or vulnerable groups.</t>
  </si>
  <si>
    <t>Same-sex conduct criminalised under Penal Code (Mainland) and Penal Decree 2004 (Zanzibar).</t>
  </si>
  <si>
    <t>https://tanzlii.org/akn/tz/act/gn/2002/na-1/eng%402002-06-15 ; http://www.zanzibarassembly.go.tz/uploads/acts/2018_1535622805.pdf</t>
  </si>
  <si>
    <t>No propaganda law. But Online Content Regulations (2020/2022) allow takedown of “obscene/indecent” content, used to restrict LGBTQ expression.</t>
  </si>
  <si>
    <t>https://www.tcra.go.tz/documents/regulations</t>
  </si>
  <si>
    <t>No stand-alone COP strategy. TCRA runs COP programme and reporting support; included in national plans on ending violence against children.</t>
  </si>
  <si>
    <t>https://tcra.go.tz/pages/child-online-protection-cop ; https://www.itu.int/en/cop/Documents/tanzania/what-we-do-child-protection</t>
  </si>
  <si>
    <t>https://tanzlii.org/akn/tz/act/gn/2020/112/eng%402020-02-07 ; https://tcra.go.tz/uploads/documents/sw-1619088062-The%20Electronic%20and%20Postal%20Communications%20%28SIM%20Card%20Registration%29%20Regulations%202020.pdf</t>
  </si>
  <si>
    <t>https://www.zicta.zm/storage/posts/attachments/vm2jMl0bxTm9K0F2jB0uCzY0g1nB1RCsbi2a.pdf ; https://www.gsma.com/solutions-and-impact/connectivity-for-good/public-policy/mobile-policy-handbook/consumer-protection/mandatory-registration-of-prepaid-sims/</t>
  </si>
  <si>
    <t>SIM registration mandatory since 2011 (Regulations SI 95/2014). Requires ID; biometric SIM registration introduced in 2022 directive (face/photo capture).</t>
  </si>
  <si>
    <t>OLD_MAX</t>
  </si>
  <si>
    <t>OLD_MIN</t>
  </si>
  <si>
    <t>OLD_MAX - OLD_MIN</t>
  </si>
  <si>
    <t>NEW_MAX</t>
  </si>
  <si>
    <t>NEW_MIN</t>
  </si>
  <si>
    <t>NEW_MAX-NEW_MIN</t>
  </si>
  <si>
    <t>AI</t>
  </si>
  <si>
    <t>DP</t>
  </si>
  <si>
    <t>CD</t>
  </si>
  <si>
    <t>SD</t>
  </si>
  <si>
    <t>DI</t>
  </si>
  <si>
    <t>LS</t>
  </si>
  <si>
    <t>PO</t>
  </si>
  <si>
    <t>CS</t>
  </si>
  <si>
    <t>ID</t>
  </si>
  <si>
    <t>HR</t>
  </si>
  <si>
    <t>Asia</t>
  </si>
  <si>
    <t>SAARC</t>
  </si>
  <si>
    <t>Europe</t>
  </si>
  <si>
    <t>Council of Europe</t>
  </si>
  <si>
    <t>AMU</t>
  </si>
  <si>
    <t>Americas</t>
  </si>
  <si>
    <t>CARICOM</t>
  </si>
  <si>
    <t>MERCOSUR</t>
  </si>
  <si>
    <t>CIS</t>
  </si>
  <si>
    <t>Oceania</t>
  </si>
  <si>
    <t>PIF</t>
  </si>
  <si>
    <t>EU</t>
  </si>
  <si>
    <t>GCC</t>
  </si>
  <si>
    <t>Andean Community</t>
  </si>
  <si>
    <t>ASEAN</t>
  </si>
  <si>
    <t>EAC</t>
  </si>
  <si>
    <t>ECCAS</t>
  </si>
  <si>
    <t>USMCA</t>
  </si>
  <si>
    <t>Pacific Alliance</t>
  </si>
  <si>
    <t>SCO</t>
  </si>
  <si>
    <t>SICA</t>
  </si>
  <si>
    <t>IGAD</t>
  </si>
  <si>
    <t>Arab League</t>
  </si>
  <si>
    <t>OECD</t>
  </si>
  <si>
    <t>G7</t>
  </si>
  <si>
    <t>CANADA —</t>
  </si>
  <si>
    <t>Links</t>
  </si>
  <si>
    <t>Canada maintains a National Strategy for the Protection of Children from Sexual Exploitation on the Internet led by Public Safety Canada, supporting the RCMP’s National Child Exploitation Crime Centre and the Canadian Centre for Child Protection.</t>
  </si>
  <si>
    <t>https://www.publicsafety.gc.ca/cnt/rsrcs/pblctns/ntnl-strtgy-prtctn-chldrn-sexplttn/index-en.aspx https://www.rcmp-grc.gc.ca/en/national-child-exploitation-crime-centre</t>
  </si>
  <si>
    <t>https://laws-lois.justice.gc.ca/eng/acts/C-46/section-318.html https://laws-lois.justice.gc.ca/eng/acts/C-46/section-319.html https://laws.justice.gc.ca/eng/AnnualStatutes/2021_24/FullText.html</t>
  </si>
  <si>
    <t>https://www.tbs-sct.canada.ca/pol/doc-eng.aspx?id=18308 https://www.priv.gc.ca/en/privacy-topics/privacy-impact-assessments/ https://www.publicationsduquebec.gouv.qc.ca/fileadmin/Fichiers_client/lois_et_reglements/LoisAnnuelles/en/2021/2021C25A.PDF</t>
  </si>
  <si>
    <t>https://laws-lois.justice.gc.ca/eng/acts/t-3.4/ https://crtc.gc.ca/eng/phone/mobile/codesimpl.htm https://laws-lois.justice.gc.ca/eng/acts/p-8.6/</t>
  </si>
  <si>
    <t>Links.1</t>
  </si>
  <si>
    <t>Links.2</t>
  </si>
  <si>
    <t>Links.3</t>
  </si>
  <si>
    <t>Links.4</t>
  </si>
  <si>
    <t>Links.5</t>
  </si>
  <si>
    <t>Links.6</t>
  </si>
  <si>
    <t>Links.7</t>
  </si>
  <si>
    <t>Links.8</t>
  </si>
  <si>
    <t>Links.9</t>
  </si>
  <si>
    <t>Canada regulates federal public bodies under the Privacy Act (R.S.C., 1985, c. P-21) and private-sector organizations under the Personal Information Protection and Electronic Documents Act (PIPEDA) (S.C. 2000, c. 5). Three provinces have “substantially similar” private-sector laws—Québec’s Act respecting the protection of personal information in the private sector (modernized by 2021, c. 25 (“Law 25”)), Alberta’s Personal Information Protection Act, and British Columbia’s Personal Information Protection Act—which generally apply to provincially regulated activities in place of PIPEDA; PIPEDA still governs cross-border and federally regulated activities.</t>
  </si>
  <si>
    <t>https://laws-lois.justice.gc.ca/eng/acts/p-21/ https://laws-lois.justice.gc.ca/eng/acts/p-8.6/ https://www.legisquebec.gouv.qc.ca/en/showdoc/cs/P-39.1 https://www.publicationsduquebec.gouv.qc.ca/fileadmin/Fichiers_client/lois_et_reglements/LoisAnnuelles/en/2021/2021C25A.PDF https://www.qp.alberta.ca/documents/Acts/P06P5.pdf https://www.bclaws.gov.bc.ca/civix/document/id/complete/statreg/03063_01</t>
  </si>
  <si>
    <t>The Office of the Privacy Commissioner of Canada is an independent Agent of Parliament that oversees compliance with the Privacy Act and PIPEDA and reports directly to Parliament rather than to a minister.</t>
  </si>
  <si>
    <t>https://www.priv.gc.ca/en/about-the-opc/who-we-are/ https://www.priv.gc.ca/en/about-the-opc/what-we-do/</t>
  </si>
  <si>
    <t>Under PIPEDA, organizations must obtain “meaningful consent,” and OPC guidance stresses heightened protections for children; consent practices must match a child’s maturity and, for young children who cannot meaningfully consent, be obtained from a parent/guardian. Québec’s Law 25 further strengthens safeguards for minors, including privacy-by-default and a requirement that the holder of parental authority consent to the collection of personal information about a child under 14, subject to the child’s best interests.</t>
  </si>
  <si>
    <t>https://www.priv.gc.ca/en/privacy-topics/collecting-personal-information/consent/gl_omc_201805/ https://www.publicationsduquebec.gouv.qc.ca/fileadmin/Fichiers_client/lois_et_reglements/LoisAnnuelles/en/2021/2021C25A.PDF</t>
  </si>
  <si>
    <t>OPC interpretation treats information about sexual orientation and an individual’s sex life as generally “sensitive,” typically requiring stronger safeguards and a higher threshold for collection and use under PIPEDA.</t>
  </si>
  <si>
    <t>https://www.priv.gc.ca/en/privacy-topics/privacy-laws-in-canada/the-personal-information-protection-and-electronic-documents-act-pipeda/pipeda-compliance-help/pipeda-interpretation-bulletins/interpretations_10_sensible/</t>
  </si>
  <si>
    <t>Same-sex marriage has been legal nationwide since the Civil Marriage Act (S.C. 2005, c. 33). The Canadian Human Rights Act prohibits discrimination based on sexual orientation and, since 2017 (Bill C-16), expressly includes gender identity or expression. The Criminal Code’s hate-propaganda framework applies to “identifiable groups,” including sexual orientation and gender identity/expression.</t>
  </si>
  <si>
    <t>https://laws-lois.justice.gc.ca/eng/acts/c-31.5/ https://laws-lois.justice.gc.ca/eng/acts/h-6/ https://www.parl.ca/DocumentViewer/en/42-1/bill/C-16/royal-assent https://laws-lois.justice.gc.ca/eng/acts/C-46/section-318.html</t>
  </si>
  <si>
    <t>Canada does not criminalize the “promotion” of LGBTQ identities; instead, the Criminal Code prohibits advocating genocide (s.318) and the public incitement or wilful promotion of hatred against an identifiable group (s.319). “Conversion therapy” is expressly criminalized by 2021, c. 24 (in force Jan. 7, 2022).</t>
  </si>
  <si>
    <t>There is no stand-alone federal AI statute in force; federal departments are bound by the Treasury Board’s Directive on Automated Decision-Making (2019), which requires Algorithmic Impact Assessments, tiered safeguards, transparency and human oversight. The Pan-Canadian Artificial Intelligence Strategy (2017; renewed 2022) is a national funding program supporting AI research and talent (not a regulatory law).</t>
  </si>
  <si>
    <t>https://www.tbs-sct.canada.ca/pol/doc-eng.aspx?id=32592 https://www.canada.ca/en/government/system/digital-government/digital-government-innovations/responsible-use-ai/algorithmic-impact-assessment.html https://www.cifar.ca/ai/pan-canadian-artificial-intelligence-strategy</t>
  </si>
  <si>
    <t>Federal institutions must conduct Privacy Impact Assessments for programs/activities that involve personal information under the Treasury Board Directive; Québec’s Law 25 requires privacy impact assessments for projects involving systems or services that process personal information, capturing many higher-risk automated/AI deployments in that province.</t>
  </si>
  <si>
    <t>No federal statute mandates SIM registration linked to a national ID or to biometrics. Wireless services are governed by the Telecommunications Act and the CRTC’s Wireless Code; carriers may verify identity for service/credit purposes, but there is no requirement to register SIMs with biometric data, and any biometric collection would be subject to PIPEDA’s consent and necessity limits.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</si>
</sst>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font>
    <font>
      <b/>
      <sz val="13.5"/>
      <color theme="1"/>
      <name val="Calibri"/>
      <family val="2"/>
      <scheme val="minor"/>
    </font>
  </fonts>
  <fills count="15">
    <fill>
      <patternFill patternType="none"/>
    </fill>
    <fill>
      <patternFill patternType="gray125"/>
    </fill>
    <fill>
      <patternFill patternType="solid">
        <fgColor theme="9" tint="0.39997558519241921"/>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FFFF00"/>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92D050"/>
        <bgColor indexed="64"/>
      </patternFill>
    </fill>
    <fill>
      <patternFill patternType="solid">
        <fgColor rgb="FF00B050"/>
        <bgColor indexed="64"/>
      </patternFill>
    </fill>
    <fill>
      <patternFill patternType="solid">
        <fgColor rgb="FF7F4A53"/>
        <bgColor indexed="64"/>
      </patternFill>
    </fill>
    <fill>
      <patternFill patternType="solid">
        <fgColor rgb="FFD44F88"/>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505050"/>
      </left>
      <right style="thin">
        <color rgb="FF505050"/>
      </right>
      <top style="thin">
        <color rgb="FF505050"/>
      </top>
      <bottom style="thin">
        <color rgb="FF505050"/>
      </bottom>
      <diagonal/>
    </border>
  </borders>
  <cellStyleXfs count="2">
    <xf numFmtId="0" fontId="0" fillId="0" borderId="0"/>
    <xf numFmtId="0" fontId="2" fillId="0" borderId="0" applyNumberFormat="0" applyFill="0" applyBorder="0" applyAlignment="0" applyProtection="0">
      <alignment vertical="top"/>
      <protection locked="0"/>
    </xf>
  </cellStyleXfs>
  <cellXfs count="51">
    <xf numFmtId="0" fontId="0" fillId="0" borderId="0" xfId="0"/>
    <xf numFmtId="0" fontId="0" fillId="2" borderId="0" xfId="0" applyFill="1"/>
    <xf numFmtId="0" fontId="2" fillId="2" borderId="0" xfId="1" applyFill="1" applyAlignment="1" applyProtection="1"/>
    <xf numFmtId="0" fontId="0" fillId="3" borderId="0" xfId="0" applyFill="1"/>
    <xf numFmtId="0" fontId="2" fillId="3" borderId="0" xfId="1" applyFill="1" applyAlignment="1" applyProtection="1"/>
    <xf numFmtId="0" fontId="1" fillId="0" borderId="1" xfId="0" applyFont="1" applyFill="1" applyBorder="1" applyAlignment="1">
      <alignment horizontal="center" vertical="top"/>
    </xf>
    <xf numFmtId="0" fontId="0" fillId="0" borderId="0" xfId="0" applyFill="1"/>
    <xf numFmtId="0" fontId="2" fillId="0" borderId="0" xfId="1" applyFill="1" applyAlignment="1" applyProtection="1"/>
    <xf numFmtId="0" fontId="0" fillId="0" borderId="0" xfId="0" applyAlignment="1">
      <alignment wrapText="1"/>
    </xf>
    <xf numFmtId="0" fontId="3" fillId="0" borderId="0" xfId="0" applyFont="1" applyAlignment="1">
      <alignment wrapText="1"/>
    </xf>
    <xf numFmtId="0" fontId="0" fillId="0" borderId="0" xfId="0" applyAlignment="1"/>
    <xf numFmtId="0" fontId="0" fillId="0" borderId="0" xfId="0" applyFill="1" applyAlignment="1">
      <alignment wrapText="1"/>
    </xf>
    <xf numFmtId="0" fontId="0" fillId="2" borderId="0" xfId="0" applyFill="1" applyAlignment="1">
      <alignment wrapText="1"/>
    </xf>
    <xf numFmtId="0" fontId="0" fillId="4" borderId="0" xfId="0" applyFill="1"/>
    <xf numFmtId="0" fontId="0" fillId="5" borderId="0" xfId="0" applyFill="1"/>
    <xf numFmtId="0" fontId="1" fillId="0" borderId="2" xfId="0" applyFont="1" applyFill="1" applyBorder="1" applyAlignment="1">
      <alignment horizontal="center" vertical="top"/>
    </xf>
    <xf numFmtId="0" fontId="1" fillId="0" borderId="2" xfId="0" applyFont="1" applyBorder="1"/>
    <xf numFmtId="0" fontId="2" fillId="0" borderId="0" xfId="1" applyAlignment="1" applyProtection="1"/>
    <xf numFmtId="2" fontId="0" fillId="0" borderId="0" xfId="0" applyNumberFormat="1" applyFill="1"/>
    <xf numFmtId="0" fontId="0" fillId="3" borderId="0" xfId="0" applyFill="1" applyBorder="1"/>
    <xf numFmtId="0" fontId="2" fillId="3" borderId="0" xfId="1" applyFill="1" applyBorder="1" applyAlignment="1" applyProtection="1"/>
    <xf numFmtId="0" fontId="0" fillId="0" borderId="0" xfId="0" applyFill="1" applyBorder="1"/>
    <xf numFmtId="0" fontId="2" fillId="0" borderId="0" xfId="1" applyFill="1" applyBorder="1" applyAlignment="1" applyProtection="1"/>
    <xf numFmtId="0" fontId="0" fillId="0" borderId="0" xfId="0" applyBorder="1" applyAlignment="1"/>
    <xf numFmtId="2" fontId="0" fillId="0" borderId="0" xfId="0" applyNumberFormat="1" applyFill="1" applyBorder="1"/>
    <xf numFmtId="0" fontId="1" fillId="0" borderId="2" xfId="0" applyFont="1" applyFill="1" applyBorder="1"/>
    <xf numFmtId="2" fontId="1" fillId="0" borderId="2" xfId="0" applyNumberFormat="1" applyFont="1" applyFill="1" applyBorder="1"/>
    <xf numFmtId="0" fontId="0" fillId="6" borderId="0" xfId="0" applyFill="1"/>
    <xf numFmtId="0" fontId="2" fillId="6" borderId="0" xfId="1" applyFill="1" applyAlignment="1" applyProtection="1"/>
    <xf numFmtId="0" fontId="0" fillId="7" borderId="0" xfId="0" applyFill="1"/>
    <xf numFmtId="0" fontId="2" fillId="7" borderId="0" xfId="1" applyFill="1" applyAlignment="1" applyProtection="1"/>
    <xf numFmtId="0" fontId="0" fillId="8" borderId="0" xfId="0" applyFill="1"/>
    <xf numFmtId="0" fontId="2" fillId="8" borderId="0" xfId="1" applyFill="1" applyAlignment="1" applyProtection="1"/>
    <xf numFmtId="0" fontId="0" fillId="9" borderId="0" xfId="0" applyFill="1"/>
    <xf numFmtId="0" fontId="2" fillId="9" borderId="0" xfId="1" applyFill="1" applyAlignment="1" applyProtection="1"/>
    <xf numFmtId="0" fontId="0" fillId="10" borderId="0" xfId="0" applyFill="1"/>
    <xf numFmtId="0" fontId="2" fillId="10" borderId="0" xfId="1" applyFill="1" applyAlignment="1" applyProtection="1"/>
    <xf numFmtId="0" fontId="0" fillId="11" borderId="0" xfId="0" applyFill="1"/>
    <xf numFmtId="0" fontId="2" fillId="11" borderId="0" xfId="1" applyFill="1" applyAlignment="1" applyProtection="1"/>
    <xf numFmtId="0" fontId="0" fillId="12" borderId="0" xfId="0" applyFill="1"/>
    <xf numFmtId="0" fontId="2" fillId="12" borderId="0" xfId="1" applyFill="1" applyAlignment="1" applyProtection="1"/>
    <xf numFmtId="0" fontId="0" fillId="13" borderId="0" xfId="0" applyFill="1"/>
    <xf numFmtId="0" fontId="2" fillId="13" borderId="0" xfId="1" applyFill="1" applyAlignment="1" applyProtection="1"/>
    <xf numFmtId="0" fontId="0" fillId="14" borderId="0" xfId="0" applyFill="1"/>
    <xf numFmtId="0" fontId="2" fillId="14" borderId="0" xfId="1" applyFill="1" applyAlignment="1" applyProtection="1"/>
    <xf numFmtId="0" fontId="1" fillId="0" borderId="0" xfId="0" applyFont="1" applyFill="1" applyBorder="1" applyAlignment="1">
      <alignment horizontal="center" vertical="top"/>
    </xf>
    <xf numFmtId="0" fontId="1" fillId="0" borderId="0" xfId="0" applyFont="1" applyFill="1" applyBorder="1"/>
    <xf numFmtId="2" fontId="1" fillId="0" borderId="0" xfId="0" applyNumberFormat="1" applyFont="1" applyFill="1" applyBorder="1"/>
    <xf numFmtId="0" fontId="0" fillId="0" borderId="0" xfId="0" applyBorder="1"/>
    <xf numFmtId="0" fontId="0" fillId="0" borderId="0" xfId="0" applyBorder="1" applyAlignment="1">
      <alignment wrapText="1"/>
    </xf>
    <xf numFmtId="0" fontId="2" fillId="0" borderId="0" xfId="1" applyBorder="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unctad.org/page/data-protection-and-privacy-legislation-worldwide" TargetMode="External"/><Relationship Id="rId1827" Type="http://schemas.openxmlformats.org/officeDocument/2006/relationships/hyperlink" Target="https://www.humandignitytrust.org/country-profile/ukraine/;%20https:/ilga.org/ilga-world-maps/" TargetMode="External"/><Relationship Id="rId21" Type="http://schemas.openxmlformats.org/officeDocument/2006/relationships/hyperlink" Target="https://www.itu.int/en/ITU-D/ICT-Applications/Pages/artificial-intelligence-policy-algeria.aspx" TargetMode="External"/><Relationship Id="rId17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268" Type="http://schemas.openxmlformats.org/officeDocument/2006/relationships/hyperlink" Target="https://ilga.org/ilga-world-maps/" TargetMode="External"/><Relationship Id="rId475" Type="http://schemas.openxmlformats.org/officeDocument/2006/relationships/hyperlink" Target="https://unctad.org/page/data-protection-and-privacy-legislation-worldwide" TargetMode="External"/><Relationship Id="rId682" Type="http://schemas.openxmlformats.org/officeDocument/2006/relationships/hyperlink" Target="https://unctad.org/page/data-protection-and-privacy-legislation-worldwide" TargetMode="External"/><Relationship Id="rId128" Type="http://schemas.openxmlformats.org/officeDocument/2006/relationships/hyperlink" Target="https://ilga.org/ilga-world-maps/" TargetMode="External"/><Relationship Id="rId335" Type="http://schemas.openxmlformats.org/officeDocument/2006/relationships/hyperlink" Target="https://unctad.org/page/data-protection-and-privacy-legislation-worldwide" TargetMode="External"/><Relationship Id="rId542" Type="http://schemas.openxmlformats.org/officeDocument/2006/relationships/hyperlink" Target="https://unctad.org/page/data-protection-and-privacy-legislation-worldwide" TargetMode="External"/><Relationship Id="rId987" Type="http://schemas.openxmlformats.org/officeDocument/2006/relationships/hyperlink" Target="https://www.humandignitytrust.org/country-profile/liechtenstein/;%20https:/ilga.org/ilga-world-maps/" TargetMode="External"/><Relationship Id="rId1172" Type="http://schemas.openxmlformats.org/officeDocument/2006/relationships/hyperlink" Target="https://unctad.org/page/data-protection-and-privacy-legislation-worldwide" TargetMode="External"/><Relationship Id="rId402" Type="http://schemas.openxmlformats.org/officeDocument/2006/relationships/hyperlink" Target="https://unctad.org/page/data-protection-and-privacy-legislation-worldwide" TargetMode="External"/><Relationship Id="rId847" Type="http://schemas.openxmlformats.org/officeDocument/2006/relationships/hyperlink" Target="https://www.humandignitytrust.org/country-profile/jamaica/;%20https:/ilga.org/ilga-world-maps/" TargetMode="External"/><Relationship Id="rId1032" Type="http://schemas.openxmlformats.org/officeDocument/2006/relationships/hyperlink" Target="https://unctad.org/page/data-protection-and-privacy-legislation-worldwide" TargetMode="External"/><Relationship Id="rId1477" Type="http://schemas.openxmlformats.org/officeDocument/2006/relationships/hyperlink" Target="https://www.humandignitytrust.org/country-profile/samoa/;%20https:/ilga.org/ilga-world-maps/" TargetMode="External"/><Relationship Id="rId1684" Type="http://schemas.openxmlformats.org/officeDocument/2006/relationships/hyperlink" Target="https://unctad.org/page/data-protection-and-privacy-legislation-worldwide" TargetMode="External"/><Relationship Id="rId1891" Type="http://schemas.openxmlformats.org/officeDocument/2006/relationships/hyperlink" Target="https://www.unesco.org/ethics-ai/en/global-hub" TargetMode="External"/><Relationship Id="rId707" Type="http://schemas.openxmlformats.org/officeDocument/2006/relationships/hyperlink" Target="https://www.humandignitytrust.org/country-profile/guinea/;%20https:/ilga.org/ilga-world-maps/" TargetMode="External"/><Relationship Id="rId914" Type="http://schemas.openxmlformats.org/officeDocument/2006/relationships/hyperlink" Target="https://unctad.org/page/data-protection-and-privacy-legislation-worldwide" TargetMode="External"/><Relationship Id="rId1337" Type="http://schemas.openxmlformats.org/officeDocument/2006/relationships/hyperlink" Target="https://www.humandignitytrust.org/country-profile/paraguay/;%20https:/ilga.org/ilga-world-maps/" TargetMode="External"/><Relationship Id="rId1544" Type="http://schemas.openxmlformats.org/officeDocument/2006/relationships/hyperlink" Target="https://unctad.org/page/data-protection-and-privacy-legislation-worldwide" TargetMode="External"/><Relationship Id="rId1751" Type="http://schemas.openxmlformats.org/officeDocument/2006/relationships/hyperlink" Target="https://en.unesco.org/artificial-intelligence/observatory/policies?country=TO;%20https://www.unesco.org/ethics-ai/en/global-hub" TargetMode="External"/><Relationship Id="rId43" Type="http://schemas.openxmlformats.org/officeDocument/2006/relationships/hyperlink" Target="https://unctad.org/page/data-protection-and-privacy-legislation-worldwide;%20https:/www.unicef.org/angola/" TargetMode="External"/><Relationship Id="rId1404" Type="http://schemas.openxmlformats.org/officeDocument/2006/relationships/hyperlink" Target="https://unctad.org/page/data-protection-and-privacy-legislation-worldwide" TargetMode="External"/><Relationship Id="rId1611" Type="http://schemas.openxmlformats.org/officeDocument/2006/relationships/hyperlink" Target="https://en.unesco.org/artificial-intelligence/observatory/policies?country=SS;%20https://www.unesco.org/ethics-ai/en/global-hub" TargetMode="External"/><Relationship Id="rId1849" Type="http://schemas.openxmlformats.org/officeDocument/2006/relationships/hyperlink" Target="https://www.unicef.org/united-kingdom-of-great-britain-and-northern-ireland/" TargetMode="External"/><Relationship Id="rId192" Type="http://schemas.openxmlformats.org/officeDocument/2006/relationships/hyperlink" Target="https://unctad.org/page/data-protection-and-privacy-legislation-worldwide" TargetMode="External"/><Relationship Id="rId1709" Type="http://schemas.openxmlformats.org/officeDocument/2006/relationships/hyperlink" Target="https://www.unicef.org/tajikistan/" TargetMode="External"/><Relationship Id="rId1916" Type="http://schemas.openxmlformats.org/officeDocument/2006/relationships/hyperlink" Target="https://unctad.org/page/data-protection-and-privacy-legislation-worldwide" TargetMode="External"/><Relationship Id="rId497" Type="http://schemas.openxmlformats.org/officeDocument/2006/relationships/hyperlink" Target="https://www.humandignitytrust.org/country-profile/dominica/;%20https:/ilga.org/ilga-world-maps/" TargetMode="External"/><Relationship Id="rId357" Type="http://schemas.openxmlformats.org/officeDocument/2006/relationships/hyperlink" Target="https://www.humandignitytrust.org/country-profile/china/;%20https:/ilga.org/ilga-world-maps/" TargetMode="External"/><Relationship Id="rId1194" Type="http://schemas.openxmlformats.org/officeDocument/2006/relationships/hyperlink" Target="https://unctad.org/page/data-protection-and-privacy-legislation-worldwide" TargetMode="External"/><Relationship Id="rId217" Type="http://schemas.openxmlformats.org/officeDocument/2006/relationships/hyperlink" Target="https://www.humandignitytrust.org/country-profile/bosnia-and-herzegovina/;%20https:/ilga.org/ilga-world-maps/" TargetMode="External"/><Relationship Id="rId564" Type="http://schemas.openxmlformats.org/officeDocument/2006/relationships/hyperlink" Target="https://unctad.org/page/data-protection-and-privacy-legislation-worldwide" TargetMode="External"/><Relationship Id="rId771" Type="http://schemas.openxmlformats.org/officeDocument/2006/relationships/hyperlink" Target="https://en.unesco.org/artificial-intelligence/observatory/policies?country=IN;%20https://www.unesco.org/ethics-ai/en/global-hub" TargetMode="External"/><Relationship Id="rId869" Type="http://schemas.openxmlformats.org/officeDocument/2006/relationships/hyperlink" Target="https://www.unicef.org/jordan/" TargetMode="External"/><Relationship Id="rId1499" Type="http://schemas.openxmlformats.org/officeDocument/2006/relationships/hyperlink" Target="https://www.unicef.org/sao-tome-and-principe/" TargetMode="External"/><Relationship Id="rId424" Type="http://schemas.openxmlformats.org/officeDocument/2006/relationships/hyperlink" Target="https://unctad.org/page/data-protection-and-privacy-legislation-worldwide" TargetMode="External"/><Relationship Id="rId631" Type="http://schemas.openxmlformats.org/officeDocument/2006/relationships/hyperlink" Target="https://en.unesco.org/artificial-intelligence/observatory/policies?country=GM;%20https://www.unesco.org/ethics-ai/en/global-hub" TargetMode="External"/><Relationship Id="rId729" Type="http://schemas.openxmlformats.org/officeDocument/2006/relationships/hyperlink" Target="https://www.unicef.org/guyana/" TargetMode="External"/><Relationship Id="rId1054" Type="http://schemas.openxmlformats.org/officeDocument/2006/relationships/hyperlink" Target="https://unctad.org/page/data-protection-and-privacy-legislation-worldwide" TargetMode="External"/><Relationship Id="rId1261" Type="http://schemas.openxmlformats.org/officeDocument/2006/relationships/hyperlink" Target="https://en.unesco.org/artificial-intelligence/observatory/policies?country=MK;%20https://www.unesco.org/ethics-ai/en/global-hub" TargetMode="External"/><Relationship Id="rId1359" Type="http://schemas.openxmlformats.org/officeDocument/2006/relationships/hyperlink" Target="https://www.unicef.org/philippines/" TargetMode="External"/><Relationship Id="rId936" Type="http://schemas.openxmlformats.org/officeDocument/2006/relationships/hyperlink" Target="https://gdpr-info.eu/art-35-gdpr/" TargetMode="External"/><Relationship Id="rId1121" Type="http://schemas.openxmlformats.org/officeDocument/2006/relationships/hyperlink" Target="https://en.unesco.org/artificial-intelligence/observatory/policies?country=MC;%20https://www.unesco.org/ethics-ai/en/global-hub" TargetMode="External"/><Relationship Id="rId1219" Type="http://schemas.openxmlformats.org/officeDocument/2006/relationships/hyperlink" Target="https://www.unicef.org/netherlands/" TargetMode="External"/><Relationship Id="rId1566" Type="http://schemas.openxmlformats.org/officeDocument/2006/relationships/hyperlink" Target="https://gdpr-info.eu/art-35-gdpr/" TargetMode="External"/><Relationship Id="rId1773" Type="http://schemas.openxmlformats.org/officeDocument/2006/relationships/hyperlink" Target="https://unctad.org/page/data-protection-and-privacy-legislation-worldwide;%20https:/www.unicef.org/tunisia/" TargetMode="External"/><Relationship Id="rId65" Type="http://schemas.openxmlformats.org/officeDocument/2006/relationships/hyperlink" Target="https://unctad.org/page/data-protection-and-privacy-legislation-worldwide" TargetMode="External"/><Relationship Id="rId1426" Type="http://schemas.openxmlformats.org/officeDocument/2006/relationships/hyperlink" Target="https://unctad.org/page/data-protection-and-privacy-legislation-worldwide" TargetMode="External"/><Relationship Id="rId1633" Type="http://schemas.openxmlformats.org/officeDocument/2006/relationships/hyperlink" Target="https://unctad.org/page/data-protection-and-privacy-legislation-worldwide;%20https:/www.unicef.org/sri-lanka/" TargetMode="External"/><Relationship Id="rId184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700" Type="http://schemas.openxmlformats.org/officeDocument/2006/relationships/hyperlink" Target="https://www.gsma.com/solutions-and-impact/connectivity-for-good/public-policy/mobile-policy-handbook/consumer-protection/mandatory-registration-of-prepaid-sims/" TargetMode="External"/><Relationship Id="rId1938" Type="http://schemas.openxmlformats.org/officeDocument/2006/relationships/hyperlink" Target="https://ilga.org/ilga-world-maps/" TargetMode="External"/><Relationship Id="rId281" Type="http://schemas.openxmlformats.org/officeDocument/2006/relationships/hyperlink" Target="https://en.unesco.org/artificial-intelligence/observatory/policies?country=CV;%20https://www.unesco.org/ethics-ai/en/global-hub" TargetMode="External"/><Relationship Id="rId141" Type="http://schemas.openxmlformats.org/officeDocument/2006/relationships/hyperlink" Target="https://en.unesco.org/artificial-intelligence/observatory/policies?country=BB;%20https://www.unesco.org/ethics-ai/en/global-hub" TargetMode="External"/><Relationship Id="rId379" Type="http://schemas.openxmlformats.org/officeDocument/2006/relationships/hyperlink" Target="https://www.unicef.org/comoros/" TargetMode="External"/><Relationship Id="rId586" Type="http://schemas.openxmlformats.org/officeDocument/2006/relationships/hyperlink" Target="https://unctad.org/page/data-protection-and-privacy-legislation-worldwide" TargetMode="External"/><Relationship Id="rId793" Type="http://schemas.openxmlformats.org/officeDocument/2006/relationships/hyperlink" Target="https://www.unicef.org/iran-islamic-republic-of/" TargetMode="External"/><Relationship Id="rId7" Type="http://schemas.openxmlformats.org/officeDocument/2006/relationships/hyperlink" Target="https://www.humandignitytrust.org/country-profile/afghanistan/;%20https:/ilga.org/maps-sexual-orientation-laws" TargetMode="External"/><Relationship Id="rId239" Type="http://schemas.openxmlformats.org/officeDocument/2006/relationships/hyperlink" Target="https://www.unicef.org/brazil/" TargetMode="External"/><Relationship Id="rId446" Type="http://schemas.openxmlformats.org/officeDocument/2006/relationships/hyperlink" Target="https://unctad.org/page/data-protection-and-privacy-legislation-worldwide" TargetMode="External"/><Relationship Id="rId653" Type="http://schemas.openxmlformats.org/officeDocument/2006/relationships/hyperlink" Target="https://unctad.org/page/data-protection-and-privacy-legislation-worldwide;%20https:/www.unicef.org/germany/" TargetMode="External"/><Relationship Id="rId1076" Type="http://schemas.openxmlformats.org/officeDocument/2006/relationships/hyperlink" Target="https://unctad.org/page/data-protection-and-privacy-legislation-worldwide" TargetMode="External"/><Relationship Id="rId1283" Type="http://schemas.openxmlformats.org/officeDocument/2006/relationships/hyperlink" Target="https://www.unicef.org/oman/" TargetMode="External"/><Relationship Id="rId1490" Type="http://schemas.openxmlformats.org/officeDocument/2006/relationships/hyperlink" Target="https://www.gsma.com/solutions-and-impact/connectivity-for-good/public-policy/mobile-policy-handbook/consumer-protection/mandatory-registration-of-prepaid-sims/" TargetMode="External"/><Relationship Id="rId306" Type="http://schemas.openxmlformats.org/officeDocument/2006/relationships/hyperlink" Target="https://unctad.org/page/data-protection-and-privacy-legislation-worldwide" TargetMode="External"/><Relationship Id="rId86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958" Type="http://schemas.openxmlformats.org/officeDocument/2006/relationships/hyperlink" Target="https://ilga.org/ilga-world-maps/" TargetMode="External"/><Relationship Id="rId1143" Type="http://schemas.openxmlformats.org/officeDocument/2006/relationships/hyperlink" Target="https://unctad.org/page/data-protection-and-privacy-legislation-worldwide;%20https:/www.unicef.org/montenegro/" TargetMode="External"/><Relationship Id="rId1588" Type="http://schemas.openxmlformats.org/officeDocument/2006/relationships/hyperlink" Target="https://ilga.org/ilga-world-maps/" TargetMode="External"/><Relationship Id="rId1795" Type="http://schemas.openxmlformats.org/officeDocument/2006/relationships/hyperlink" Target="https://unctad.org/page/data-protection-and-privacy-legislation-worldwide" TargetMode="External"/><Relationship Id="rId87" Type="http://schemas.openxmlformats.org/officeDocument/2006/relationships/hyperlink" Target="https://www.humandignitytrust.org/country-profile/australia/;%20https:/ilga.org/ilga-world-maps/" TargetMode="External"/><Relationship Id="rId513" Type="http://schemas.openxmlformats.org/officeDocument/2006/relationships/hyperlink" Target="https://unctad.org/page/data-protection-and-privacy-legislation-worldwide;%20https:/www.unicef.org/ecuador/" TargetMode="External"/><Relationship Id="rId720" Type="http://schemas.openxmlformats.org/officeDocument/2006/relationships/hyperlink" Target="https://www.gsma.com/solutions-and-impact/connectivity-for-good/public-policy/mobile-policy-handbook/consumer-protection/mandatory-registration-of-prepaid-sims/" TargetMode="External"/><Relationship Id="rId818" Type="http://schemas.openxmlformats.org/officeDocument/2006/relationships/hyperlink" Target="https://ilga.org/ilga-world-maps/" TargetMode="External"/><Relationship Id="rId1350" Type="http://schemas.openxmlformats.org/officeDocument/2006/relationships/hyperlink" Target="https://www.gsma.com/solutions-and-impact/connectivity-for-good/public-policy/mobile-policy-handbook/consumer-protection/mandatory-registration-of-prepaid-sims/" TargetMode="External"/><Relationship Id="rId1448" Type="http://schemas.openxmlformats.org/officeDocument/2006/relationships/hyperlink" Target="https://ilga.org/ilga-world-maps/" TargetMode="External"/><Relationship Id="rId1655" Type="http://schemas.openxmlformats.org/officeDocument/2006/relationships/hyperlink" Target="https://unctad.org/page/data-protection-and-privacy-legislation-worldwide" TargetMode="External"/><Relationship Id="rId1003" Type="http://schemas.openxmlformats.org/officeDocument/2006/relationships/hyperlink" Target="https://unctad.org/page/data-protection-and-privacy-legislation-worldwide;%20https:/www.unicef.org/luxembourg/" TargetMode="External"/><Relationship Id="rId121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308" Type="http://schemas.openxmlformats.org/officeDocument/2006/relationships/hyperlink" Target="https://ilga.org/ilga-world-maps/" TargetMode="External"/><Relationship Id="rId1862" Type="http://schemas.openxmlformats.org/officeDocument/2006/relationships/hyperlink" Target="https://unctad.org/page/data-protection-and-privacy-legislation-worldwide" TargetMode="External"/><Relationship Id="rId1515" Type="http://schemas.openxmlformats.org/officeDocument/2006/relationships/hyperlink" Target="https://unctad.org/page/data-protection-and-privacy-legislation-worldwide" TargetMode="External"/><Relationship Id="rId1722" Type="http://schemas.openxmlformats.org/officeDocument/2006/relationships/hyperlink" Target="https://unctad.org/page/data-protection-and-privacy-legislation-worldwide" TargetMode="External"/><Relationship Id="rId14" Type="http://schemas.openxmlformats.org/officeDocument/2006/relationships/hyperlink" Target="https://idp.al/wp-content/uploads/2018/11/Law_9887_2008_EN.pdf%20(Art.%206)" TargetMode="External"/><Relationship Id="rId163" Type="http://schemas.openxmlformats.org/officeDocument/2006/relationships/hyperlink" Target="https://unctad.org/page/data-protection-and-privacy-legislation-worldwide;%20https:/www.unicef.org/belgium/" TargetMode="External"/><Relationship Id="rId37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23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468" Type="http://schemas.openxmlformats.org/officeDocument/2006/relationships/hyperlink" Target="https://ilga.org/ilga-world-maps/" TargetMode="External"/><Relationship Id="rId675" Type="http://schemas.openxmlformats.org/officeDocument/2006/relationships/hyperlink" Target="https://unctad.org/page/data-protection-and-privacy-legislation-worldwide" TargetMode="External"/><Relationship Id="rId882" Type="http://schemas.openxmlformats.org/officeDocument/2006/relationships/hyperlink" Target="https://unctad.org/page/data-protection-and-privacy-legislation-worldwide" TargetMode="External"/><Relationship Id="rId1098" Type="http://schemas.openxmlformats.org/officeDocument/2006/relationships/hyperlink" Target="https://ilga.org/ilga-world-maps/" TargetMode="External"/><Relationship Id="rId328" Type="http://schemas.openxmlformats.org/officeDocument/2006/relationships/hyperlink" Target="https://ilga.org/ilga-world-maps/" TargetMode="External"/><Relationship Id="rId535" Type="http://schemas.openxmlformats.org/officeDocument/2006/relationships/hyperlink" Target="https://unctad.org/page/data-protection-and-privacy-legislation-worldwide" TargetMode="External"/><Relationship Id="rId742" Type="http://schemas.openxmlformats.org/officeDocument/2006/relationships/hyperlink" Target="https://unctad.org/page/data-protection-and-privacy-legislation-worldwide" TargetMode="External"/><Relationship Id="rId1165" Type="http://schemas.openxmlformats.org/officeDocument/2006/relationships/hyperlink" Target="https://unctad.org/page/data-protection-and-privacy-legislation-worldwide" TargetMode="External"/><Relationship Id="rId1372" Type="http://schemas.openxmlformats.org/officeDocument/2006/relationships/hyperlink" Target="https://unctad.org/page/data-protection-and-privacy-legislation-worldwide" TargetMode="External"/><Relationship Id="rId602" Type="http://schemas.openxmlformats.org/officeDocument/2006/relationships/hyperlink" Target="https://unctad.org/page/data-protection-and-privacy-legislation-worldwide" TargetMode="External"/><Relationship Id="rId1025" Type="http://schemas.openxmlformats.org/officeDocument/2006/relationships/hyperlink" Target="https://unctad.org/page/data-protection-and-privacy-legislation-worldwide" TargetMode="External"/><Relationship Id="rId1232" Type="http://schemas.openxmlformats.org/officeDocument/2006/relationships/hyperlink" Target="https://unctad.org/page/data-protection-and-privacy-legislation-worldwide" TargetMode="External"/><Relationship Id="rId1677" Type="http://schemas.openxmlformats.org/officeDocument/2006/relationships/hyperlink" Target="https://www.humandignitytrust.org/country-profile/sweden/;%20https:/ilga.org/ilga-world-maps/" TargetMode="External"/><Relationship Id="rId1884" Type="http://schemas.openxmlformats.org/officeDocument/2006/relationships/hyperlink" Target="https://unctad.org/page/data-protection-and-privacy-legislation-worldwide" TargetMode="External"/><Relationship Id="rId907" Type="http://schemas.openxmlformats.org/officeDocument/2006/relationships/hyperlink" Target="https://www.humandignitytrust.org/country-profile/kuwait/;%20https:/ilga.org/ilga-world-maps/" TargetMode="External"/><Relationship Id="rId1537" Type="http://schemas.openxmlformats.org/officeDocument/2006/relationships/hyperlink" Target="https://www.humandignitytrust.org/country-profile/seychelles/;%20https:/ilga.org/ilga-world-maps/" TargetMode="External"/><Relationship Id="rId1744" Type="http://schemas.openxmlformats.org/officeDocument/2006/relationships/hyperlink" Target="https://unctad.org/page/data-protection-and-privacy-legislation-worldwide" TargetMode="External"/><Relationship Id="rId36" Type="http://schemas.openxmlformats.org/officeDocument/2006/relationships/hyperlink" Target="https://apda.ad/wp-content/uploads/2021/12/LQPD-EN.pdf" TargetMode="External"/><Relationship Id="rId1604" Type="http://schemas.openxmlformats.org/officeDocument/2006/relationships/hyperlink" Target="https://unctad.org/page/data-protection-and-privacy-legislation-worldwide" TargetMode="External"/><Relationship Id="rId185" Type="http://schemas.openxmlformats.org/officeDocument/2006/relationships/hyperlink" Target="https://unctad.org/page/data-protection-and-privacy-legislation-worldwide" TargetMode="External"/><Relationship Id="rId1811" Type="http://schemas.openxmlformats.org/officeDocument/2006/relationships/hyperlink" Target="https://en.unesco.org/artificial-intelligence/observatory/policies?country=UG;%20https://www.unesco.org/ethics-ai/en/global-hub" TargetMode="External"/><Relationship Id="rId1909" Type="http://schemas.openxmlformats.org/officeDocument/2006/relationships/hyperlink" Target="https://www.unicef.org/viet-nam/" TargetMode="External"/><Relationship Id="rId392" Type="http://schemas.openxmlformats.org/officeDocument/2006/relationships/hyperlink" Target="https://unctad.org/page/data-protection-and-privacy-legislation-worldwide" TargetMode="External"/><Relationship Id="rId697" Type="http://schemas.openxmlformats.org/officeDocument/2006/relationships/hyperlink" Target="https://www.humandignitytrust.org/country-profile/guatemala/;%20https:/ilga.org/ilga-world-maps/" TargetMode="External"/><Relationship Id="rId252" Type="http://schemas.openxmlformats.org/officeDocument/2006/relationships/hyperlink" Target="https://unctad.org/page/data-protection-and-privacy-legislation-worldwide" TargetMode="External"/><Relationship Id="rId1187" Type="http://schemas.openxmlformats.org/officeDocument/2006/relationships/hyperlink" Target="https://www.humandignitytrust.org/country-profile/namibia/;%20https:/ilga.org/ilga-world-maps/" TargetMode="External"/><Relationship Id="rId112" Type="http://schemas.openxmlformats.org/officeDocument/2006/relationships/hyperlink" Target="https://unctad.org/page/data-protection-and-privacy-legislation-worldwide" TargetMode="External"/><Relationship Id="rId557" Type="http://schemas.openxmlformats.org/officeDocument/2006/relationships/hyperlink" Target="https://www.humandignitytrust.org/country-profile/eritrea/;%20https:/ilga.org/ilga-world-maps/" TargetMode="External"/><Relationship Id="rId764" Type="http://schemas.openxmlformats.org/officeDocument/2006/relationships/hyperlink" Target="https://unctad.org/page/data-protection-and-privacy-legislation-worldwide" TargetMode="External"/><Relationship Id="rId971" Type="http://schemas.openxmlformats.org/officeDocument/2006/relationships/hyperlink" Target="https://en.unesco.org/artificial-intelligence/observatory/policies?country=LY;%20https://www.unesco.org/ethics-ai/en/global-hub" TargetMode="External"/><Relationship Id="rId1394" Type="http://schemas.openxmlformats.org/officeDocument/2006/relationships/hyperlink" Target="https://unctad.org/page/data-protection-and-privacy-legislation-worldwide" TargetMode="External"/><Relationship Id="rId1699" Type="http://schemas.openxmlformats.org/officeDocument/2006/relationships/hyperlink" Target="https://www.unicef.org/syrian-arab-republic/" TargetMode="External"/><Relationship Id="rId417" Type="http://schemas.openxmlformats.org/officeDocument/2006/relationships/hyperlink" Target="https://www.humandignitytrust.org/country-profile/cuba/;%20https:/ilga.org/ilga-world-maps/" TargetMode="External"/><Relationship Id="rId624" Type="http://schemas.openxmlformats.org/officeDocument/2006/relationships/hyperlink" Target="https://unctad.org/page/data-protection-and-privacy-legislation-worldwide" TargetMode="External"/><Relationship Id="rId831" Type="http://schemas.openxmlformats.org/officeDocument/2006/relationships/hyperlink" Target="https://en.unesco.org/artificial-intelligence/observatory/policies?country=IT;%20https://www.unesco.org/ethics-ai/en/global-hub" TargetMode="External"/><Relationship Id="rId1047" Type="http://schemas.openxmlformats.org/officeDocument/2006/relationships/hyperlink" Target="https://www.humandignitytrust.org/country-profile/maldives/;%20https:/ilga.org/ilga-world-maps/" TargetMode="External"/><Relationship Id="rId1254" Type="http://schemas.openxmlformats.org/officeDocument/2006/relationships/hyperlink" Target="https://unctad.org/page/data-protection-and-privacy-legislation-worldwide" TargetMode="External"/><Relationship Id="rId1461" Type="http://schemas.openxmlformats.org/officeDocument/2006/relationships/hyperlink" Target="https://en.unesco.org/artificial-intelligence/observatory/policies?country=VC;%20https://www.unesco.org/ethics-ai/en/global-hub" TargetMode="External"/><Relationship Id="rId929" Type="http://schemas.openxmlformats.org/officeDocument/2006/relationships/hyperlink" Target="https://www.unicef.org/lao-peoples-democratic-republic/" TargetMode="External"/><Relationship Id="rId1114" Type="http://schemas.openxmlformats.org/officeDocument/2006/relationships/hyperlink" Target="https://unctad.org/page/data-protection-and-privacy-legislation-worldwide" TargetMode="External"/><Relationship Id="rId1321" Type="http://schemas.openxmlformats.org/officeDocument/2006/relationships/hyperlink" Target="https://en.unesco.org/artificial-intelligence/observatory/policies?country=PG;%20https://www.unesco.org/ethics-ai/en/global-hub" TargetMode="External"/><Relationship Id="rId1559" Type="http://schemas.openxmlformats.org/officeDocument/2006/relationships/hyperlink" Target="https://www.unicef.org/singapore/" TargetMode="External"/><Relationship Id="rId1766" Type="http://schemas.openxmlformats.org/officeDocument/2006/relationships/hyperlink" Target="https://unctad.org/page/data-protection-and-privacy-legislation-worldwide" TargetMode="External"/><Relationship Id="rId58" Type="http://schemas.openxmlformats.org/officeDocument/2006/relationships/hyperlink" Target="https://ilga.org/ilga-world-maps/" TargetMode="External"/><Relationship Id="rId1419" Type="http://schemas.openxmlformats.org/officeDocument/2006/relationships/hyperlink" Target="https://www.unicef.org/romania/" TargetMode="External"/><Relationship Id="rId1626" Type="http://schemas.openxmlformats.org/officeDocument/2006/relationships/hyperlink" Target="https://gdpr-info.eu/art-35-gdpr/" TargetMode="External"/><Relationship Id="rId1833" Type="http://schemas.openxmlformats.org/officeDocument/2006/relationships/hyperlink" Target="https://unctad.org/page/data-protection-and-privacy-legislation-worldwide;%20https:/www.unicef.org/united-arab-emirates/" TargetMode="External"/><Relationship Id="rId1900" Type="http://schemas.openxmlformats.org/officeDocument/2006/relationships/hyperlink" Target="https://www.gsma.com/solutions-and-impact/connectivity-for-good/public-policy/mobile-policy-handbook/consumer-protection/mandatory-registration-of-prepaid-sims/" TargetMode="External"/><Relationship Id="rId274" Type="http://schemas.openxmlformats.org/officeDocument/2006/relationships/hyperlink" Target="https://unctad.org/page/data-protection-and-privacy-legislation-worldwide" TargetMode="External"/><Relationship Id="rId481" Type="http://schemas.openxmlformats.org/officeDocument/2006/relationships/hyperlink" Target="https://en.unesco.org/artificial-intelligence/observatory/policies?country=DJ;%20https://www.unesco.org/ethics-ai/en/global-hub" TargetMode="External"/><Relationship Id="rId134" Type="http://schemas.openxmlformats.org/officeDocument/2006/relationships/hyperlink" Target="https://unctad.org/page/data-protection-and-privacy-legislation-worldwide" TargetMode="External"/><Relationship Id="rId579" Type="http://schemas.openxmlformats.org/officeDocument/2006/relationships/hyperlink" Target="https://www.unicef.org/eswatini/" TargetMode="External"/><Relationship Id="rId786" Type="http://schemas.openxmlformats.org/officeDocument/2006/relationships/hyperlink" Target="https://unctad.org/page/data-protection-and-privacy-legislation-worldwide" TargetMode="External"/><Relationship Id="rId993" Type="http://schemas.openxmlformats.org/officeDocument/2006/relationships/hyperlink" Target="https://unctad.org/page/data-protection-and-privacy-legislation-worldwide;%20https:/www.unicef.org/lithuania/" TargetMode="External"/><Relationship Id="rId341" Type="http://schemas.openxmlformats.org/officeDocument/2006/relationships/hyperlink" Target="https://en.unesco.org/artificial-intelligence/observatory/policies?country=CL;%20https://www.unesco.org/ethics-ai/en/global-hub" TargetMode="External"/><Relationship Id="rId439" Type="http://schemas.openxmlformats.org/officeDocument/2006/relationships/hyperlink" Target="https://www.unicef.org/czechia/" TargetMode="External"/><Relationship Id="rId646" Type="http://schemas.openxmlformats.org/officeDocument/2006/relationships/hyperlink" Target="https://unctad.org/page/data-protection-and-privacy-legislation-worldwide" TargetMode="External"/><Relationship Id="rId1069" Type="http://schemas.openxmlformats.org/officeDocument/2006/relationships/hyperlink" Target="https://www.unicef.org/malta/" TargetMode="External"/><Relationship Id="rId1276" Type="http://schemas.openxmlformats.org/officeDocument/2006/relationships/hyperlink" Target="https://unctad.org/page/data-protection-and-privacy-legislation-worldwide" TargetMode="External"/><Relationship Id="rId1483" Type="http://schemas.openxmlformats.org/officeDocument/2006/relationships/hyperlink" Target="https://unctad.org/page/data-protection-and-privacy-legislation-worldwide;%20https:/www.unicef.org/san-marino/" TargetMode="External"/><Relationship Id="rId201" Type="http://schemas.openxmlformats.org/officeDocument/2006/relationships/hyperlink" Target="https://www.unesco.org/ethics-ai/en/global-hub" TargetMode="External"/><Relationship Id="rId506" Type="http://schemas.openxmlformats.org/officeDocument/2006/relationships/hyperlink" Target="https://unctad.org/page/data-protection-and-privacy-legislation-worldwide" TargetMode="External"/><Relationship Id="rId853" Type="http://schemas.openxmlformats.org/officeDocument/2006/relationships/hyperlink" Target="https://unctad.org/page/data-protection-and-privacy-legislation-worldwide;%20https:/www.unicef.org/japan/" TargetMode="External"/><Relationship Id="rId1136" Type="http://schemas.openxmlformats.org/officeDocument/2006/relationships/hyperlink" Target="https://unctad.org/page/data-protection-and-privacy-legislation-worldwide" TargetMode="External"/><Relationship Id="rId1690" Type="http://schemas.openxmlformats.org/officeDocument/2006/relationships/hyperlink" Target="https://www.gsma.com/solutions-and-impact/connectivity-for-good/public-policy/mobile-policy-handbook/consumer-protection/mandatory-registration-of-prepaid-sims/" TargetMode="External"/><Relationship Id="rId1788" Type="http://schemas.openxmlformats.org/officeDocument/2006/relationships/hyperlink" Target="https://ilga.org/ilga-world-maps/" TargetMode="External"/><Relationship Id="rId713" Type="http://schemas.openxmlformats.org/officeDocument/2006/relationships/hyperlink" Target="https://www.unicef.org/guinea-bissau/" TargetMode="External"/><Relationship Id="rId920" Type="http://schemas.openxmlformats.org/officeDocument/2006/relationships/hyperlink" Target="https://www.gsma.com/solutions-and-impact/connectivity-for-good/public-policy/mobile-policy-handbook/consumer-protection/mandatory-registration-of-prepaid-sims/" TargetMode="External"/><Relationship Id="rId1343" Type="http://schemas.openxmlformats.org/officeDocument/2006/relationships/hyperlink" Target="https://unctad.org/page/data-protection-and-privacy-legislation-worldwide;%20https:/www.unicef.org/peru/" TargetMode="External"/><Relationship Id="rId1550" Type="http://schemas.openxmlformats.org/officeDocument/2006/relationships/hyperlink" Target="https://www.gsma.com/solutions-and-impact/connectivity-for-good/public-policy/mobile-policy-handbook/consumer-protection/mandatory-registration-of-prepaid-sims/" TargetMode="External"/><Relationship Id="rId1648" Type="http://schemas.openxmlformats.org/officeDocument/2006/relationships/hyperlink" Target="https://ilga.org/ilga-world-maps/" TargetMode="External"/><Relationship Id="rId1203" Type="http://schemas.openxmlformats.org/officeDocument/2006/relationships/hyperlink" Target="https://www.unicef.org/nepal/" TargetMode="External"/><Relationship Id="rId1410" Type="http://schemas.openxmlformats.org/officeDocument/2006/relationships/hyperlink" Target="https://www.gsma.com/solutions-and-impact/connectivity-for-good/public-policy/mobile-policy-handbook/consumer-protection/mandatory-registration-of-prepaid-sims/" TargetMode="External"/><Relationship Id="rId1508" Type="http://schemas.openxmlformats.org/officeDocument/2006/relationships/hyperlink" Target="https://ilga.org/ilga-world-maps/" TargetMode="External"/><Relationship Id="rId1855" Type="http://schemas.openxmlformats.org/officeDocument/2006/relationships/hyperlink" Target="https://unctad.org/page/data-protection-and-privacy-legislation-worldwide" TargetMode="External"/><Relationship Id="rId1715" Type="http://schemas.openxmlformats.org/officeDocument/2006/relationships/hyperlink" Target="https://unctad.org/page/data-protection-and-privacy-legislation-worldwide" TargetMode="External"/><Relationship Id="rId1922" Type="http://schemas.openxmlformats.org/officeDocument/2006/relationships/hyperlink" Target="https://unctad.org/page/data-protection-and-privacy-legislation-worldwide" TargetMode="External"/><Relationship Id="rId296" Type="http://schemas.openxmlformats.org/officeDocument/2006/relationships/hyperlink" Target="https://unctad.org/page/data-protection-and-privacy-legislation-worldwide" TargetMode="External"/><Relationship Id="rId156" Type="http://schemas.openxmlformats.org/officeDocument/2006/relationships/hyperlink" Target="https://unctad.org/page/data-protection-and-privacy-legislation-worldwide" TargetMode="External"/><Relationship Id="rId363" Type="http://schemas.openxmlformats.org/officeDocument/2006/relationships/hyperlink" Target="https://unctad.org/page/data-protection-and-privacy-legislation-worldwide;%20https:/www.unicef.org/colombia/" TargetMode="External"/><Relationship Id="rId57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223" Type="http://schemas.openxmlformats.org/officeDocument/2006/relationships/hyperlink" Target="https://unctad.org/page/data-protection-and-privacy-legislation-worldwide;%20https:/www.unicef.org/botswana/" TargetMode="External"/><Relationship Id="rId43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668" Type="http://schemas.openxmlformats.org/officeDocument/2006/relationships/hyperlink" Target="https://ilga.org/ilga-world-maps/" TargetMode="External"/><Relationship Id="rId875" Type="http://schemas.openxmlformats.org/officeDocument/2006/relationships/hyperlink" Target="https://unctad.org/page/data-protection-and-privacy-legislation-worldwide" TargetMode="External"/><Relationship Id="rId106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298" Type="http://schemas.openxmlformats.org/officeDocument/2006/relationships/hyperlink" Target="https://ilga.org/ilga-world-maps/" TargetMode="External"/><Relationship Id="rId528" Type="http://schemas.openxmlformats.org/officeDocument/2006/relationships/hyperlink" Target="https://ilga.org/ilga-world-maps/" TargetMode="External"/><Relationship Id="rId735" Type="http://schemas.openxmlformats.org/officeDocument/2006/relationships/hyperlink" Target="https://unctad.org/page/data-protection-and-privacy-legislation-worldwide" TargetMode="External"/><Relationship Id="rId942" Type="http://schemas.openxmlformats.org/officeDocument/2006/relationships/hyperlink" Target="https://unctad.org/page/data-protection-and-privacy-legislation-worldwide" TargetMode="External"/><Relationship Id="rId1158" Type="http://schemas.openxmlformats.org/officeDocument/2006/relationships/hyperlink" Target="https://ilga.org/ilga-world-maps/" TargetMode="External"/><Relationship Id="rId1365" Type="http://schemas.openxmlformats.org/officeDocument/2006/relationships/hyperlink" Target="https://unctad.org/page/data-protection-and-privacy-legislation-worldwide" TargetMode="External"/><Relationship Id="rId1572" Type="http://schemas.openxmlformats.org/officeDocument/2006/relationships/hyperlink" Target="https://unctad.org/page/data-protection-and-privacy-legislation-worldwide" TargetMode="External"/><Relationship Id="rId1018" Type="http://schemas.openxmlformats.org/officeDocument/2006/relationships/hyperlink" Target="https://ilga.org/ilga-world-maps/" TargetMode="External"/><Relationship Id="rId1225" Type="http://schemas.openxmlformats.org/officeDocument/2006/relationships/hyperlink" Target="https://unctad.org/page/data-protection-and-privacy-legislation-worldwide" TargetMode="External"/><Relationship Id="rId1432" Type="http://schemas.openxmlformats.org/officeDocument/2006/relationships/hyperlink" Target="https://unctad.org/page/data-protection-and-privacy-legislation-worldwide" TargetMode="External"/><Relationship Id="rId1877" Type="http://schemas.openxmlformats.org/officeDocument/2006/relationships/hyperlink" Target="https://www.humandignitytrust.org/country-profile/uzbekistan/;%20https:/ilga.org/ilga-world-maps/" TargetMode="External"/><Relationship Id="rId71" Type="http://schemas.openxmlformats.org/officeDocument/2006/relationships/hyperlink" Target="https://en.unesco.org/artificial-intelligence/observatory/policies?country=AM;%20https://www.unesco.org/ethics-ai/en/global-hub" TargetMode="External"/><Relationship Id="rId802" Type="http://schemas.openxmlformats.org/officeDocument/2006/relationships/hyperlink" Target="https://unctad.org/page/data-protection-and-privacy-legislation-worldwide" TargetMode="External"/><Relationship Id="rId1737" Type="http://schemas.openxmlformats.org/officeDocument/2006/relationships/hyperlink" Target="https://www.humandignitytrust.org/country-profile/timor-leste/;%20https:/ilga.org/ilga-world-maps/" TargetMode="External"/><Relationship Id="rId29" Type="http://schemas.openxmlformats.org/officeDocument/2006/relationships/hyperlink" Target="https://www.unicef.org/algeria/en/protection;%20https:/www.dlapiperdataprotection.com/index.html?t=law&amp;c=DZ" TargetMode="External"/><Relationship Id="rId178" Type="http://schemas.openxmlformats.org/officeDocument/2006/relationships/hyperlink" Target="https://ilga.org/ilga-world-maps/" TargetMode="External"/><Relationship Id="rId1804" Type="http://schemas.openxmlformats.org/officeDocument/2006/relationships/hyperlink" Target="https://unctad.org/page/data-protection-and-privacy-legislation-worldwide" TargetMode="External"/><Relationship Id="rId385" Type="http://schemas.openxmlformats.org/officeDocument/2006/relationships/hyperlink" Target="https://unctad.org/page/data-protection-and-privacy-legislation-worldwide" TargetMode="External"/><Relationship Id="rId592" Type="http://schemas.openxmlformats.org/officeDocument/2006/relationships/hyperlink" Target="https://unctad.org/page/data-protection-and-privacy-legislation-worldwide" TargetMode="External"/><Relationship Id="rId245" Type="http://schemas.openxmlformats.org/officeDocument/2006/relationships/hyperlink" Target="https://unctad.org/page/data-protection-and-privacy-legislation-worldwide" TargetMode="External"/><Relationship Id="rId452" Type="http://schemas.openxmlformats.org/officeDocument/2006/relationships/hyperlink" Target="https://unctad.org/page/data-protection-and-privacy-legislation-worldwide" TargetMode="External"/><Relationship Id="rId897" Type="http://schemas.openxmlformats.org/officeDocument/2006/relationships/hyperlink" Target="https://www.humandignitytrust.org/country-profile/kiribati/;%20https:/ilga.org/ilga-world-maps/" TargetMode="External"/><Relationship Id="rId1082" Type="http://schemas.openxmlformats.org/officeDocument/2006/relationships/hyperlink" Target="https://unctad.org/page/data-protection-and-privacy-legislation-worldwide" TargetMode="External"/><Relationship Id="rId105" Type="http://schemas.openxmlformats.org/officeDocument/2006/relationships/hyperlink" Target="https://unctad.org/page/data-protection-and-privacy-legislation-worldwide" TargetMode="External"/><Relationship Id="rId312" Type="http://schemas.openxmlformats.org/officeDocument/2006/relationships/hyperlink" Target="https://unctad.org/page/data-protection-and-privacy-legislation-worldwide" TargetMode="External"/><Relationship Id="rId757" Type="http://schemas.openxmlformats.org/officeDocument/2006/relationships/hyperlink" Target="https://www.humandignitytrust.org/country-profile/hungary/;%20https:/ilga.org/ilga-world-maps/" TargetMode="External"/><Relationship Id="rId964" Type="http://schemas.openxmlformats.org/officeDocument/2006/relationships/hyperlink" Target="https://unctad.org/page/data-protection-and-privacy-legislation-worldwide" TargetMode="External"/><Relationship Id="rId1387" Type="http://schemas.openxmlformats.org/officeDocument/2006/relationships/hyperlink" Target="https://www.humandignitytrust.org/country-profile/qatar/;%20https:/ilga.org/ilga-world-maps/" TargetMode="External"/><Relationship Id="rId1594" Type="http://schemas.openxmlformats.org/officeDocument/2006/relationships/hyperlink" Target="https://unctad.org/page/data-protection-and-privacy-legislation-worldwide" TargetMode="External"/><Relationship Id="rId93" Type="http://schemas.openxmlformats.org/officeDocument/2006/relationships/hyperlink" Target="https://unctad.org/page/data-protection-and-privacy-legislation-worldwide;%20https:/www.unicef.org/austria/" TargetMode="External"/><Relationship Id="rId617" Type="http://schemas.openxmlformats.org/officeDocument/2006/relationships/hyperlink" Target="https://www.humandignitytrust.org/country-profile/france/;%20https:/ilga.org/ilga-world-maps/" TargetMode="External"/><Relationship Id="rId824" Type="http://schemas.openxmlformats.org/officeDocument/2006/relationships/hyperlink" Target="https://unctad.org/page/data-protection-and-privacy-legislation-worldwide" TargetMode="External"/><Relationship Id="rId1247" Type="http://schemas.openxmlformats.org/officeDocument/2006/relationships/hyperlink" Target="https://www.humandignitytrust.org/country-profile/niger/;%20https:/ilga.org/ilga-world-maps/" TargetMode="External"/><Relationship Id="rId1454" Type="http://schemas.openxmlformats.org/officeDocument/2006/relationships/hyperlink" Target="https://unctad.org/page/data-protection-and-privacy-legislation-worldwide" TargetMode="External"/><Relationship Id="rId1661" Type="http://schemas.openxmlformats.org/officeDocument/2006/relationships/hyperlink" Target="https://en.unesco.org/artificial-intelligence/observatory/policies?country=SR;%20https://www.unesco.org/ethics-ai/en/global-hub" TargetMode="External"/><Relationship Id="rId1899" Type="http://schemas.openxmlformats.org/officeDocument/2006/relationships/hyperlink" Target="https://www.unicef.org/venezuela-bolivarian-republic-of/" TargetMode="External"/><Relationship Id="rId1107" Type="http://schemas.openxmlformats.org/officeDocument/2006/relationships/hyperlink" Target="https://www.humandignitytrust.org/country-profile/mexico/;%20https:/ilga.org/ilga-world-maps/" TargetMode="External"/><Relationship Id="rId1314" Type="http://schemas.openxmlformats.org/officeDocument/2006/relationships/hyperlink" Target="https://unctad.org/page/data-protection-and-privacy-legislation-worldwide" TargetMode="External"/><Relationship Id="rId1521" Type="http://schemas.openxmlformats.org/officeDocument/2006/relationships/hyperlink" Target="https://en.unesco.org/artificial-intelligence/observatory/policies?country=RS;%20https://www.unesco.org/ethics-ai/en/global-hub" TargetMode="External"/><Relationship Id="rId1759" Type="http://schemas.openxmlformats.org/officeDocument/2006/relationships/hyperlink" Target="https://www.unicef.org/tonga/" TargetMode="External"/><Relationship Id="rId1619" Type="http://schemas.openxmlformats.org/officeDocument/2006/relationships/hyperlink" Target="https://www.unicef.org/south-sudan/" TargetMode="External"/><Relationship Id="rId1826" Type="http://schemas.openxmlformats.org/officeDocument/2006/relationships/hyperlink" Target="https://unctad.org/page/data-protection-and-privacy-legislation-worldwide" TargetMode="External"/><Relationship Id="rId20" Type="http://schemas.openxmlformats.org/officeDocument/2006/relationships/hyperlink" Target="https://www.gsma.com/mobilefordevelopment/resources/mandatory-sim-registration-in-albania/" TargetMode="External"/><Relationship Id="rId267" Type="http://schemas.openxmlformats.org/officeDocument/2006/relationships/hyperlink" Target="https://www.humandignitytrust.org/country-profile/burkina-faso/;%20https:/ilga.org/ilga-world-maps/" TargetMode="External"/><Relationship Id="rId474" Type="http://schemas.openxmlformats.org/officeDocument/2006/relationships/hyperlink" Target="https://unctad.org/page/data-protection-and-privacy-legislation-worldwide" TargetMode="External"/><Relationship Id="rId127" Type="http://schemas.openxmlformats.org/officeDocument/2006/relationships/hyperlink" Target="https://www.humandignitytrust.org/country-profile/bahrain/;%20https:/ilga.org/ilga-world-maps/" TargetMode="External"/><Relationship Id="rId681" Type="http://schemas.openxmlformats.org/officeDocument/2006/relationships/hyperlink" Target="https://en.unesco.org/artificial-intelligence/observatory/policies?country=GD;%20https://www.unesco.org/ethics-ai/en/global-hub" TargetMode="External"/><Relationship Id="rId779" Type="http://schemas.openxmlformats.org/officeDocument/2006/relationships/hyperlink" Target="https://www.unicef.org/india/" TargetMode="External"/><Relationship Id="rId986" Type="http://schemas.openxmlformats.org/officeDocument/2006/relationships/hyperlink" Target="https://unctad.org/page/data-protection-and-privacy-legislation-worldwide" TargetMode="External"/><Relationship Id="rId334" Type="http://schemas.openxmlformats.org/officeDocument/2006/relationships/hyperlink" Target="https://unctad.org/page/data-protection-and-privacy-legislation-worldwide" TargetMode="External"/><Relationship Id="rId541" Type="http://schemas.openxmlformats.org/officeDocument/2006/relationships/hyperlink" Target="https://en.unesco.org/artificial-intelligence/observatory/policies?country=GQ;%20https://www.unesco.org/ethics-ai/en/global-hub" TargetMode="External"/><Relationship Id="rId639" Type="http://schemas.openxmlformats.org/officeDocument/2006/relationships/hyperlink" Target="https://www.unicef.org/gambia/" TargetMode="External"/><Relationship Id="rId1171" Type="http://schemas.openxmlformats.org/officeDocument/2006/relationships/hyperlink" Target="https://en.unesco.org/artificial-intelligence/observatory/policies?country=MM;%20https://www.unesco.org/ethics-ai/en/global-hub" TargetMode="External"/><Relationship Id="rId1269" Type="http://schemas.openxmlformats.org/officeDocument/2006/relationships/hyperlink" Target="https://www.unicef.org/north-macedonia/" TargetMode="External"/><Relationship Id="rId1476" Type="http://schemas.openxmlformats.org/officeDocument/2006/relationships/hyperlink" Target="https://unctad.org/page/data-protection-and-privacy-legislation-worldwide" TargetMode="External"/><Relationship Id="rId401" Type="http://schemas.openxmlformats.org/officeDocument/2006/relationships/hyperlink" Target="https://en.unesco.org/artificial-intelligence/observatory/policies?country=HR;%20https://www.unesco.org/ethics-ai/en/global-hub" TargetMode="External"/><Relationship Id="rId846" Type="http://schemas.openxmlformats.org/officeDocument/2006/relationships/hyperlink" Target="https://unctad.org/page/data-protection-and-privacy-legislation-worldwide" TargetMode="External"/><Relationship Id="rId1031" Type="http://schemas.openxmlformats.org/officeDocument/2006/relationships/hyperlink" Target="https://en.unesco.org/artificial-intelligence/observatory/policies?country=MY;%20https://www.unesco.org/ethics-ai/en/global-hub" TargetMode="External"/><Relationship Id="rId1129" Type="http://schemas.openxmlformats.org/officeDocument/2006/relationships/hyperlink" Target="https://www.unicef.org/monaco/" TargetMode="External"/><Relationship Id="rId1683" Type="http://schemas.openxmlformats.org/officeDocument/2006/relationships/hyperlink" Target="https://unctad.org/page/data-protection-and-privacy-legislation-worldwide;%20https:/www.unicef.org/switzerland/" TargetMode="External"/><Relationship Id="rId1890" Type="http://schemas.openxmlformats.org/officeDocument/2006/relationships/hyperlink" Target="https://www.gsma.com/solutions-and-impact/connectivity-for-good/public-policy/mobile-policy-handbook/consumer-protection/mandatory-registration-of-prepaid-sims/" TargetMode="External"/><Relationship Id="rId706" Type="http://schemas.openxmlformats.org/officeDocument/2006/relationships/hyperlink" Target="https://unctad.org/page/data-protection-and-privacy-legislation-worldwide" TargetMode="External"/><Relationship Id="rId913" Type="http://schemas.openxmlformats.org/officeDocument/2006/relationships/hyperlink" Target="https://unctad.org/page/data-protection-and-privacy-legislation-worldwide;%20https:/www.unicef.org/kyrgyzstan/" TargetMode="External"/><Relationship Id="rId1336" Type="http://schemas.openxmlformats.org/officeDocument/2006/relationships/hyperlink" Target="https://unctad.org/page/data-protection-and-privacy-legislation-worldwide" TargetMode="External"/><Relationship Id="rId1543" Type="http://schemas.openxmlformats.org/officeDocument/2006/relationships/hyperlink" Target="https://unctad.org/page/data-protection-and-privacy-legislation-worldwide;%20https:/www.unicef.org/sierra-leone/" TargetMode="External"/><Relationship Id="rId1750" Type="http://schemas.openxmlformats.org/officeDocument/2006/relationships/hyperlink" Target="https://www.gsma.com/solutions-and-impact/connectivity-for-good/public-policy/mobile-policy-handbook/consumer-protection/mandatory-registration-of-prepaid-sims/" TargetMode="External"/><Relationship Id="rId42" Type="http://schemas.openxmlformats.org/officeDocument/2006/relationships/hyperlink" Target="https://unctad.org/page/data-protection-and-privacy-legislation-worldwide" TargetMode="External"/><Relationship Id="rId1403" Type="http://schemas.openxmlformats.org/officeDocument/2006/relationships/hyperlink" Target="https://unctad.org/page/data-protection-and-privacy-legislation-worldwide;%20https:/www.unicef.org/republic-of-moldova/" TargetMode="External"/><Relationship Id="rId1610" Type="http://schemas.openxmlformats.org/officeDocument/2006/relationships/hyperlink" Target="https://www.gsma.com/solutions-and-impact/connectivity-for-good/public-policy/mobile-policy-handbook/consumer-protection/mandatory-registration-of-prepaid-sims/" TargetMode="External"/><Relationship Id="rId1848" Type="http://schemas.openxmlformats.org/officeDocument/2006/relationships/hyperlink" Target="https://ilga.org/ilga-world-maps/" TargetMode="External"/><Relationship Id="rId191" Type="http://schemas.openxmlformats.org/officeDocument/2006/relationships/hyperlink" Target="https://en.unesco.org/artificial-intelligence/observatory/policies?country=BT;%20https://www.unesco.org/ethics-ai/en/global-hub" TargetMode="External"/><Relationship Id="rId1708" Type="http://schemas.openxmlformats.org/officeDocument/2006/relationships/hyperlink" Target="https://ilga.org/ilga-world-maps/" TargetMode="External"/><Relationship Id="rId1915" Type="http://schemas.openxmlformats.org/officeDocument/2006/relationships/hyperlink" Target="https://unctad.org/page/data-protection-and-privacy-legislation-worldwide" TargetMode="External"/><Relationship Id="rId289" Type="http://schemas.openxmlformats.org/officeDocument/2006/relationships/hyperlink" Target="https://www.unicef.org/cabo-verde/" TargetMode="External"/><Relationship Id="rId496" Type="http://schemas.openxmlformats.org/officeDocument/2006/relationships/hyperlink" Target="https://unctad.org/page/data-protection-and-privacy-legislation-worldwide" TargetMode="External"/><Relationship Id="rId149" Type="http://schemas.openxmlformats.org/officeDocument/2006/relationships/hyperlink" Target="https://www.unicef.org/barbados/" TargetMode="External"/><Relationship Id="rId356" Type="http://schemas.openxmlformats.org/officeDocument/2006/relationships/hyperlink" Target="https://unctad.org/page/data-protection-and-privacy-legislation-worldwide" TargetMode="External"/><Relationship Id="rId563" Type="http://schemas.openxmlformats.org/officeDocument/2006/relationships/hyperlink" Target="https://unctad.org/page/data-protection-and-privacy-legislation-worldwide;%20https:/www.unicef.org/estonia/" TargetMode="External"/><Relationship Id="rId77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193" Type="http://schemas.openxmlformats.org/officeDocument/2006/relationships/hyperlink" Target="https://www.unicef.org/nauru/" TargetMode="External"/><Relationship Id="rId216" Type="http://schemas.openxmlformats.org/officeDocument/2006/relationships/hyperlink" Target="https://unctad.org/page/data-protection-and-privacy-legislation-worldwide" TargetMode="External"/><Relationship Id="rId423" Type="http://schemas.openxmlformats.org/officeDocument/2006/relationships/hyperlink" Target="https://unctad.org/page/data-protection-and-privacy-legislation-worldwide;%20https:/www.unicef.org/cyprus/" TargetMode="External"/><Relationship Id="rId868" Type="http://schemas.openxmlformats.org/officeDocument/2006/relationships/hyperlink" Target="https://ilga.org/ilga-world-maps/" TargetMode="External"/><Relationship Id="rId1053" Type="http://schemas.openxmlformats.org/officeDocument/2006/relationships/hyperlink" Target="https://www.unicef.org/mali/" TargetMode="External"/><Relationship Id="rId126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498" Type="http://schemas.openxmlformats.org/officeDocument/2006/relationships/hyperlink" Target="https://ilga.org/ilga-world-maps/" TargetMode="External"/><Relationship Id="rId630" Type="http://schemas.openxmlformats.org/officeDocument/2006/relationships/hyperlink" Target="https://www.gsma.com/solutions-and-impact/connectivity-for-good/public-policy/mobile-policy-handbook/consumer-protection/mandatory-registration-of-prepaid-sims/" TargetMode="External"/><Relationship Id="rId728" Type="http://schemas.openxmlformats.org/officeDocument/2006/relationships/hyperlink" Target="https://ilga.org/ilga-world-maps/" TargetMode="External"/><Relationship Id="rId935" Type="http://schemas.openxmlformats.org/officeDocument/2006/relationships/hyperlink" Target="https://unctad.org/page/data-protection-and-privacy-legislation-worldwide" TargetMode="External"/><Relationship Id="rId1358" Type="http://schemas.openxmlformats.org/officeDocument/2006/relationships/hyperlink" Target="https://ilga.org/ilga-world-maps/" TargetMode="External"/><Relationship Id="rId1565" Type="http://schemas.openxmlformats.org/officeDocument/2006/relationships/hyperlink" Target="https://unctad.org/page/data-protection-and-privacy-legislation-worldwide" TargetMode="External"/><Relationship Id="rId1772" Type="http://schemas.openxmlformats.org/officeDocument/2006/relationships/hyperlink" Target="https://unctad.org/page/data-protection-and-privacy-legislation-worldwide" TargetMode="External"/><Relationship Id="rId64" Type="http://schemas.openxmlformats.org/officeDocument/2006/relationships/hyperlink" Target="https://unctad.org/page/data-protection-and-privacy-legislation-worldwide" TargetMode="External"/><Relationship Id="rId1120" Type="http://schemas.openxmlformats.org/officeDocument/2006/relationships/hyperlink" Target="https://www.gsma.com/solutions-and-impact/connectivity-for-good/public-policy/mobile-policy-handbook/consumer-protection/mandatory-registration-of-prepaid-sims/" TargetMode="External"/><Relationship Id="rId1218" Type="http://schemas.openxmlformats.org/officeDocument/2006/relationships/hyperlink" Target="https://ilga.org/ilga-world-maps/" TargetMode="External"/><Relationship Id="rId1425" Type="http://schemas.openxmlformats.org/officeDocument/2006/relationships/hyperlink" Target="https://unctad.org/page/data-protection-and-privacy-legislation-worldwide" TargetMode="External"/><Relationship Id="rId1632" Type="http://schemas.openxmlformats.org/officeDocument/2006/relationships/hyperlink" Target="https://unctad.org/page/data-protection-and-privacy-legislation-worldwide" TargetMode="External"/><Relationship Id="rId1937" Type="http://schemas.openxmlformats.org/officeDocument/2006/relationships/hyperlink" Target="https://www.humandignitytrust.org/country-profile/zimbabwe/;%20https:/ilga.org/ilga-world-maps/" TargetMode="External"/><Relationship Id="rId28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4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378" Type="http://schemas.openxmlformats.org/officeDocument/2006/relationships/hyperlink" Target="https://ilga.org/ilga-world-maps/" TargetMode="External"/><Relationship Id="rId585" Type="http://schemas.openxmlformats.org/officeDocument/2006/relationships/hyperlink" Target="https://unctad.org/page/data-protection-and-privacy-legislation-worldwide" TargetMode="External"/><Relationship Id="rId792" Type="http://schemas.openxmlformats.org/officeDocument/2006/relationships/hyperlink" Target="https://unctad.org/page/data-protection-and-privacy-legislation-worldwide" TargetMode="External"/><Relationship Id="rId6" Type="http://schemas.openxmlformats.org/officeDocument/2006/relationships/hyperlink" Target="https://www.refworld.org/legal/legislation/natleglaws/2017/afg-2017-01.html" TargetMode="External"/><Relationship Id="rId238" Type="http://schemas.openxmlformats.org/officeDocument/2006/relationships/hyperlink" Target="https://ilga.org/ilga-world-maps/" TargetMode="External"/><Relationship Id="rId445" Type="http://schemas.openxmlformats.org/officeDocument/2006/relationships/hyperlink" Target="https://unctad.org/page/data-protection-and-privacy-legislation-worldwide" TargetMode="External"/><Relationship Id="rId652" Type="http://schemas.openxmlformats.org/officeDocument/2006/relationships/hyperlink" Target="https://unctad.org/page/data-protection-and-privacy-legislation-worldwide" TargetMode="External"/><Relationship Id="rId1075" Type="http://schemas.openxmlformats.org/officeDocument/2006/relationships/hyperlink" Target="https://unctad.org/page/data-protection-and-privacy-legislation-worldwide" TargetMode="External"/><Relationship Id="rId1282" Type="http://schemas.openxmlformats.org/officeDocument/2006/relationships/hyperlink" Target="https://unctad.org/page/data-protection-and-privacy-legislation-worldwide" TargetMode="External"/><Relationship Id="rId305" Type="http://schemas.openxmlformats.org/officeDocument/2006/relationships/hyperlink" Target="https://unctad.org/page/data-protection-and-privacy-legislation-worldwide" TargetMode="External"/><Relationship Id="rId512" Type="http://schemas.openxmlformats.org/officeDocument/2006/relationships/hyperlink" Target="https://unctad.org/page/data-protection-and-privacy-legislation-worldwide" TargetMode="External"/><Relationship Id="rId957" Type="http://schemas.openxmlformats.org/officeDocument/2006/relationships/hyperlink" Target="https://www.humandignitytrust.org/country-profile/lesotho/;%20https:/ilga.org/ilga-world-maps/" TargetMode="External"/><Relationship Id="rId1142" Type="http://schemas.openxmlformats.org/officeDocument/2006/relationships/hyperlink" Target="https://unctad.org/page/data-protection-and-privacy-legislation-worldwide" TargetMode="External"/><Relationship Id="rId1587" Type="http://schemas.openxmlformats.org/officeDocument/2006/relationships/hyperlink" Target="https://www.humandignitytrust.org/country-profile/solomon-islands/;%20https:/ilga.org/ilga-world-maps/" TargetMode="External"/><Relationship Id="rId1794" Type="http://schemas.openxmlformats.org/officeDocument/2006/relationships/hyperlink" Target="https://unctad.org/page/data-protection-and-privacy-legislation-worldwide" TargetMode="External"/><Relationship Id="rId86" Type="http://schemas.openxmlformats.org/officeDocument/2006/relationships/hyperlink" Target="https://unctad.org/page/data-protection-and-privacy-legislation-worldwide" TargetMode="External"/><Relationship Id="rId817" Type="http://schemas.openxmlformats.org/officeDocument/2006/relationships/hyperlink" Target="https://www.humandignitytrust.org/country-profile/ireland/;%20https:/ilga.org/ilga-world-maps/" TargetMode="External"/><Relationship Id="rId1002" Type="http://schemas.openxmlformats.org/officeDocument/2006/relationships/hyperlink" Target="https://unctad.org/page/data-protection-and-privacy-legislation-worldwide" TargetMode="External"/><Relationship Id="rId1447" Type="http://schemas.openxmlformats.org/officeDocument/2006/relationships/hyperlink" Target="https://www.humandignitytrust.org/country-profile/saint-kitts-and-nevis/;%20https:/ilga.org/ilga-world-maps/" TargetMode="External"/><Relationship Id="rId1654" Type="http://schemas.openxmlformats.org/officeDocument/2006/relationships/hyperlink" Target="https://unctad.org/page/data-protection-and-privacy-legislation-worldwide" TargetMode="External"/><Relationship Id="rId1861" Type="http://schemas.openxmlformats.org/officeDocument/2006/relationships/hyperlink" Target="https://en.unesco.org/artificial-intelligence/observatory/policies?country=UY;%20https://www.unesco.org/ethics-ai/en/global-hub" TargetMode="External"/><Relationship Id="rId1307" Type="http://schemas.openxmlformats.org/officeDocument/2006/relationships/hyperlink" Target="https://www.humandignitytrust.org/country-profile/palau/;%20https:/ilga.org/ilga-world-maps/" TargetMode="External"/><Relationship Id="rId1514" Type="http://schemas.openxmlformats.org/officeDocument/2006/relationships/hyperlink" Target="https://unctad.org/page/data-protection-and-privacy-legislation-worldwide" TargetMode="External"/><Relationship Id="rId1721" Type="http://schemas.openxmlformats.org/officeDocument/2006/relationships/hyperlink" Target="https://en.unesco.org/artificial-intelligence/observatory/policies?country=TH;%20https://www.unesco.org/ethics-ai/en/global-hub" TargetMode="External"/><Relationship Id="rId13" Type="http://schemas.openxmlformats.org/officeDocument/2006/relationships/hyperlink" Target="https://idp.al/wp-content/uploads/2018/11/Law_9887_2008_EN.pdf" TargetMode="External"/><Relationship Id="rId1819" Type="http://schemas.openxmlformats.org/officeDocument/2006/relationships/hyperlink" Target="https://www.unicef.org/uganda/" TargetMode="External"/><Relationship Id="rId162" Type="http://schemas.openxmlformats.org/officeDocument/2006/relationships/hyperlink" Target="https://unctad.org/page/data-protection-and-privacy-legislation-worldwide" TargetMode="External"/><Relationship Id="rId467" Type="http://schemas.openxmlformats.org/officeDocument/2006/relationships/hyperlink" Target="https://www.humandignitytrust.org/country-profile/democratic-republic-of-the-congo/;%20https:/ilga.org/ilga-world-maps/" TargetMode="External"/><Relationship Id="rId1097" Type="http://schemas.openxmlformats.org/officeDocument/2006/relationships/hyperlink" Target="https://www.humandignitytrust.org/country-profile/mauritius/;%20https:/ilga.org/ilga-world-maps/" TargetMode="External"/><Relationship Id="rId674" Type="http://schemas.openxmlformats.org/officeDocument/2006/relationships/hyperlink" Target="https://unctad.org/page/data-protection-and-privacy-legislation-worldwide" TargetMode="External"/><Relationship Id="rId881" Type="http://schemas.openxmlformats.org/officeDocument/2006/relationships/hyperlink" Target="https://en.unesco.org/artificial-intelligence/observatory/policies?country=KE;%20https://www.unesco.org/ethics-ai/en/global-hub" TargetMode="External"/><Relationship Id="rId979" Type="http://schemas.openxmlformats.org/officeDocument/2006/relationships/hyperlink" Target="https://www.unicef.org/libya/" TargetMode="External"/><Relationship Id="rId327" Type="http://schemas.openxmlformats.org/officeDocument/2006/relationships/hyperlink" Target="https://www.humandignitytrust.org/country-profile/central-african-republic/;%20https:/ilga.org/ilga-world-maps/" TargetMode="External"/><Relationship Id="rId534" Type="http://schemas.openxmlformats.org/officeDocument/2006/relationships/hyperlink" Target="https://unctad.org/page/data-protection-and-privacy-legislation-worldwide" TargetMode="External"/><Relationship Id="rId741" Type="http://schemas.openxmlformats.org/officeDocument/2006/relationships/hyperlink" Target="https://en.unesco.org/artificial-intelligence/observatory/policies?country=HN;%20https://www.unesco.org/ethics-ai/en/global-hub" TargetMode="External"/><Relationship Id="rId839" Type="http://schemas.openxmlformats.org/officeDocument/2006/relationships/hyperlink" Target="https://www.unicef.org/italy/" TargetMode="External"/><Relationship Id="rId1164" Type="http://schemas.openxmlformats.org/officeDocument/2006/relationships/hyperlink" Target="https://unctad.org/page/data-protection-and-privacy-legislation-worldwide" TargetMode="External"/><Relationship Id="rId1371" Type="http://schemas.openxmlformats.org/officeDocument/2006/relationships/hyperlink" Target="https://en.unesco.org/artificial-intelligence/observatory/policies?country=PT;%20https://www.unesco.org/ethics-ai/en/global-hub" TargetMode="External"/><Relationship Id="rId1469" Type="http://schemas.openxmlformats.org/officeDocument/2006/relationships/hyperlink" Target="https://www.unicef.org/saint-vincent-and-the-grenadines/" TargetMode="External"/><Relationship Id="rId601" Type="http://schemas.openxmlformats.org/officeDocument/2006/relationships/hyperlink" Target="https://en.unesco.org/artificial-intelligence/observatory/policies?country=FI;%20https://www.unesco.org/ethics-ai/en/global-hub" TargetMode="External"/><Relationship Id="rId1024" Type="http://schemas.openxmlformats.org/officeDocument/2006/relationships/hyperlink" Target="https://unctad.org/page/data-protection-and-privacy-legislation-worldwide" TargetMode="External"/><Relationship Id="rId1231" Type="http://schemas.openxmlformats.org/officeDocument/2006/relationships/hyperlink" Target="https://en.unesco.org/artificial-intelligence/observatory/policies?country=NI;%20https://www.unesco.org/ethics-ai/en/global-hub" TargetMode="External"/><Relationship Id="rId1676" Type="http://schemas.openxmlformats.org/officeDocument/2006/relationships/hyperlink" Target="https://gdpr-info.eu/art-35-gdpr/" TargetMode="External"/><Relationship Id="rId1883" Type="http://schemas.openxmlformats.org/officeDocument/2006/relationships/hyperlink" Target="https://www.unicef.org/vanuatu/" TargetMode="External"/><Relationship Id="rId906" Type="http://schemas.openxmlformats.org/officeDocument/2006/relationships/hyperlink" Target="https://unctad.org/page/data-protection-and-privacy-legislation-worldwide" TargetMode="External"/><Relationship Id="rId1329" Type="http://schemas.openxmlformats.org/officeDocument/2006/relationships/hyperlink" Target="https://www.unicef.org/papua-new-guinea/" TargetMode="External"/><Relationship Id="rId1536" Type="http://schemas.openxmlformats.org/officeDocument/2006/relationships/hyperlink" Target="https://unctad.org/page/data-protection-and-privacy-legislation-worldwide" TargetMode="External"/><Relationship Id="rId1743" Type="http://schemas.openxmlformats.org/officeDocument/2006/relationships/hyperlink" Target="https://unctad.org/page/data-protection-and-privacy-legislation-worldwide;%20https:/www.unicef.org/togo/" TargetMode="External"/><Relationship Id="rId35" Type="http://schemas.openxmlformats.org/officeDocument/2006/relationships/hyperlink" Target="https://apda.ad/;%20https:/www.dataguidance.com/notes/andorra-data-protection-overview" TargetMode="External"/><Relationship Id="rId1603" Type="http://schemas.openxmlformats.org/officeDocument/2006/relationships/hyperlink" Target="https://unctad.org/page/data-protection-and-privacy-legislation-worldwide;%20https:/www.unicef.org/south-africa/" TargetMode="External"/><Relationship Id="rId1810" Type="http://schemas.openxmlformats.org/officeDocument/2006/relationships/hyperlink" Target="https://www.gsma.com/solutions-and-impact/connectivity-for-good/public-policy/mobile-policy-handbook/consumer-protection/mandatory-registration-of-prepaid-sims/" TargetMode="External"/><Relationship Id="rId184" Type="http://schemas.openxmlformats.org/officeDocument/2006/relationships/hyperlink" Target="https://unctad.org/page/data-protection-and-privacy-legislation-worldwide" TargetMode="External"/><Relationship Id="rId391" Type="http://schemas.openxmlformats.org/officeDocument/2006/relationships/hyperlink" Target="https://en.unesco.org/artificial-intelligence/observatory/policies?country=CR;%20https://www.unesco.org/ethics-ai/en/global-hub" TargetMode="External"/><Relationship Id="rId1908" Type="http://schemas.openxmlformats.org/officeDocument/2006/relationships/hyperlink" Target="https://ilga.org/ilga-world-maps/" TargetMode="External"/><Relationship Id="rId251" Type="http://schemas.openxmlformats.org/officeDocument/2006/relationships/hyperlink" Target="https://en.unesco.org/artificial-intelligence/observatory/policies?country=BG;%20https://www.unesco.org/ethics-ai/en/global-hub" TargetMode="External"/><Relationship Id="rId489" Type="http://schemas.openxmlformats.org/officeDocument/2006/relationships/hyperlink" Target="https://www.unicef.org/djibouti/" TargetMode="External"/><Relationship Id="rId696" Type="http://schemas.openxmlformats.org/officeDocument/2006/relationships/hyperlink" Target="https://unctad.org/page/data-protection-and-privacy-legislation-worldwide" TargetMode="External"/><Relationship Id="rId349" Type="http://schemas.openxmlformats.org/officeDocument/2006/relationships/hyperlink" Target="https://www.unicef.org/chile/" TargetMode="External"/><Relationship Id="rId556" Type="http://schemas.openxmlformats.org/officeDocument/2006/relationships/hyperlink" Target="https://unctad.org/page/data-protection-and-privacy-legislation-worldwide" TargetMode="External"/><Relationship Id="rId763" Type="http://schemas.openxmlformats.org/officeDocument/2006/relationships/hyperlink" Target="https://unctad.org/page/data-protection-and-privacy-legislation-worldwide;%20https:/www.unicef.org/iceland/" TargetMode="External"/><Relationship Id="rId1186" Type="http://schemas.openxmlformats.org/officeDocument/2006/relationships/hyperlink" Target="https://unctad.org/page/data-protection-and-privacy-legislation-worldwide" TargetMode="External"/><Relationship Id="rId1393" Type="http://schemas.openxmlformats.org/officeDocument/2006/relationships/hyperlink" Target="https://unctad.org/page/data-protection-and-privacy-legislation-worldwide;%20https:/www.unicef.org/republic-of-korea/" TargetMode="External"/><Relationship Id="rId111" Type="http://schemas.openxmlformats.org/officeDocument/2006/relationships/hyperlink" Target="https://en.unesco.org/artificial-intelligence/observatory/policies?country=BS;%20https://www.unesco.org/ethics-ai/en/global-hub" TargetMode="External"/><Relationship Id="rId209" Type="http://schemas.openxmlformats.org/officeDocument/2006/relationships/hyperlink" Target="https://www.unicef.org/bolivia-plurinational-state-of/" TargetMode="External"/><Relationship Id="rId416" Type="http://schemas.openxmlformats.org/officeDocument/2006/relationships/hyperlink" Target="https://unctad.org/page/data-protection-and-privacy-legislation-worldwide" TargetMode="External"/><Relationship Id="rId970" Type="http://schemas.openxmlformats.org/officeDocument/2006/relationships/hyperlink" Target="https://www.gsma.com/solutions-and-impact/connectivity-for-good/public-policy/mobile-policy-handbook/consumer-protection/mandatory-registration-of-prepaid-sims/" TargetMode="External"/><Relationship Id="rId1046" Type="http://schemas.openxmlformats.org/officeDocument/2006/relationships/hyperlink" Target="https://unctad.org/page/data-protection-and-privacy-legislation-worldwide" TargetMode="External"/><Relationship Id="rId1253" Type="http://schemas.openxmlformats.org/officeDocument/2006/relationships/hyperlink" Target="https://unctad.org/page/data-protection-and-privacy-legislation-worldwide;%20https:/www.unicef.org/nigeria/" TargetMode="External"/><Relationship Id="rId1698" Type="http://schemas.openxmlformats.org/officeDocument/2006/relationships/hyperlink" Target="https://ilga.org/ilga-world-maps/" TargetMode="External"/><Relationship Id="rId623" Type="http://schemas.openxmlformats.org/officeDocument/2006/relationships/hyperlink" Target="https://unctad.org/page/data-protection-and-privacy-legislation-worldwide;%20https:/www.unicef.org/gabon/" TargetMode="External"/><Relationship Id="rId83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928" Type="http://schemas.openxmlformats.org/officeDocument/2006/relationships/hyperlink" Target="https://ilga.org/ilga-world-maps/" TargetMode="External"/><Relationship Id="rId1460" Type="http://schemas.openxmlformats.org/officeDocument/2006/relationships/hyperlink" Target="https://www.gsma.com/solutions-and-impact/connectivity-for-good/public-policy/mobile-policy-handbook/consumer-protection/mandatory-registration-of-prepaid-sims/" TargetMode="External"/><Relationship Id="rId1558" Type="http://schemas.openxmlformats.org/officeDocument/2006/relationships/hyperlink" Target="https://ilga.org/ilga-world-maps/" TargetMode="External"/><Relationship Id="rId1765" Type="http://schemas.openxmlformats.org/officeDocument/2006/relationships/hyperlink" Target="https://unctad.org/page/data-protection-and-privacy-legislation-worldwide" TargetMode="External"/><Relationship Id="rId57" Type="http://schemas.openxmlformats.org/officeDocument/2006/relationships/hyperlink" Target="https://www.humandignitytrust.org/country-profile/antigua-and-barbuda/;%20https:/ilga.org/ilga-world-maps/" TargetMode="External"/><Relationship Id="rId1113" Type="http://schemas.openxmlformats.org/officeDocument/2006/relationships/hyperlink" Target="https://www.unicef.org/micronesia-federated-states-of/" TargetMode="External"/><Relationship Id="rId1320" Type="http://schemas.openxmlformats.org/officeDocument/2006/relationships/hyperlink" Target="https://www.gsma.com/solutions-and-impact/connectivity-for-good/public-policy/mobile-policy-handbook/consumer-protection/mandatory-registration-of-prepaid-sims/" TargetMode="External"/><Relationship Id="rId1418" Type="http://schemas.openxmlformats.org/officeDocument/2006/relationships/hyperlink" Target="https://ilga.org/ilga-world-maps/" TargetMode="External"/><Relationship Id="rId1625" Type="http://schemas.openxmlformats.org/officeDocument/2006/relationships/hyperlink" Target="https://unctad.org/page/data-protection-and-privacy-legislation-worldwide" TargetMode="External"/><Relationship Id="rId1832" Type="http://schemas.openxmlformats.org/officeDocument/2006/relationships/hyperlink" Target="https://unctad.org/page/data-protection-and-privacy-legislation-worldwide" TargetMode="External"/><Relationship Id="rId273" Type="http://schemas.openxmlformats.org/officeDocument/2006/relationships/hyperlink" Target="https://unctad.org/page/data-protection-and-privacy-legislation-worldwide;%20https:/www.unicef.org/burundi/" TargetMode="External"/><Relationship Id="rId48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33" Type="http://schemas.openxmlformats.org/officeDocument/2006/relationships/hyperlink" Target="https://unctad.org/page/data-protection-and-privacy-legislation-worldwide;%20https:/www.unicef.org/bangladesh/" TargetMode="External"/><Relationship Id="rId34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578" Type="http://schemas.openxmlformats.org/officeDocument/2006/relationships/hyperlink" Target="https://ilga.org/ilga-world-maps/" TargetMode="External"/><Relationship Id="rId785" Type="http://schemas.openxmlformats.org/officeDocument/2006/relationships/hyperlink" Target="https://unctad.org/page/data-protection-and-privacy-legislation-worldwide" TargetMode="External"/><Relationship Id="rId992" Type="http://schemas.openxmlformats.org/officeDocument/2006/relationships/hyperlink" Target="https://unctad.org/page/data-protection-and-privacy-legislation-worldwide" TargetMode="External"/><Relationship Id="rId20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438" Type="http://schemas.openxmlformats.org/officeDocument/2006/relationships/hyperlink" Target="https://ilga.org/ilga-world-maps/" TargetMode="External"/><Relationship Id="rId645" Type="http://schemas.openxmlformats.org/officeDocument/2006/relationships/hyperlink" Target="https://unctad.org/page/data-protection-and-privacy-legislation-worldwide" TargetMode="External"/><Relationship Id="rId852" Type="http://schemas.openxmlformats.org/officeDocument/2006/relationships/hyperlink" Target="https://unctad.org/page/data-protection-and-privacy-legislation-worldwide" TargetMode="External"/><Relationship Id="rId1068" Type="http://schemas.openxmlformats.org/officeDocument/2006/relationships/hyperlink" Target="https://ilga.org/ilga-world-maps/" TargetMode="External"/><Relationship Id="rId1275" Type="http://schemas.openxmlformats.org/officeDocument/2006/relationships/hyperlink" Target="https://unctad.org/page/data-protection-and-privacy-legislation-worldwide" TargetMode="External"/><Relationship Id="rId1482" Type="http://schemas.openxmlformats.org/officeDocument/2006/relationships/hyperlink" Target="https://unctad.org/page/data-protection-and-privacy-legislation-worldwide" TargetMode="External"/><Relationship Id="rId505" Type="http://schemas.openxmlformats.org/officeDocument/2006/relationships/hyperlink" Target="https://unctad.org/page/data-protection-and-privacy-legislation-worldwide" TargetMode="External"/><Relationship Id="rId712" Type="http://schemas.openxmlformats.org/officeDocument/2006/relationships/hyperlink" Target="https://unctad.org/page/data-protection-and-privacy-legislation-worldwide" TargetMode="External"/><Relationship Id="rId1135" Type="http://schemas.openxmlformats.org/officeDocument/2006/relationships/hyperlink" Target="https://unctad.org/page/data-protection-and-privacy-legislation-worldwide" TargetMode="External"/><Relationship Id="rId1342" Type="http://schemas.openxmlformats.org/officeDocument/2006/relationships/hyperlink" Target="https://unctad.org/page/data-protection-and-privacy-legislation-worldwide" TargetMode="External"/><Relationship Id="rId1787" Type="http://schemas.openxmlformats.org/officeDocument/2006/relationships/hyperlink" Target="https://www.humandignitytrust.org/country-profile/turkiye/;%20https:/ilga.org/ilga-world-maps/" TargetMode="External"/><Relationship Id="rId79" Type="http://schemas.openxmlformats.org/officeDocument/2006/relationships/hyperlink" Target="https://www.unicef.org/armenia/" TargetMode="External"/><Relationship Id="rId1202" Type="http://schemas.openxmlformats.org/officeDocument/2006/relationships/hyperlink" Target="https://unctad.org/page/data-protection-and-privacy-legislation-worldwide" TargetMode="External"/><Relationship Id="rId1647" Type="http://schemas.openxmlformats.org/officeDocument/2006/relationships/hyperlink" Target="https://www.humandignitytrust.org/country-profile/state-of-palestine/;%20https:/ilga.org/ilga-world-maps/" TargetMode="External"/><Relationship Id="rId1854" Type="http://schemas.openxmlformats.org/officeDocument/2006/relationships/hyperlink" Target="https://unctad.org/page/data-protection-and-privacy-legislation-worldwide" TargetMode="External"/><Relationship Id="rId1507" Type="http://schemas.openxmlformats.org/officeDocument/2006/relationships/hyperlink" Target="https://www.humandignitytrust.org/country-profile/saudi-arabia/;%20https:/ilga.org/ilga-world-maps/" TargetMode="External"/><Relationship Id="rId1714" Type="http://schemas.openxmlformats.org/officeDocument/2006/relationships/hyperlink" Target="https://unctad.org/page/data-protection-and-privacy-legislation-worldwide" TargetMode="External"/><Relationship Id="rId295" Type="http://schemas.openxmlformats.org/officeDocument/2006/relationships/hyperlink" Target="https://unctad.org/page/data-protection-and-privacy-legislation-worldwide" TargetMode="External"/><Relationship Id="rId1921" Type="http://schemas.openxmlformats.org/officeDocument/2006/relationships/hyperlink" Target="https://en.unesco.org/artificial-intelligence/observatory/policies?country=ZM;%20https://www.unesco.org/ethics-ai/en/global-hub" TargetMode="External"/><Relationship Id="rId155" Type="http://schemas.openxmlformats.org/officeDocument/2006/relationships/hyperlink" Target="https://unctad.org/page/data-protection-and-privacy-legislation-worldwide" TargetMode="External"/><Relationship Id="rId362" Type="http://schemas.openxmlformats.org/officeDocument/2006/relationships/hyperlink" Target="https://unctad.org/page/data-protection-and-privacy-legislation-worldwide" TargetMode="External"/><Relationship Id="rId1297" Type="http://schemas.openxmlformats.org/officeDocument/2006/relationships/hyperlink" Target="https://www.humandignitytrust.org/country-profile/pakistan/;%20https:/ilga.org/ilga-world-maps/" TargetMode="External"/><Relationship Id="rId222" Type="http://schemas.openxmlformats.org/officeDocument/2006/relationships/hyperlink" Target="https://unctad.org/page/data-protection-and-privacy-legislation-worldwide" TargetMode="External"/><Relationship Id="rId667" Type="http://schemas.openxmlformats.org/officeDocument/2006/relationships/hyperlink" Target="https://www.humandignitytrust.org/country-profile/ghana/;%20https:/ilga.org/ilga-world-maps/" TargetMode="External"/><Relationship Id="rId874" Type="http://schemas.openxmlformats.org/officeDocument/2006/relationships/hyperlink" Target="https://unctad.org/page/data-protection-and-privacy-legislation-worldwide" TargetMode="External"/><Relationship Id="rId527" Type="http://schemas.openxmlformats.org/officeDocument/2006/relationships/hyperlink" Target="https://www.humandignitytrust.org/country-profile/egypt/;%20https:/ilga.org/ilga-world-maps/" TargetMode="External"/><Relationship Id="rId734" Type="http://schemas.openxmlformats.org/officeDocument/2006/relationships/hyperlink" Target="https://unctad.org/page/data-protection-and-privacy-legislation-worldwide" TargetMode="External"/><Relationship Id="rId941" Type="http://schemas.openxmlformats.org/officeDocument/2006/relationships/hyperlink" Target="https://en.unesco.org/artificial-intelligence/observatory/policies?country=LB;%20https://www.unesco.org/ethics-ai/en/global-hub" TargetMode="External"/><Relationship Id="rId1157" Type="http://schemas.openxmlformats.org/officeDocument/2006/relationships/hyperlink" Target="https://www.humandignitytrust.org/country-profile/morocco/;%20https:/ilga.org/ilga-world-maps/" TargetMode="External"/><Relationship Id="rId1364" Type="http://schemas.openxmlformats.org/officeDocument/2006/relationships/hyperlink" Target="https://unctad.org/page/data-protection-and-privacy-legislation-worldwide" TargetMode="External"/><Relationship Id="rId1571" Type="http://schemas.openxmlformats.org/officeDocument/2006/relationships/hyperlink" Target="https://en.unesco.org/artificial-intelligence/observatory/policies?country=SI;%20https://www.unesco.org/ethics-ai/en/global-hub" TargetMode="External"/><Relationship Id="rId7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801" Type="http://schemas.openxmlformats.org/officeDocument/2006/relationships/hyperlink" Target="https://en.unesco.org/artificial-intelligence/observatory/policies?country=IQ;%20https://www.unesco.org/ethics-ai/en/global-hub" TargetMode="External"/><Relationship Id="rId1017" Type="http://schemas.openxmlformats.org/officeDocument/2006/relationships/hyperlink" Target="https://www.humandignitytrust.org/country-profile/madagascar/;%20https:/ilga.org/ilga-world-maps/" TargetMode="External"/><Relationship Id="rId1224" Type="http://schemas.openxmlformats.org/officeDocument/2006/relationships/hyperlink" Target="https://unctad.org/page/data-protection-and-privacy-legislation-worldwide" TargetMode="External"/><Relationship Id="rId1431" Type="http://schemas.openxmlformats.org/officeDocument/2006/relationships/hyperlink" Target="https://en.unesco.org/artificial-intelligence/observatory/policies?country=RW;%20https://www.unesco.org/ethics-ai/en/global-hub" TargetMode="External"/><Relationship Id="rId1669" Type="http://schemas.openxmlformats.org/officeDocument/2006/relationships/hyperlink" Target="https://www.unicef.org/suriname/" TargetMode="External"/><Relationship Id="rId1876" Type="http://schemas.openxmlformats.org/officeDocument/2006/relationships/hyperlink" Target="https://unctad.org/page/data-protection-and-privacy-legislation-worldwide" TargetMode="External"/><Relationship Id="rId1529" Type="http://schemas.openxmlformats.org/officeDocument/2006/relationships/hyperlink" Target="https://www.unicef.org/serbia/" TargetMode="External"/><Relationship Id="rId1736" Type="http://schemas.openxmlformats.org/officeDocument/2006/relationships/hyperlink" Target="https://unctad.org/page/data-protection-and-privacy-legislation-worldwide" TargetMode="External"/><Relationship Id="rId28" Type="http://schemas.openxmlformats.org/officeDocument/2006/relationships/hyperlink" Target="https://www.humandignitytrust.org/country-profile/algeria/;%20https:/ilga.org/maps-sexual-orientation-laws" TargetMode="External"/><Relationship Id="rId1803" Type="http://schemas.openxmlformats.org/officeDocument/2006/relationships/hyperlink" Target="https://www.unicef.org/tuvalu/" TargetMode="External"/><Relationship Id="rId177" Type="http://schemas.openxmlformats.org/officeDocument/2006/relationships/hyperlink" Target="https://www.humandignitytrust.org/country-profile/belize/;%20https:/ilga.org/ilga-world-maps/" TargetMode="External"/><Relationship Id="rId384" Type="http://schemas.openxmlformats.org/officeDocument/2006/relationships/hyperlink" Target="https://unctad.org/page/data-protection-and-privacy-legislation-worldwide" TargetMode="External"/><Relationship Id="rId591" Type="http://schemas.openxmlformats.org/officeDocument/2006/relationships/hyperlink" Target="https://en.unesco.org/artificial-intelligence/observatory/policies?country=FJ;%20https://www.unesco.org/ethics-ai/en/global-hub" TargetMode="External"/><Relationship Id="rId244" Type="http://schemas.openxmlformats.org/officeDocument/2006/relationships/hyperlink" Target="https://unctad.org/page/data-protection-and-privacy-legislation-worldwide" TargetMode="External"/><Relationship Id="rId689" Type="http://schemas.openxmlformats.org/officeDocument/2006/relationships/hyperlink" Target="https://www.unicef.org/grenada/" TargetMode="External"/><Relationship Id="rId896" Type="http://schemas.openxmlformats.org/officeDocument/2006/relationships/hyperlink" Target="https://unctad.org/page/data-protection-and-privacy-legislation-worldwide" TargetMode="External"/><Relationship Id="rId1081" Type="http://schemas.openxmlformats.org/officeDocument/2006/relationships/hyperlink" Target="https://en.unesco.org/artificial-intelligence/observatory/policies?country=MR;%20https://www.unesco.org/ethics-ai/en/global-hub" TargetMode="External"/><Relationship Id="rId451" Type="http://schemas.openxmlformats.org/officeDocument/2006/relationships/hyperlink" Target="https://en.unesco.org/artificial-intelligence/observatory/policies?country=KP;%20https://www.unesco.org/ethics-ai/en/global-hub" TargetMode="External"/><Relationship Id="rId549" Type="http://schemas.openxmlformats.org/officeDocument/2006/relationships/hyperlink" Target="https://www.unicef.org/equatorial-guinea/" TargetMode="External"/><Relationship Id="rId756" Type="http://schemas.openxmlformats.org/officeDocument/2006/relationships/hyperlink" Target="https://gdpr-info.eu/art-35-gdpr/" TargetMode="External"/><Relationship Id="rId1179" Type="http://schemas.openxmlformats.org/officeDocument/2006/relationships/hyperlink" Target="https://www.unicef.org/myanmar/" TargetMode="External"/><Relationship Id="rId1386" Type="http://schemas.openxmlformats.org/officeDocument/2006/relationships/hyperlink" Target="https://unctad.org/page/data-protection-and-privacy-legislation-worldwide" TargetMode="External"/><Relationship Id="rId1593" Type="http://schemas.openxmlformats.org/officeDocument/2006/relationships/hyperlink" Target="https://www.unicef.org/somalia/" TargetMode="External"/><Relationship Id="rId104" Type="http://schemas.openxmlformats.org/officeDocument/2006/relationships/hyperlink" Target="https://unctad.org/page/data-protection-and-privacy-legislation-worldwide" TargetMode="External"/><Relationship Id="rId311" Type="http://schemas.openxmlformats.org/officeDocument/2006/relationships/hyperlink" Target="https://en.unesco.org/artificial-intelligence/observatory/policies?country=CA;%20https://www.unesco.org/ethics-ai/en/global-hub" TargetMode="External"/><Relationship Id="rId409" Type="http://schemas.openxmlformats.org/officeDocument/2006/relationships/hyperlink" Target="https://www.unicef.org/croatia/" TargetMode="External"/><Relationship Id="rId963" Type="http://schemas.openxmlformats.org/officeDocument/2006/relationships/hyperlink" Target="https://www.unicef.org/liberia/" TargetMode="External"/><Relationship Id="rId1039" Type="http://schemas.openxmlformats.org/officeDocument/2006/relationships/hyperlink" Target="https://www.unicef.org/malaysia/" TargetMode="External"/><Relationship Id="rId1246" Type="http://schemas.openxmlformats.org/officeDocument/2006/relationships/hyperlink" Target="https://unctad.org/page/data-protection-and-privacy-legislation-worldwide" TargetMode="External"/><Relationship Id="rId1898" Type="http://schemas.openxmlformats.org/officeDocument/2006/relationships/hyperlink" Target="https://ilga.org/ilga-world-maps/" TargetMode="External"/><Relationship Id="rId92" Type="http://schemas.openxmlformats.org/officeDocument/2006/relationships/hyperlink" Target="https://unctad.org/page/data-protection-and-privacy-legislation-worldwide" TargetMode="External"/><Relationship Id="rId616" Type="http://schemas.openxmlformats.org/officeDocument/2006/relationships/hyperlink" Target="https://gdpr-info.eu/art-35-gdpr/" TargetMode="External"/><Relationship Id="rId823" Type="http://schemas.openxmlformats.org/officeDocument/2006/relationships/hyperlink" Target="https://unctad.org/page/data-protection-and-privacy-legislation-worldwide;%20https:/www.unicef.org/israel/" TargetMode="External"/><Relationship Id="rId1453" Type="http://schemas.openxmlformats.org/officeDocument/2006/relationships/hyperlink" Target="https://www.unicef.org/saint-lucia/" TargetMode="External"/><Relationship Id="rId166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758" Type="http://schemas.openxmlformats.org/officeDocument/2006/relationships/hyperlink" Target="https://ilga.org/ilga-world-maps/" TargetMode="External"/><Relationship Id="rId1106" Type="http://schemas.openxmlformats.org/officeDocument/2006/relationships/hyperlink" Target="https://unctad.org/page/data-protection-and-privacy-legislation-worldwide" TargetMode="External"/><Relationship Id="rId1313" Type="http://schemas.openxmlformats.org/officeDocument/2006/relationships/hyperlink" Target="https://unctad.org/page/data-protection-and-privacy-legislation-worldwide;%20https:/www.unicef.org/panama/" TargetMode="External"/><Relationship Id="rId1520" Type="http://schemas.openxmlformats.org/officeDocument/2006/relationships/hyperlink" Target="https://www.gsma.com/solutions-and-impact/connectivity-for-good/public-policy/mobile-policy-handbook/consumer-protection/mandatory-registration-of-prepaid-sims/" TargetMode="External"/><Relationship Id="rId1618" Type="http://schemas.openxmlformats.org/officeDocument/2006/relationships/hyperlink" Target="https://ilga.org/ilga-world-maps/" TargetMode="External"/><Relationship Id="rId1825" Type="http://schemas.openxmlformats.org/officeDocument/2006/relationships/hyperlink" Target="https://unctad.org/page/data-protection-and-privacy-legislation-worldwide" TargetMode="External"/><Relationship Id="rId199" Type="http://schemas.openxmlformats.org/officeDocument/2006/relationships/hyperlink" Target="https://www.unicef.org/bhutan/" TargetMode="External"/><Relationship Id="rId266" Type="http://schemas.openxmlformats.org/officeDocument/2006/relationships/hyperlink" Target="https://unctad.org/page/data-protection-and-privacy-legislation-worldwide" TargetMode="External"/><Relationship Id="rId473" Type="http://schemas.openxmlformats.org/officeDocument/2006/relationships/hyperlink" Target="https://unctad.org/page/data-protection-and-privacy-legislation-worldwide;%20https:/www.unicef.org/denmark/" TargetMode="External"/><Relationship Id="rId68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26" Type="http://schemas.openxmlformats.org/officeDocument/2006/relationships/hyperlink" Target="https://unctad.org/page/data-protection-and-privacy-legislation-worldwide" TargetMode="External"/><Relationship Id="rId333" Type="http://schemas.openxmlformats.org/officeDocument/2006/relationships/hyperlink" Target="https://unctad.org/page/data-protection-and-privacy-legislation-worldwide;%20https:/www.unicef.org/chad/" TargetMode="External"/><Relationship Id="rId540" Type="http://schemas.openxmlformats.org/officeDocument/2006/relationships/hyperlink" Target="https://www.gsma.com/solutions-and-impact/connectivity-for-good/public-policy/mobile-policy-handbook/consumer-protection/mandatory-registration-of-prepaid-sims/" TargetMode="External"/><Relationship Id="rId778" Type="http://schemas.openxmlformats.org/officeDocument/2006/relationships/hyperlink" Target="https://ilga.org/ilga-world-maps/" TargetMode="External"/><Relationship Id="rId985" Type="http://schemas.openxmlformats.org/officeDocument/2006/relationships/hyperlink" Target="https://unctad.org/page/data-protection-and-privacy-legislation-worldwide" TargetMode="External"/><Relationship Id="rId117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638" Type="http://schemas.openxmlformats.org/officeDocument/2006/relationships/hyperlink" Target="https://ilga.org/ilga-world-maps/" TargetMode="External"/><Relationship Id="rId845" Type="http://schemas.openxmlformats.org/officeDocument/2006/relationships/hyperlink" Target="https://unctad.org/page/data-protection-and-privacy-legislation-worldwide" TargetMode="External"/><Relationship Id="rId103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268" Type="http://schemas.openxmlformats.org/officeDocument/2006/relationships/hyperlink" Target="https://ilga.org/ilga-world-maps/" TargetMode="External"/><Relationship Id="rId1475" Type="http://schemas.openxmlformats.org/officeDocument/2006/relationships/hyperlink" Target="https://unctad.org/page/data-protection-and-privacy-legislation-worldwide" TargetMode="External"/><Relationship Id="rId1682" Type="http://schemas.openxmlformats.org/officeDocument/2006/relationships/hyperlink" Target="https://unctad.org/page/data-protection-and-privacy-legislation-worldwide" TargetMode="External"/><Relationship Id="rId40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705" Type="http://schemas.openxmlformats.org/officeDocument/2006/relationships/hyperlink" Target="https://unctad.org/page/data-protection-and-privacy-legislation-worldwide" TargetMode="External"/><Relationship Id="rId1128" Type="http://schemas.openxmlformats.org/officeDocument/2006/relationships/hyperlink" Target="https://ilga.org/ilga-world-maps/" TargetMode="External"/><Relationship Id="rId1335" Type="http://schemas.openxmlformats.org/officeDocument/2006/relationships/hyperlink" Target="https://unctad.org/page/data-protection-and-privacy-legislation-worldwide" TargetMode="External"/><Relationship Id="rId1542" Type="http://schemas.openxmlformats.org/officeDocument/2006/relationships/hyperlink" Target="https://unctad.org/page/data-protection-and-privacy-legislation-worldwide" TargetMode="External"/><Relationship Id="rId912" Type="http://schemas.openxmlformats.org/officeDocument/2006/relationships/hyperlink" Target="https://unctad.org/page/data-protection-and-privacy-legislation-worldwide" TargetMode="External"/><Relationship Id="rId1847" Type="http://schemas.openxmlformats.org/officeDocument/2006/relationships/hyperlink" Target="https://www.humandignitytrust.org/country-profile/united-kingdom-of-great-britain-and-northern-ireland/;%20https:/ilga.org/ilga-world-maps/" TargetMode="External"/><Relationship Id="rId41" Type="http://schemas.openxmlformats.org/officeDocument/2006/relationships/hyperlink" Target="https://en.unesco.org/artificial-intelligence/observatory/policies?country=AO;%20https://www.unesco.org/ethics-ai/en/global-hub" TargetMode="External"/><Relationship Id="rId1402" Type="http://schemas.openxmlformats.org/officeDocument/2006/relationships/hyperlink" Target="https://unctad.org/page/data-protection-and-privacy-legislation-worldwide" TargetMode="External"/><Relationship Id="rId1707" Type="http://schemas.openxmlformats.org/officeDocument/2006/relationships/hyperlink" Target="https://www.humandignitytrust.org/country-profile/tajikistan/;%20https:/ilga.org/ilga-world-maps/" TargetMode="External"/><Relationship Id="rId19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288" Type="http://schemas.openxmlformats.org/officeDocument/2006/relationships/hyperlink" Target="https://ilga.org/ilga-world-maps/" TargetMode="External"/><Relationship Id="rId1914" Type="http://schemas.openxmlformats.org/officeDocument/2006/relationships/hyperlink" Target="https://unctad.org/page/data-protection-and-privacy-legislation-worldwide" TargetMode="External"/><Relationship Id="rId495" Type="http://schemas.openxmlformats.org/officeDocument/2006/relationships/hyperlink" Target="https://unctad.org/page/data-protection-and-privacy-legislation-worldwide" TargetMode="External"/><Relationship Id="rId148" Type="http://schemas.openxmlformats.org/officeDocument/2006/relationships/hyperlink" Target="https://ilga.org/ilga-world-maps/" TargetMode="External"/><Relationship Id="rId355" Type="http://schemas.openxmlformats.org/officeDocument/2006/relationships/hyperlink" Target="https://unctad.org/page/data-protection-and-privacy-legislation-worldwide" TargetMode="External"/><Relationship Id="rId562" Type="http://schemas.openxmlformats.org/officeDocument/2006/relationships/hyperlink" Target="https://unctad.org/page/data-protection-and-privacy-legislation-worldwide" TargetMode="External"/><Relationship Id="rId1192" Type="http://schemas.openxmlformats.org/officeDocument/2006/relationships/hyperlink" Target="https://unctad.org/page/data-protection-and-privacy-legislation-worldwide" TargetMode="External"/><Relationship Id="rId215" Type="http://schemas.openxmlformats.org/officeDocument/2006/relationships/hyperlink" Target="https://unctad.org/page/data-protection-and-privacy-legislation-worldwide" TargetMode="External"/><Relationship Id="rId422" Type="http://schemas.openxmlformats.org/officeDocument/2006/relationships/hyperlink" Target="https://unctad.org/page/data-protection-and-privacy-legislation-worldwide" TargetMode="External"/><Relationship Id="rId867" Type="http://schemas.openxmlformats.org/officeDocument/2006/relationships/hyperlink" Target="https://www.humandignitytrust.org/country-profile/jordan/;%20https:/ilga.org/ilga-world-maps/" TargetMode="External"/><Relationship Id="rId1052" Type="http://schemas.openxmlformats.org/officeDocument/2006/relationships/hyperlink" Target="https://unctad.org/page/data-protection-and-privacy-legislation-worldwide" TargetMode="External"/><Relationship Id="rId1497" Type="http://schemas.openxmlformats.org/officeDocument/2006/relationships/hyperlink" Target="https://www.humandignitytrust.org/country-profile/sao-tome-and-principe/;%20https:/ilga.org/ilga-world-maps/" TargetMode="External"/><Relationship Id="rId727" Type="http://schemas.openxmlformats.org/officeDocument/2006/relationships/hyperlink" Target="https://www.humandignitytrust.org/country-profile/guyana/;%20https:/ilga.org/ilga-world-maps/" TargetMode="External"/><Relationship Id="rId934" Type="http://schemas.openxmlformats.org/officeDocument/2006/relationships/hyperlink" Target="https://unctad.org/page/data-protection-and-privacy-legislation-worldwide" TargetMode="External"/><Relationship Id="rId1357" Type="http://schemas.openxmlformats.org/officeDocument/2006/relationships/hyperlink" Target="https://www.humandignitytrust.org/country-profile/philippines/;%20https:/ilga.org/ilga-world-maps/" TargetMode="External"/><Relationship Id="rId1564" Type="http://schemas.openxmlformats.org/officeDocument/2006/relationships/hyperlink" Target="https://unctad.org/page/data-protection-and-privacy-legislation-worldwide" TargetMode="External"/><Relationship Id="rId1771" Type="http://schemas.openxmlformats.org/officeDocument/2006/relationships/hyperlink" Target="https://en.unesco.org/artificial-intelligence/observatory/policies?country=TN;%20https://www.unesco.org/ethics-ai/en/global-hub" TargetMode="External"/><Relationship Id="rId63" Type="http://schemas.openxmlformats.org/officeDocument/2006/relationships/hyperlink" Target="https://unctad.org/page/data-protection-and-privacy-legislation-worldwide;%20https:/www.unicef.org/argentina/" TargetMode="External"/><Relationship Id="rId1217" Type="http://schemas.openxmlformats.org/officeDocument/2006/relationships/hyperlink" Target="https://www.humandignitytrust.org/country-profile/netherlands/;%20https:/ilga.org/ilga-world-maps/" TargetMode="External"/><Relationship Id="rId1424" Type="http://schemas.openxmlformats.org/officeDocument/2006/relationships/hyperlink" Target="https://unctad.org/page/data-protection-and-privacy-legislation-worldwide" TargetMode="External"/><Relationship Id="rId1631" Type="http://schemas.openxmlformats.org/officeDocument/2006/relationships/hyperlink" Target="https://en.unesco.org/artificial-intelligence/observatory/policies?country=LK;%20https://www.unesco.org/ethics-ai/en/global-hub" TargetMode="External"/><Relationship Id="rId1869" Type="http://schemas.openxmlformats.org/officeDocument/2006/relationships/hyperlink" Target="https://www.unicef.org/uruguay/" TargetMode="External"/><Relationship Id="rId1729" Type="http://schemas.openxmlformats.org/officeDocument/2006/relationships/hyperlink" Target="https://www.unicef.org/thailand/" TargetMode="External"/><Relationship Id="rId1936" Type="http://schemas.openxmlformats.org/officeDocument/2006/relationships/hyperlink" Target="https://unctad.org/page/data-protection-and-privacy-legislation-worldwide" TargetMode="External"/><Relationship Id="rId377" Type="http://schemas.openxmlformats.org/officeDocument/2006/relationships/hyperlink" Target="https://www.humandignitytrust.org/country-profile/comoros/;%20https:/ilga.org/ilga-world-maps/" TargetMode="External"/><Relationship Id="rId584" Type="http://schemas.openxmlformats.org/officeDocument/2006/relationships/hyperlink" Target="https://unctad.org/page/data-protection-and-privacy-legislation-worldwide" TargetMode="External"/><Relationship Id="rId5" Type="http://schemas.openxmlformats.org/officeDocument/2006/relationships/hyperlink" Target="https://unctad.org/page/data-protection-and-privacy-legislation-worldwide" TargetMode="External"/><Relationship Id="rId237" Type="http://schemas.openxmlformats.org/officeDocument/2006/relationships/hyperlink" Target="https://www.humandignitytrust.org/country-profile/brazil/;%20https:/ilga.org/ilga-world-maps/" TargetMode="External"/><Relationship Id="rId791" Type="http://schemas.openxmlformats.org/officeDocument/2006/relationships/hyperlink" Target="https://www.unesco.org/ethics-ai/en/global-hub" TargetMode="External"/><Relationship Id="rId889" Type="http://schemas.openxmlformats.org/officeDocument/2006/relationships/hyperlink" Target="https://www.unicef.org/kenya/" TargetMode="External"/><Relationship Id="rId1074" Type="http://schemas.openxmlformats.org/officeDocument/2006/relationships/hyperlink" Target="https://unctad.org/page/data-protection-and-privacy-legislation-worldwide" TargetMode="External"/><Relationship Id="rId444" Type="http://schemas.openxmlformats.org/officeDocument/2006/relationships/hyperlink" Target="https://unctad.org/page/data-protection-and-privacy-legislation-worldwide" TargetMode="External"/><Relationship Id="rId651" Type="http://schemas.openxmlformats.org/officeDocument/2006/relationships/hyperlink" Target="https://en.unesco.org/artificial-intelligence/observatory/policies?country=DE;%20https://www.unesco.org/ethics-ai/en/global-hub" TargetMode="External"/><Relationship Id="rId749" Type="http://schemas.openxmlformats.org/officeDocument/2006/relationships/hyperlink" Target="https://www.unicef.org/honduras/" TargetMode="External"/><Relationship Id="rId1281" Type="http://schemas.openxmlformats.org/officeDocument/2006/relationships/hyperlink" Target="https://en.unesco.org/artificial-intelligence/observatory/policies?country=OM;%20https://www.unesco.org/ethics-ai/en/global-hub" TargetMode="External"/><Relationship Id="rId1379" Type="http://schemas.openxmlformats.org/officeDocument/2006/relationships/hyperlink" Target="https://www.unicef.org/portugal/" TargetMode="External"/><Relationship Id="rId1586" Type="http://schemas.openxmlformats.org/officeDocument/2006/relationships/hyperlink" Target="https://unctad.org/page/data-protection-and-privacy-legislation-worldwide" TargetMode="External"/><Relationship Id="rId304" Type="http://schemas.openxmlformats.org/officeDocument/2006/relationships/hyperlink" Target="https://unctad.org/page/data-protection-and-privacy-legislation-worldwide" TargetMode="External"/><Relationship Id="rId511" Type="http://schemas.openxmlformats.org/officeDocument/2006/relationships/hyperlink" Target="https://en.unesco.org/artificial-intelligence/observatory/policies?country=EC;%20https://www.unesco.org/ethics-ai/en/global-hub" TargetMode="External"/><Relationship Id="rId609" Type="http://schemas.openxmlformats.org/officeDocument/2006/relationships/hyperlink" Target="https://www.unicef.org/finland/" TargetMode="External"/><Relationship Id="rId956" Type="http://schemas.openxmlformats.org/officeDocument/2006/relationships/hyperlink" Target="https://unctad.org/page/data-protection-and-privacy-legislation-worldwide" TargetMode="External"/><Relationship Id="rId1141" Type="http://schemas.openxmlformats.org/officeDocument/2006/relationships/hyperlink" Target="https://en.unesco.org/artificial-intelligence/observatory/policies?country=ME;%20https://www.unesco.org/ethics-ai/en/global-hub" TargetMode="External"/><Relationship Id="rId1239" Type="http://schemas.openxmlformats.org/officeDocument/2006/relationships/hyperlink" Target="https://www.unicef.org/nicaragua/" TargetMode="External"/><Relationship Id="rId1793" Type="http://schemas.openxmlformats.org/officeDocument/2006/relationships/hyperlink" Target="https://www.unicef.org/turkmenistan/" TargetMode="External"/><Relationship Id="rId85" Type="http://schemas.openxmlformats.org/officeDocument/2006/relationships/hyperlink" Target="https://unctad.org/page/data-protection-and-privacy-legislation-worldwide" TargetMode="External"/><Relationship Id="rId816" Type="http://schemas.openxmlformats.org/officeDocument/2006/relationships/hyperlink" Target="https://gdpr-info.eu/art-35-gdpr/" TargetMode="External"/><Relationship Id="rId1001" Type="http://schemas.openxmlformats.org/officeDocument/2006/relationships/hyperlink" Target="https://en.unesco.org/artificial-intelligence/observatory/policies?country=LU;%20https://www.unesco.org/ethics-ai/en/global-hub" TargetMode="External"/><Relationship Id="rId1446" Type="http://schemas.openxmlformats.org/officeDocument/2006/relationships/hyperlink" Target="https://unctad.org/page/data-protection-and-privacy-legislation-worldwide" TargetMode="External"/><Relationship Id="rId1653" Type="http://schemas.openxmlformats.org/officeDocument/2006/relationships/hyperlink" Target="https://www.unicef.org/sudan/" TargetMode="External"/><Relationship Id="rId1860" Type="http://schemas.openxmlformats.org/officeDocument/2006/relationships/hyperlink" Target="https://www.gsma.com/solutions-and-impact/connectivity-for-good/public-policy/mobile-policy-handbook/consumer-protection/mandatory-registration-of-prepaid-sims/" TargetMode="External"/><Relationship Id="rId1306" Type="http://schemas.openxmlformats.org/officeDocument/2006/relationships/hyperlink" Target="https://unctad.org/page/data-protection-and-privacy-legislation-worldwide" TargetMode="External"/><Relationship Id="rId1513" Type="http://schemas.openxmlformats.org/officeDocument/2006/relationships/hyperlink" Target="https://unctad.org/page/data-protection-and-privacy-legislation-worldwide;%20https:/www.unicef.org/senegal/" TargetMode="External"/><Relationship Id="rId172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2" Type="http://schemas.openxmlformats.org/officeDocument/2006/relationships/hyperlink" Target="https://idp.al/wp-content/uploads/2018/11/Law_9887_2008_EN.pdf;%20https:/www.dataguidance.com/notes/albania-data-protection-overview" TargetMode="External"/><Relationship Id="rId1818" Type="http://schemas.openxmlformats.org/officeDocument/2006/relationships/hyperlink" Target="https://ilga.org/ilga-world-maps/" TargetMode="External"/><Relationship Id="rId161" Type="http://schemas.openxmlformats.org/officeDocument/2006/relationships/hyperlink" Target="https://en.unesco.org/artificial-intelligence/observatory/policies?country=BE;%20https://www.unesco.org/ethics-ai/en/global-hub" TargetMode="External"/><Relationship Id="rId399" Type="http://schemas.openxmlformats.org/officeDocument/2006/relationships/hyperlink" Target="https://www.unicef.org/costa-rica/" TargetMode="External"/><Relationship Id="rId259" Type="http://schemas.openxmlformats.org/officeDocument/2006/relationships/hyperlink" Target="https://www.unicef.org/bulgaria/" TargetMode="External"/><Relationship Id="rId466" Type="http://schemas.openxmlformats.org/officeDocument/2006/relationships/hyperlink" Target="https://unctad.org/page/data-protection-and-privacy-legislation-worldwide" TargetMode="External"/><Relationship Id="rId673" Type="http://schemas.openxmlformats.org/officeDocument/2006/relationships/hyperlink" Target="https://unctad.org/page/data-protection-and-privacy-legislation-worldwide;%20https:/www.unicef.org/greece/" TargetMode="External"/><Relationship Id="rId88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096" Type="http://schemas.openxmlformats.org/officeDocument/2006/relationships/hyperlink" Target="https://unctad.org/page/data-protection-and-privacy-legislation-worldwide" TargetMode="External"/><Relationship Id="rId119" Type="http://schemas.openxmlformats.org/officeDocument/2006/relationships/hyperlink" Target="https://www.unicef.org/bahamas/" TargetMode="External"/><Relationship Id="rId326" Type="http://schemas.openxmlformats.org/officeDocument/2006/relationships/hyperlink" Target="https://unctad.org/page/data-protection-and-privacy-legislation-worldwide" TargetMode="External"/><Relationship Id="rId533" Type="http://schemas.openxmlformats.org/officeDocument/2006/relationships/hyperlink" Target="https://unctad.org/page/data-protection-and-privacy-legislation-worldwide;%20https:/www.unicef.org/el-salvador/" TargetMode="External"/><Relationship Id="rId978" Type="http://schemas.openxmlformats.org/officeDocument/2006/relationships/hyperlink" Target="https://ilga.org/ilga-world-maps/" TargetMode="External"/><Relationship Id="rId1163" Type="http://schemas.openxmlformats.org/officeDocument/2006/relationships/hyperlink" Target="https://www.unicef.org/mozambique/" TargetMode="External"/><Relationship Id="rId1370" Type="http://schemas.openxmlformats.org/officeDocument/2006/relationships/hyperlink" Target="https://www.gsma.com/solutions-and-impact/connectivity-for-good/public-policy/mobile-policy-handbook/consumer-protection/mandatory-registration-of-prepaid-sims/" TargetMode="External"/><Relationship Id="rId740" Type="http://schemas.openxmlformats.org/officeDocument/2006/relationships/hyperlink" Target="https://www.gsma.com/solutions-and-impact/connectivity-for-good/public-policy/mobile-policy-handbook/consumer-protection/mandatory-registration-of-prepaid-sims/" TargetMode="External"/><Relationship Id="rId838" Type="http://schemas.openxmlformats.org/officeDocument/2006/relationships/hyperlink" Target="https://ilga.org/ilga-world-maps/" TargetMode="External"/><Relationship Id="rId1023" Type="http://schemas.openxmlformats.org/officeDocument/2006/relationships/hyperlink" Target="https://unctad.org/page/data-protection-and-privacy-legislation-worldwide;%20https:/www.unicef.org/malawi/" TargetMode="External"/><Relationship Id="rId1468" Type="http://schemas.openxmlformats.org/officeDocument/2006/relationships/hyperlink" Target="https://ilga.org/ilga-world-maps/" TargetMode="External"/><Relationship Id="rId1675" Type="http://schemas.openxmlformats.org/officeDocument/2006/relationships/hyperlink" Target="https://unctad.org/page/data-protection-and-privacy-legislation-worldwide" TargetMode="External"/><Relationship Id="rId1882" Type="http://schemas.openxmlformats.org/officeDocument/2006/relationships/hyperlink" Target="https://unctad.org/page/data-protection-and-privacy-legislation-worldwide" TargetMode="External"/><Relationship Id="rId600" Type="http://schemas.openxmlformats.org/officeDocument/2006/relationships/hyperlink" Target="https://www.gsma.com/solutions-and-impact/connectivity-for-good/public-policy/mobile-policy-handbook/consumer-protection/mandatory-registration-of-prepaid-sims/" TargetMode="External"/><Relationship Id="rId1230" Type="http://schemas.openxmlformats.org/officeDocument/2006/relationships/hyperlink" Target="https://www.gsma.com/solutions-and-impact/connectivity-for-good/public-policy/mobile-policy-handbook/consumer-protection/mandatory-registration-of-prepaid-sims/" TargetMode="External"/><Relationship Id="rId1328" Type="http://schemas.openxmlformats.org/officeDocument/2006/relationships/hyperlink" Target="https://ilga.org/ilga-world-maps/" TargetMode="External"/><Relationship Id="rId1535" Type="http://schemas.openxmlformats.org/officeDocument/2006/relationships/hyperlink" Target="https://unctad.org/page/data-protection-and-privacy-legislation-worldwide" TargetMode="External"/><Relationship Id="rId905" Type="http://schemas.openxmlformats.org/officeDocument/2006/relationships/hyperlink" Target="https://unctad.org/page/data-protection-and-privacy-legislation-worldwide" TargetMode="External"/><Relationship Id="rId1742" Type="http://schemas.openxmlformats.org/officeDocument/2006/relationships/hyperlink" Target="https://unctad.org/page/data-protection-and-privacy-legislation-worldwide" TargetMode="External"/><Relationship Id="rId34" Type="http://schemas.openxmlformats.org/officeDocument/2006/relationships/hyperlink" Target="https://apda.ad/wp-content/uploads/2021/12/LQPD-EN.pdf%20(Art.%209)" TargetMode="External"/><Relationship Id="rId1602" Type="http://schemas.openxmlformats.org/officeDocument/2006/relationships/hyperlink" Target="https://unctad.org/page/data-protection-and-privacy-legislation-worldwide" TargetMode="External"/><Relationship Id="rId183" Type="http://schemas.openxmlformats.org/officeDocument/2006/relationships/hyperlink" Target="https://unctad.org/page/data-protection-and-privacy-legislation-worldwide;%20https:/www.unicef.org/benin/" TargetMode="External"/><Relationship Id="rId39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907" Type="http://schemas.openxmlformats.org/officeDocument/2006/relationships/hyperlink" Target="https://www.humandignitytrust.org/country-profile/viet-nam/;%20https:/ilga.org/ilga-world-maps/" TargetMode="External"/><Relationship Id="rId25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488" Type="http://schemas.openxmlformats.org/officeDocument/2006/relationships/hyperlink" Target="https://ilga.org/ilga-world-maps/" TargetMode="External"/><Relationship Id="rId695" Type="http://schemas.openxmlformats.org/officeDocument/2006/relationships/hyperlink" Target="https://unctad.org/page/data-protection-and-privacy-legislation-worldwide" TargetMode="External"/><Relationship Id="rId11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348" Type="http://schemas.openxmlformats.org/officeDocument/2006/relationships/hyperlink" Target="https://ilga.org/ilga-world-maps/" TargetMode="External"/><Relationship Id="rId555" Type="http://schemas.openxmlformats.org/officeDocument/2006/relationships/hyperlink" Target="https://unctad.org/page/data-protection-and-privacy-legislation-worldwide" TargetMode="External"/><Relationship Id="rId762" Type="http://schemas.openxmlformats.org/officeDocument/2006/relationships/hyperlink" Target="https://unctad.org/page/data-protection-and-privacy-legislation-worldwide" TargetMode="External"/><Relationship Id="rId1185" Type="http://schemas.openxmlformats.org/officeDocument/2006/relationships/hyperlink" Target="https://unctad.org/page/data-protection-and-privacy-legislation-worldwide" TargetMode="External"/><Relationship Id="rId1392" Type="http://schemas.openxmlformats.org/officeDocument/2006/relationships/hyperlink" Target="https://unctad.org/page/data-protection-and-privacy-legislation-worldwide" TargetMode="External"/><Relationship Id="rId208" Type="http://schemas.openxmlformats.org/officeDocument/2006/relationships/hyperlink" Target="https://ilga.org/ilga-world-maps/" TargetMode="External"/><Relationship Id="rId415" Type="http://schemas.openxmlformats.org/officeDocument/2006/relationships/hyperlink" Target="https://unctad.org/page/data-protection-and-privacy-legislation-worldwide" TargetMode="External"/><Relationship Id="rId622" Type="http://schemas.openxmlformats.org/officeDocument/2006/relationships/hyperlink" Target="https://unctad.org/page/data-protection-and-privacy-legislation-worldwide" TargetMode="External"/><Relationship Id="rId1045" Type="http://schemas.openxmlformats.org/officeDocument/2006/relationships/hyperlink" Target="https://unctad.org/page/data-protection-and-privacy-legislation-worldwide" TargetMode="External"/><Relationship Id="rId1252" Type="http://schemas.openxmlformats.org/officeDocument/2006/relationships/hyperlink" Target="https://unctad.org/page/data-protection-and-privacy-legislation-worldwide" TargetMode="External"/><Relationship Id="rId1697" Type="http://schemas.openxmlformats.org/officeDocument/2006/relationships/hyperlink" Target="https://www.humandignitytrust.org/country-profile/syrian-arab-republic/;%20https:/ilga.org/ilga-world-maps/" TargetMode="External"/><Relationship Id="rId927" Type="http://schemas.openxmlformats.org/officeDocument/2006/relationships/hyperlink" Target="https://www.humandignitytrust.org/country-profile/lao-peoples-democratic-republic/;%20https:/ilga.org/ilga-world-maps/" TargetMode="External"/><Relationship Id="rId1112" Type="http://schemas.openxmlformats.org/officeDocument/2006/relationships/hyperlink" Target="https://unctad.org/page/data-protection-and-privacy-legislation-worldwide" TargetMode="External"/><Relationship Id="rId1557" Type="http://schemas.openxmlformats.org/officeDocument/2006/relationships/hyperlink" Target="https://www.humandignitytrust.org/country-profile/singapore/;%20https:/ilga.org/ilga-world-maps/" TargetMode="External"/><Relationship Id="rId1764" Type="http://schemas.openxmlformats.org/officeDocument/2006/relationships/hyperlink" Target="https://unctad.org/page/data-protection-and-privacy-legislation-worldwide" TargetMode="External"/><Relationship Id="rId56" Type="http://schemas.openxmlformats.org/officeDocument/2006/relationships/hyperlink" Target="https://unctad.org/page/data-protection-and-privacy-legislation-worldwide" TargetMode="External"/><Relationship Id="rId1417" Type="http://schemas.openxmlformats.org/officeDocument/2006/relationships/hyperlink" Target="https://www.humandignitytrust.org/country-profile/romania/;%20https:/ilga.org/ilga-world-maps/" TargetMode="External"/><Relationship Id="rId1624" Type="http://schemas.openxmlformats.org/officeDocument/2006/relationships/hyperlink" Target="https://unctad.org/page/data-protection-and-privacy-legislation-worldwide" TargetMode="External"/><Relationship Id="rId1831" Type="http://schemas.openxmlformats.org/officeDocument/2006/relationships/hyperlink" Target="https://en.unesco.org/artificial-intelligence/observatory/policies?country=AE;%20https://www.unesco.org/ethics-ai/en/global-hub" TargetMode="External"/><Relationship Id="rId1929" Type="http://schemas.openxmlformats.org/officeDocument/2006/relationships/hyperlink" Target="https://www.unicef.org/zambia/" TargetMode="External"/><Relationship Id="rId272" Type="http://schemas.openxmlformats.org/officeDocument/2006/relationships/hyperlink" Target="https://unctad.org/page/data-protection-and-privacy-legislation-worldwide" TargetMode="External"/><Relationship Id="rId577" Type="http://schemas.openxmlformats.org/officeDocument/2006/relationships/hyperlink" Target="https://www.humandignitytrust.org/country-profile/eswatini/;%20https:/ilga.org/ilga-world-maps/" TargetMode="External"/><Relationship Id="rId132" Type="http://schemas.openxmlformats.org/officeDocument/2006/relationships/hyperlink" Target="https://unctad.org/page/data-protection-and-privacy-legislation-worldwide" TargetMode="External"/><Relationship Id="rId784" Type="http://schemas.openxmlformats.org/officeDocument/2006/relationships/hyperlink" Target="https://unctad.org/page/data-protection-and-privacy-legislation-worldwide" TargetMode="External"/><Relationship Id="rId991" Type="http://schemas.openxmlformats.org/officeDocument/2006/relationships/hyperlink" Target="https://en.unesco.org/artificial-intelligence/observatory/policies?country=LT;%20https://www.unesco.org/ethics-ai/en/global-hub" TargetMode="External"/><Relationship Id="rId1067" Type="http://schemas.openxmlformats.org/officeDocument/2006/relationships/hyperlink" Target="https://www.humandignitytrust.org/country-profile/malta/;%20https:/ilga.org/ilga-world-maps/" TargetMode="External"/><Relationship Id="rId437" Type="http://schemas.openxmlformats.org/officeDocument/2006/relationships/hyperlink" Target="https://www.humandignitytrust.org/country-profile/czechia/;%20https:/ilga.org/ilga-world-maps/" TargetMode="External"/><Relationship Id="rId644" Type="http://schemas.openxmlformats.org/officeDocument/2006/relationships/hyperlink" Target="https://unctad.org/page/data-protection-and-privacy-legislation-worldwide" TargetMode="External"/><Relationship Id="rId851" Type="http://schemas.openxmlformats.org/officeDocument/2006/relationships/hyperlink" Target="https://en.unesco.org/artificial-intelligence/observatory/policies?country=JP;%20https://www.unesco.org/ethics-ai/en/global-hub" TargetMode="External"/><Relationship Id="rId1274" Type="http://schemas.openxmlformats.org/officeDocument/2006/relationships/hyperlink" Target="https://unctad.org/page/data-protection-and-privacy-legislation-worldwide" TargetMode="External"/><Relationship Id="rId1481" Type="http://schemas.openxmlformats.org/officeDocument/2006/relationships/hyperlink" Target="https://en.unesco.org/artificial-intelligence/observatory/policies?country=SM;%20https://www.unesco.org/ethics-ai/en/global-hub" TargetMode="External"/><Relationship Id="rId1579" Type="http://schemas.openxmlformats.org/officeDocument/2006/relationships/hyperlink" Target="https://www.unicef.org/slovenia/" TargetMode="External"/><Relationship Id="rId504" Type="http://schemas.openxmlformats.org/officeDocument/2006/relationships/hyperlink" Target="https://unctad.org/page/data-protection-and-privacy-legislation-worldwide" TargetMode="External"/><Relationship Id="rId711" Type="http://schemas.openxmlformats.org/officeDocument/2006/relationships/hyperlink" Target="https://en.unesco.org/artificial-intelligence/observatory/policies?country=GW;%20https://www.unesco.org/ethics-ai/en/global-hub" TargetMode="External"/><Relationship Id="rId949" Type="http://schemas.openxmlformats.org/officeDocument/2006/relationships/hyperlink" Target="https://www.unicef.org/lebanon/" TargetMode="External"/><Relationship Id="rId1134" Type="http://schemas.openxmlformats.org/officeDocument/2006/relationships/hyperlink" Target="https://unctad.org/page/data-protection-and-privacy-legislation-worldwide" TargetMode="External"/><Relationship Id="rId1341" Type="http://schemas.openxmlformats.org/officeDocument/2006/relationships/hyperlink" Target="https://en.unesco.org/artificial-intelligence/observatory/policies?country=PE;%20https://www.unesco.org/ethics-ai/en/global-hub" TargetMode="External"/><Relationship Id="rId1786" Type="http://schemas.openxmlformats.org/officeDocument/2006/relationships/hyperlink" Target="https://unctad.org/page/data-protection-and-privacy-legislation-worldwide" TargetMode="External"/><Relationship Id="rId78" Type="http://schemas.openxmlformats.org/officeDocument/2006/relationships/hyperlink" Target="https://ilga.org/ilga-world-maps/" TargetMode="External"/><Relationship Id="rId809" Type="http://schemas.openxmlformats.org/officeDocument/2006/relationships/hyperlink" Target="https://www.unicef.org/iraq/" TargetMode="External"/><Relationship Id="rId1201" Type="http://schemas.openxmlformats.org/officeDocument/2006/relationships/hyperlink" Target="https://en.unesco.org/artificial-intelligence/observatory/policies?country=NP;%20https://www.unesco.org/ethics-ai/en/global-hub" TargetMode="External"/><Relationship Id="rId1439" Type="http://schemas.openxmlformats.org/officeDocument/2006/relationships/hyperlink" Target="https://www.unicef.org/rwanda/" TargetMode="External"/><Relationship Id="rId1646" Type="http://schemas.openxmlformats.org/officeDocument/2006/relationships/hyperlink" Target="https://unctad.org/page/data-protection-and-privacy-legislation-worldwide" TargetMode="External"/><Relationship Id="rId1853" Type="http://schemas.openxmlformats.org/officeDocument/2006/relationships/hyperlink" Target="https://unctad.org/page/data-protection-and-privacy-legislation-worldwide;%20https:/www.unicef.org/united-states-of-america/" TargetMode="External"/><Relationship Id="rId1506" Type="http://schemas.openxmlformats.org/officeDocument/2006/relationships/hyperlink" Target="https://unctad.org/page/data-protection-and-privacy-legislation-worldwide" TargetMode="External"/><Relationship Id="rId1713" Type="http://schemas.openxmlformats.org/officeDocument/2006/relationships/hyperlink" Target="https://www.unicef.org/tanzania/" TargetMode="External"/><Relationship Id="rId1920" Type="http://schemas.openxmlformats.org/officeDocument/2006/relationships/hyperlink" Target="https://www.gsma.com/solutions-and-impact/connectivity-for-good/public-policy/mobile-policy-handbook/consumer-protection/mandatory-registration-of-prepaid-sims/" TargetMode="External"/><Relationship Id="rId294" Type="http://schemas.openxmlformats.org/officeDocument/2006/relationships/hyperlink" Target="https://unctad.org/page/data-protection-and-privacy-legislation-worldwide" TargetMode="External"/><Relationship Id="rId154" Type="http://schemas.openxmlformats.org/officeDocument/2006/relationships/hyperlink" Target="https://unctad.org/page/data-protection-and-privacy-legislation-worldwide" TargetMode="External"/><Relationship Id="rId361" Type="http://schemas.openxmlformats.org/officeDocument/2006/relationships/hyperlink" Target="https://en.unesco.org/artificial-intelligence/observatory/policies?country=CO;%20https://www.unesco.org/ethics-ai/en/global-hub" TargetMode="External"/><Relationship Id="rId599" Type="http://schemas.openxmlformats.org/officeDocument/2006/relationships/hyperlink" Target="https://www.unicef.org/fiji/" TargetMode="External"/><Relationship Id="rId459" Type="http://schemas.openxmlformats.org/officeDocument/2006/relationships/hyperlink" Target="https://www.unicef.org/democratic-peoples-republic-of-korea/" TargetMode="External"/><Relationship Id="rId666" Type="http://schemas.openxmlformats.org/officeDocument/2006/relationships/hyperlink" Target="https://unctad.org/page/data-protection-and-privacy-legislation-worldwide" TargetMode="External"/><Relationship Id="rId873" Type="http://schemas.openxmlformats.org/officeDocument/2006/relationships/hyperlink" Target="https://unctad.org/page/data-protection-and-privacy-legislation-worldwide;%20https:/www.unicef.org/kazakhstan/" TargetMode="External"/><Relationship Id="rId1089" Type="http://schemas.openxmlformats.org/officeDocument/2006/relationships/hyperlink" Target="https://www.unicef.org/mauritania/" TargetMode="External"/><Relationship Id="rId1296" Type="http://schemas.openxmlformats.org/officeDocument/2006/relationships/hyperlink" Target="https://unctad.org/page/data-protection-and-privacy-legislation-worldwide" TargetMode="External"/><Relationship Id="rId221" Type="http://schemas.openxmlformats.org/officeDocument/2006/relationships/hyperlink" Target="https://en.unesco.org/artificial-intelligence/observatory/policies?country=BW;%20https://www.unesco.org/ethics-ai/en/global-hub" TargetMode="External"/><Relationship Id="rId319" Type="http://schemas.openxmlformats.org/officeDocument/2006/relationships/hyperlink" Target="https://www.unicef.org/canada/" TargetMode="External"/><Relationship Id="rId526" Type="http://schemas.openxmlformats.org/officeDocument/2006/relationships/hyperlink" Target="https://unctad.org/page/data-protection-and-privacy-legislation-worldwide" TargetMode="External"/><Relationship Id="rId1156" Type="http://schemas.openxmlformats.org/officeDocument/2006/relationships/hyperlink" Target="https://unctad.org/page/data-protection-and-privacy-legislation-worldwide" TargetMode="External"/><Relationship Id="rId1363" Type="http://schemas.openxmlformats.org/officeDocument/2006/relationships/hyperlink" Target="https://unctad.org/page/data-protection-and-privacy-legislation-worldwide;%20https:/www.unicef.org/poland/" TargetMode="External"/><Relationship Id="rId733" Type="http://schemas.openxmlformats.org/officeDocument/2006/relationships/hyperlink" Target="https://www.unicef.org/haiti/" TargetMode="External"/><Relationship Id="rId94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016" Type="http://schemas.openxmlformats.org/officeDocument/2006/relationships/hyperlink" Target="https://unctad.org/page/data-protection-and-privacy-legislation-worldwide" TargetMode="External"/><Relationship Id="rId1570" Type="http://schemas.openxmlformats.org/officeDocument/2006/relationships/hyperlink" Target="https://www.gsma.com/solutions-and-impact/connectivity-for-good/public-policy/mobile-policy-handbook/consumer-protection/mandatory-registration-of-prepaid-sims/" TargetMode="External"/><Relationship Id="rId1668" Type="http://schemas.openxmlformats.org/officeDocument/2006/relationships/hyperlink" Target="https://ilga.org/ilga-world-maps/" TargetMode="External"/><Relationship Id="rId1875" Type="http://schemas.openxmlformats.org/officeDocument/2006/relationships/hyperlink" Target="https://unctad.org/page/data-protection-and-privacy-legislation-worldwide" TargetMode="External"/><Relationship Id="rId80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223" Type="http://schemas.openxmlformats.org/officeDocument/2006/relationships/hyperlink" Target="https://unctad.org/page/data-protection-and-privacy-legislation-worldwide;%20https:/www.unicef.org/new-zealand/" TargetMode="External"/><Relationship Id="rId1430" Type="http://schemas.openxmlformats.org/officeDocument/2006/relationships/hyperlink" Target="https://www.gsma.com/solutions-and-impact/connectivity-for-good/public-policy/mobile-policy-handbook/consumer-protection/mandatory-registration-of-prepaid-sims/" TargetMode="External"/><Relationship Id="rId1528" Type="http://schemas.openxmlformats.org/officeDocument/2006/relationships/hyperlink" Target="https://ilga.org/ilga-world-maps/" TargetMode="External"/><Relationship Id="rId1735" Type="http://schemas.openxmlformats.org/officeDocument/2006/relationships/hyperlink" Target="https://unctad.org/page/data-protection-and-privacy-legislation-worldwide" TargetMode="External"/><Relationship Id="rId27" Type="http://schemas.openxmlformats.org/officeDocument/2006/relationships/hyperlink" Target="https://www.humandignitytrust.org/country-profile/algeria/;%20https:/ilga.org/maps-sexual-orientation-laws" TargetMode="External"/><Relationship Id="rId1802" Type="http://schemas.openxmlformats.org/officeDocument/2006/relationships/hyperlink" Target="https://unctad.org/page/data-protection-and-privacy-legislation-worldwide" TargetMode="External"/><Relationship Id="rId176" Type="http://schemas.openxmlformats.org/officeDocument/2006/relationships/hyperlink" Target="https://unctad.org/page/data-protection-and-privacy-legislation-worldwide" TargetMode="External"/><Relationship Id="rId383" Type="http://schemas.openxmlformats.org/officeDocument/2006/relationships/hyperlink" Target="https://unctad.org/page/data-protection-and-privacy-legislation-worldwide;%20https:/www.unicef.org/congo-republic-of-the/" TargetMode="External"/><Relationship Id="rId59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243" Type="http://schemas.openxmlformats.org/officeDocument/2006/relationships/hyperlink" Target="https://unctad.org/page/data-protection-and-privacy-legislation-worldwide;%20https:/www.unicef.org/brunei-darussalam/" TargetMode="External"/><Relationship Id="rId45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688" Type="http://schemas.openxmlformats.org/officeDocument/2006/relationships/hyperlink" Target="https://ilga.org/ilga-world-maps/" TargetMode="External"/><Relationship Id="rId895" Type="http://schemas.openxmlformats.org/officeDocument/2006/relationships/hyperlink" Target="https://unctad.org/page/data-protection-and-privacy-legislation-worldwide" TargetMode="External"/><Relationship Id="rId1080" Type="http://schemas.openxmlformats.org/officeDocument/2006/relationships/hyperlink" Target="https://www.gsma.com/solutions-and-impact/connectivity-for-good/public-policy/mobile-policy-handbook/consumer-protection/mandatory-registration-of-prepaid-sims/" TargetMode="External"/><Relationship Id="rId103" Type="http://schemas.openxmlformats.org/officeDocument/2006/relationships/hyperlink" Target="https://unctad.org/page/data-protection-and-privacy-legislation-worldwide;%20https:/www.unicef.org/azerbaijan/" TargetMode="External"/><Relationship Id="rId31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548" Type="http://schemas.openxmlformats.org/officeDocument/2006/relationships/hyperlink" Target="https://ilga.org/ilga-world-maps/" TargetMode="External"/><Relationship Id="rId755" Type="http://schemas.openxmlformats.org/officeDocument/2006/relationships/hyperlink" Target="https://unctad.org/page/data-protection-and-privacy-legislation-worldwide" TargetMode="External"/><Relationship Id="rId962" Type="http://schemas.openxmlformats.org/officeDocument/2006/relationships/hyperlink" Target="https://unctad.org/page/data-protection-and-privacy-legislation-worldwide" TargetMode="External"/><Relationship Id="rId1178" Type="http://schemas.openxmlformats.org/officeDocument/2006/relationships/hyperlink" Target="https://ilga.org/ilga-world-maps/" TargetMode="External"/><Relationship Id="rId1385" Type="http://schemas.openxmlformats.org/officeDocument/2006/relationships/hyperlink" Target="https://unctad.org/page/data-protection-and-privacy-legislation-worldwide" TargetMode="External"/><Relationship Id="rId1592" Type="http://schemas.openxmlformats.org/officeDocument/2006/relationships/hyperlink" Target="https://unctad.org/page/data-protection-and-privacy-legislation-worldwide" TargetMode="External"/><Relationship Id="rId91" Type="http://schemas.openxmlformats.org/officeDocument/2006/relationships/hyperlink" Target="https://en.unesco.org/artificial-intelligence/observatory/policies?country=AT;%20https://www.unesco.org/ethics-ai/en/global-hub" TargetMode="External"/><Relationship Id="rId408" Type="http://schemas.openxmlformats.org/officeDocument/2006/relationships/hyperlink" Target="https://ilga.org/ilga-world-maps/" TargetMode="External"/><Relationship Id="rId615" Type="http://schemas.openxmlformats.org/officeDocument/2006/relationships/hyperlink" Target="https://unctad.org/page/data-protection-and-privacy-legislation-worldwide" TargetMode="External"/><Relationship Id="rId822" Type="http://schemas.openxmlformats.org/officeDocument/2006/relationships/hyperlink" Target="https://unctad.org/page/data-protection-and-privacy-legislation-worldwide" TargetMode="External"/><Relationship Id="rId1038" Type="http://schemas.openxmlformats.org/officeDocument/2006/relationships/hyperlink" Target="https://ilga.org/ilga-world-maps/" TargetMode="External"/><Relationship Id="rId1245" Type="http://schemas.openxmlformats.org/officeDocument/2006/relationships/hyperlink" Target="https://unctad.org/page/data-protection-and-privacy-legislation-worldwide" TargetMode="External"/><Relationship Id="rId1452" Type="http://schemas.openxmlformats.org/officeDocument/2006/relationships/hyperlink" Target="https://unctad.org/page/data-protection-and-privacy-legislation-worldwide" TargetMode="External"/><Relationship Id="rId1897" Type="http://schemas.openxmlformats.org/officeDocument/2006/relationships/hyperlink" Target="https://www.humandignitytrust.org/country-profile/venezuela-bolivarian-republic-of/;%20https:/ilga.org/ilga-world-maps/" TargetMode="External"/><Relationship Id="rId1105" Type="http://schemas.openxmlformats.org/officeDocument/2006/relationships/hyperlink" Target="https://unctad.org/page/data-protection-and-privacy-legislation-worldwide" TargetMode="External"/><Relationship Id="rId1312" Type="http://schemas.openxmlformats.org/officeDocument/2006/relationships/hyperlink" Target="https://unctad.org/page/data-protection-and-privacy-legislation-worldwide" TargetMode="External"/><Relationship Id="rId1757" Type="http://schemas.openxmlformats.org/officeDocument/2006/relationships/hyperlink" Target="https://www.humandignitytrust.org/country-profile/tonga/;%20https:/ilga.org/ilga-world-maps/" TargetMode="External"/><Relationship Id="rId49" Type="http://schemas.openxmlformats.org/officeDocument/2006/relationships/hyperlink" Target="https://www.unicef.org/angola/" TargetMode="External"/><Relationship Id="rId1617" Type="http://schemas.openxmlformats.org/officeDocument/2006/relationships/hyperlink" Target="https://www.humandignitytrust.org/country-profile/south-sudan/;%20https:/ilga.org/ilga-world-maps/" TargetMode="External"/><Relationship Id="rId1824" Type="http://schemas.openxmlformats.org/officeDocument/2006/relationships/hyperlink" Target="https://unctad.org/page/data-protection-and-privacy-legislation-worldwide" TargetMode="External"/><Relationship Id="rId198" Type="http://schemas.openxmlformats.org/officeDocument/2006/relationships/hyperlink" Target="https://ilga.org/ilga-world-maps/" TargetMode="External"/><Relationship Id="rId265" Type="http://schemas.openxmlformats.org/officeDocument/2006/relationships/hyperlink" Target="https://unctad.org/page/data-protection-and-privacy-legislation-worldwide" TargetMode="External"/><Relationship Id="rId472" Type="http://schemas.openxmlformats.org/officeDocument/2006/relationships/hyperlink" Target="https://unctad.org/page/data-protection-and-privacy-legislation-worldwide" TargetMode="External"/><Relationship Id="rId125" Type="http://schemas.openxmlformats.org/officeDocument/2006/relationships/hyperlink" Target="https://unctad.org/page/data-protection-and-privacy-legislation-worldwide" TargetMode="External"/><Relationship Id="rId332" Type="http://schemas.openxmlformats.org/officeDocument/2006/relationships/hyperlink" Target="https://unctad.org/page/data-protection-and-privacy-legislation-worldwide" TargetMode="External"/><Relationship Id="rId777" Type="http://schemas.openxmlformats.org/officeDocument/2006/relationships/hyperlink" Target="https://www.humandignitytrust.org/country-profile/india/;%20https:/ilga.org/ilga-world-maps/" TargetMode="External"/><Relationship Id="rId984" Type="http://schemas.openxmlformats.org/officeDocument/2006/relationships/hyperlink" Target="https://unctad.org/page/data-protection-and-privacy-legislation-worldwide" TargetMode="External"/><Relationship Id="rId637" Type="http://schemas.openxmlformats.org/officeDocument/2006/relationships/hyperlink" Target="https://www.humandignitytrust.org/country-profile/gambia/;%20https:/ilga.org/ilga-world-maps/" TargetMode="External"/><Relationship Id="rId844" Type="http://schemas.openxmlformats.org/officeDocument/2006/relationships/hyperlink" Target="https://unctad.org/page/data-protection-and-privacy-legislation-worldwide" TargetMode="External"/><Relationship Id="rId1267" Type="http://schemas.openxmlformats.org/officeDocument/2006/relationships/hyperlink" Target="https://www.humandignitytrust.org/country-profile/north-macedonia/;%20https:/ilga.org/ilga-world-maps/" TargetMode="External"/><Relationship Id="rId1474" Type="http://schemas.openxmlformats.org/officeDocument/2006/relationships/hyperlink" Target="https://unctad.org/page/data-protection-and-privacy-legislation-worldwide" TargetMode="External"/><Relationship Id="rId1681" Type="http://schemas.openxmlformats.org/officeDocument/2006/relationships/hyperlink" Target="https://en.unesco.org/artificial-intelligence/observatory/policies?country=CH;%20https://www.unesco.org/ethics-ai/en/global-hub" TargetMode="External"/><Relationship Id="rId704" Type="http://schemas.openxmlformats.org/officeDocument/2006/relationships/hyperlink" Target="https://unctad.org/page/data-protection-and-privacy-legislation-worldwide" TargetMode="External"/><Relationship Id="rId911" Type="http://schemas.openxmlformats.org/officeDocument/2006/relationships/hyperlink" Target="https://en.unesco.org/artificial-intelligence/observatory/policies?country=KG;%20https://www.unesco.org/ethics-ai/en/global-hub" TargetMode="External"/><Relationship Id="rId1127" Type="http://schemas.openxmlformats.org/officeDocument/2006/relationships/hyperlink" Target="https://www.humandignitytrust.org/country-profile/monaco/;%20https:/ilga.org/ilga-world-maps/" TargetMode="External"/><Relationship Id="rId1334" Type="http://schemas.openxmlformats.org/officeDocument/2006/relationships/hyperlink" Target="https://unctad.org/page/data-protection-and-privacy-legislation-worldwide" TargetMode="External"/><Relationship Id="rId1541" Type="http://schemas.openxmlformats.org/officeDocument/2006/relationships/hyperlink" Target="https://en.unesco.org/artificial-intelligence/observatory/policies?country=SL;%20https://www.unesco.org/ethics-ai/en/global-hub" TargetMode="External"/><Relationship Id="rId1779" Type="http://schemas.openxmlformats.org/officeDocument/2006/relationships/hyperlink" Target="https://www.unicef.org/tunisia/" TargetMode="External"/><Relationship Id="rId40" Type="http://schemas.openxmlformats.org/officeDocument/2006/relationships/hyperlink" Target="https://www.gsma.com/mobilefordevelopment/resources/mandatory-sim-registration-in-andorra/" TargetMode="External"/><Relationship Id="rId1401" Type="http://schemas.openxmlformats.org/officeDocument/2006/relationships/hyperlink" Target="https://en.unesco.org/artificial-intelligence/observatory/policies?country=MD;%20https://www.unesco.org/ethics-ai/en/global-hub" TargetMode="External"/><Relationship Id="rId1639" Type="http://schemas.openxmlformats.org/officeDocument/2006/relationships/hyperlink" Target="https://www.unicef.org/sri-lanka/" TargetMode="External"/><Relationship Id="rId1846" Type="http://schemas.openxmlformats.org/officeDocument/2006/relationships/hyperlink" Target="https://unctad.org/page/data-protection-and-privacy-legislation-worldwide" TargetMode="External"/><Relationship Id="rId1706" Type="http://schemas.openxmlformats.org/officeDocument/2006/relationships/hyperlink" Target="https://unctad.org/page/data-protection-and-privacy-legislation-worldwide" TargetMode="External"/><Relationship Id="rId1913" Type="http://schemas.openxmlformats.org/officeDocument/2006/relationships/hyperlink" Target="https://www.unicef.org/yemen/" TargetMode="External"/><Relationship Id="rId287" Type="http://schemas.openxmlformats.org/officeDocument/2006/relationships/hyperlink" Target="https://www.humandignitytrust.org/country-profile/cabo-verde/;%20https:/ilga.org/ilga-world-maps/" TargetMode="External"/><Relationship Id="rId494" Type="http://schemas.openxmlformats.org/officeDocument/2006/relationships/hyperlink" Target="https://unctad.org/page/data-protection-and-privacy-legislation-worldwide" TargetMode="External"/><Relationship Id="rId147" Type="http://schemas.openxmlformats.org/officeDocument/2006/relationships/hyperlink" Target="https://www.humandignitytrust.org/country-profile/barbados/;%20https:/ilga.org/ilga-world-maps/" TargetMode="External"/><Relationship Id="rId354" Type="http://schemas.openxmlformats.org/officeDocument/2006/relationships/hyperlink" Target="https://unctad.org/page/data-protection-and-privacy-legislation-worldwide" TargetMode="External"/><Relationship Id="rId799" Type="http://schemas.openxmlformats.org/officeDocument/2006/relationships/hyperlink" Target="https://www.unicef.org/iran-islamic-republic-of/" TargetMode="External"/><Relationship Id="rId1191" Type="http://schemas.openxmlformats.org/officeDocument/2006/relationships/hyperlink" Target="https://en.unesco.org/artificial-intelligence/observatory/policies?country=NR;%20https://www.unesco.org/ethics-ai/en/global-hub" TargetMode="External"/><Relationship Id="rId561" Type="http://schemas.openxmlformats.org/officeDocument/2006/relationships/hyperlink" Target="https://en.unesco.org/artificial-intelligence/observatory/policies?country=EE;%20https://www.unesco.org/ethics-ai/en/global-hub" TargetMode="External"/><Relationship Id="rId659" Type="http://schemas.openxmlformats.org/officeDocument/2006/relationships/hyperlink" Target="https://www.unicef.org/germany/" TargetMode="External"/><Relationship Id="rId866" Type="http://schemas.openxmlformats.org/officeDocument/2006/relationships/hyperlink" Target="https://unctad.org/page/data-protection-and-privacy-legislation-worldwide" TargetMode="External"/><Relationship Id="rId1289" Type="http://schemas.openxmlformats.org/officeDocument/2006/relationships/hyperlink" Target="https://www.unicef.org/oman/" TargetMode="External"/><Relationship Id="rId1496" Type="http://schemas.openxmlformats.org/officeDocument/2006/relationships/hyperlink" Target="https://unctad.org/page/data-protection-and-privacy-legislation-worldwide" TargetMode="External"/><Relationship Id="rId214" Type="http://schemas.openxmlformats.org/officeDocument/2006/relationships/hyperlink" Target="https://unctad.org/page/data-protection-and-privacy-legislation-worldwide" TargetMode="External"/><Relationship Id="rId421" Type="http://schemas.openxmlformats.org/officeDocument/2006/relationships/hyperlink" Target="https://en.unesco.org/artificial-intelligence/observatory/policies?country=CY;%20https://www.unesco.org/ethics-ai/en/global-hub" TargetMode="External"/><Relationship Id="rId519" Type="http://schemas.openxmlformats.org/officeDocument/2006/relationships/hyperlink" Target="https://www.unicef.org/ecuador/" TargetMode="External"/><Relationship Id="rId1051" Type="http://schemas.openxmlformats.org/officeDocument/2006/relationships/hyperlink" Target="https://en.unesco.org/artificial-intelligence/observatory/policies?country=ML;%20https://www.unesco.org/ethics-ai/en/global-hub" TargetMode="External"/><Relationship Id="rId1149" Type="http://schemas.openxmlformats.org/officeDocument/2006/relationships/hyperlink" Target="https://www.unicef.org/montenegro/" TargetMode="External"/><Relationship Id="rId1356" Type="http://schemas.openxmlformats.org/officeDocument/2006/relationships/hyperlink" Target="https://unctad.org/page/data-protection-and-privacy-legislation-worldwide" TargetMode="External"/><Relationship Id="rId726" Type="http://schemas.openxmlformats.org/officeDocument/2006/relationships/hyperlink" Target="https://unctad.org/page/data-protection-and-privacy-legislation-worldwide" TargetMode="External"/><Relationship Id="rId933" Type="http://schemas.openxmlformats.org/officeDocument/2006/relationships/hyperlink" Target="https://unctad.org/page/data-protection-and-privacy-legislation-worldwide;%20https:/www.unicef.org/latvia/" TargetMode="External"/><Relationship Id="rId1009" Type="http://schemas.openxmlformats.org/officeDocument/2006/relationships/hyperlink" Target="https://www.unicef.org/luxembourg/" TargetMode="External"/><Relationship Id="rId1563" Type="http://schemas.openxmlformats.org/officeDocument/2006/relationships/hyperlink" Target="https://unctad.org/page/data-protection-and-privacy-legislation-worldwide;%20https:/www.unicef.org/slovakia/" TargetMode="External"/><Relationship Id="rId1770" Type="http://schemas.openxmlformats.org/officeDocument/2006/relationships/hyperlink" Target="https://www.gsma.com/solutions-and-impact/connectivity-for-good/public-policy/mobile-policy-handbook/consumer-protection/mandatory-registration-of-prepaid-sims/" TargetMode="External"/><Relationship Id="rId1868" Type="http://schemas.openxmlformats.org/officeDocument/2006/relationships/hyperlink" Target="https://ilga.org/ilga-world-maps/" TargetMode="External"/><Relationship Id="rId62" Type="http://schemas.openxmlformats.org/officeDocument/2006/relationships/hyperlink" Target="https://unctad.org/page/data-protection-and-privacy-legislation-worldwide" TargetMode="External"/><Relationship Id="rId1216" Type="http://schemas.openxmlformats.org/officeDocument/2006/relationships/hyperlink" Target="https://gdpr-info.eu/art-35-gdpr/" TargetMode="External"/><Relationship Id="rId1423" Type="http://schemas.openxmlformats.org/officeDocument/2006/relationships/hyperlink" Target="https://www.unicef.org/russian-federation/" TargetMode="External"/><Relationship Id="rId1630" Type="http://schemas.openxmlformats.org/officeDocument/2006/relationships/hyperlink" Target="https://www.gsma.com/solutions-and-impact/connectivity-for-good/public-policy/mobile-policy-handbook/consumer-protection/mandatory-registration-of-prepaid-sims/" TargetMode="External"/><Relationship Id="rId1728" Type="http://schemas.openxmlformats.org/officeDocument/2006/relationships/hyperlink" Target="https://ilga.org/ilga-world-maps/" TargetMode="External"/><Relationship Id="rId1935" Type="http://schemas.openxmlformats.org/officeDocument/2006/relationships/hyperlink" Target="https://unctad.org/page/data-protection-and-privacy-legislation-worldwide" TargetMode="External"/><Relationship Id="rId169" Type="http://schemas.openxmlformats.org/officeDocument/2006/relationships/hyperlink" Target="https://www.unicef.org/belgium/" TargetMode="External"/><Relationship Id="rId376" Type="http://schemas.openxmlformats.org/officeDocument/2006/relationships/hyperlink" Target="https://unctad.org/page/data-protection-and-privacy-legislation-worldwide" TargetMode="External"/><Relationship Id="rId583" Type="http://schemas.openxmlformats.org/officeDocument/2006/relationships/hyperlink" Target="https://unctad.org/page/data-protection-and-privacy-legislation-worldwide;%20https:/www.unicef.org/ethiopia/" TargetMode="External"/><Relationship Id="rId790" Type="http://schemas.openxmlformats.org/officeDocument/2006/relationships/hyperlink" Target="https://www.gsma.com/solutions-and-impact/connectivity-for-good/public-policy/mobile-policy-handbook/consumer-protection/mandatory-registration-of-prepaid-sims/" TargetMode="External"/><Relationship Id="rId4" Type="http://schemas.openxmlformats.org/officeDocument/2006/relationships/hyperlink" Target="https://www.refworld.org/legal/legislation/natleglaws/2017/afg-2017-01.html;%20https:/unctad.org/page/data-protection-and-privacy-legislation-worldwide" TargetMode="External"/><Relationship Id="rId236" Type="http://schemas.openxmlformats.org/officeDocument/2006/relationships/hyperlink" Target="https://unctad.org/page/data-protection-and-privacy-legislation-worldwide" TargetMode="External"/><Relationship Id="rId443" Type="http://schemas.openxmlformats.org/officeDocument/2006/relationships/hyperlink" Target="https://unctad.org/page/data-protection-and-privacy-legislation-worldwide;%20https:/www.unicef.org/cote-divoire/" TargetMode="External"/><Relationship Id="rId65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888" Type="http://schemas.openxmlformats.org/officeDocument/2006/relationships/hyperlink" Target="https://ilga.org/ilga-world-maps/" TargetMode="External"/><Relationship Id="rId1073" Type="http://schemas.openxmlformats.org/officeDocument/2006/relationships/hyperlink" Target="https://www.unicef.org/marshall-islands/" TargetMode="External"/><Relationship Id="rId1280" Type="http://schemas.openxmlformats.org/officeDocument/2006/relationships/hyperlink" Target="https://www.gsma.com/solutions-and-impact/connectivity-for-good/public-policy/mobile-policy-handbook/consumer-protection/mandatory-registration-of-prepaid-sims/" TargetMode="External"/><Relationship Id="rId303" Type="http://schemas.openxmlformats.org/officeDocument/2006/relationships/hyperlink" Target="https://unctad.org/page/data-protection-and-privacy-legislation-worldwide;%20https:/www.unicef.org/cameroon/" TargetMode="External"/><Relationship Id="rId748" Type="http://schemas.openxmlformats.org/officeDocument/2006/relationships/hyperlink" Target="https://ilga.org/ilga-world-maps/" TargetMode="External"/><Relationship Id="rId955" Type="http://schemas.openxmlformats.org/officeDocument/2006/relationships/hyperlink" Target="https://unctad.org/page/data-protection-and-privacy-legislation-worldwide" TargetMode="External"/><Relationship Id="rId1140" Type="http://schemas.openxmlformats.org/officeDocument/2006/relationships/hyperlink" Target="https://www.gsma.com/solutions-and-impact/connectivity-for-good/public-policy/mobile-policy-handbook/consumer-protection/mandatory-registration-of-prepaid-sims/" TargetMode="External"/><Relationship Id="rId1378" Type="http://schemas.openxmlformats.org/officeDocument/2006/relationships/hyperlink" Target="https://ilga.org/ilga-world-maps/" TargetMode="External"/><Relationship Id="rId1585" Type="http://schemas.openxmlformats.org/officeDocument/2006/relationships/hyperlink" Target="https://unctad.org/page/data-protection-and-privacy-legislation-worldwide" TargetMode="External"/><Relationship Id="rId1792" Type="http://schemas.openxmlformats.org/officeDocument/2006/relationships/hyperlink" Target="https://unctad.org/page/data-protection-and-privacy-legislation-worldwide" TargetMode="External"/><Relationship Id="rId84" Type="http://schemas.openxmlformats.org/officeDocument/2006/relationships/hyperlink" Target="https://unctad.org/page/data-protection-and-privacy-legislation-worldwide" TargetMode="External"/><Relationship Id="rId51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608" Type="http://schemas.openxmlformats.org/officeDocument/2006/relationships/hyperlink" Target="https://ilga.org/ilga-world-maps/" TargetMode="External"/><Relationship Id="rId815" Type="http://schemas.openxmlformats.org/officeDocument/2006/relationships/hyperlink" Target="https://unctad.org/page/data-protection-and-privacy-legislation-worldwide" TargetMode="External"/><Relationship Id="rId1238" Type="http://schemas.openxmlformats.org/officeDocument/2006/relationships/hyperlink" Target="https://ilga.org/ilga-world-maps/" TargetMode="External"/><Relationship Id="rId1445" Type="http://schemas.openxmlformats.org/officeDocument/2006/relationships/hyperlink" Target="https://unctad.org/page/data-protection-and-privacy-legislation-worldwide" TargetMode="External"/><Relationship Id="rId1652" Type="http://schemas.openxmlformats.org/officeDocument/2006/relationships/hyperlink" Target="https://unctad.org/page/data-protection-and-privacy-legislation-worldwide" TargetMode="External"/><Relationship Id="rId1000" Type="http://schemas.openxmlformats.org/officeDocument/2006/relationships/hyperlink" Target="https://www.gsma.com/solutions-and-impact/connectivity-for-good/public-policy/mobile-policy-handbook/consumer-protection/mandatory-registration-of-prepaid-sims/" TargetMode="External"/><Relationship Id="rId1305" Type="http://schemas.openxmlformats.org/officeDocument/2006/relationships/hyperlink" Target="https://unctad.org/page/data-protection-and-privacy-legislation-worldwide" TargetMode="External"/><Relationship Id="rId1512" Type="http://schemas.openxmlformats.org/officeDocument/2006/relationships/hyperlink" Target="https://unctad.org/page/data-protection-and-privacy-legislation-worldwide" TargetMode="External"/><Relationship Id="rId1817" Type="http://schemas.openxmlformats.org/officeDocument/2006/relationships/hyperlink" Target="https://www.humandignitytrust.org/country-profile/uganda/;%20https:/ilga.org/ilga-world-maps/" TargetMode="External"/><Relationship Id="rId11" Type="http://schemas.openxmlformats.org/officeDocument/2006/relationships/hyperlink" Target="https://www.digitalagenda.al/wp-content/uploads/2022/03/Digital-Agenda-Strategy-2022-2026-EN.pdf" TargetMode="External"/><Relationship Id="rId398" Type="http://schemas.openxmlformats.org/officeDocument/2006/relationships/hyperlink" Target="https://ilga.org/ilga-world-maps/" TargetMode="External"/><Relationship Id="rId16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258" Type="http://schemas.openxmlformats.org/officeDocument/2006/relationships/hyperlink" Target="https://ilga.org/ilga-world-maps/" TargetMode="External"/><Relationship Id="rId465" Type="http://schemas.openxmlformats.org/officeDocument/2006/relationships/hyperlink" Target="https://unctad.org/page/data-protection-and-privacy-legislation-worldwide" TargetMode="External"/><Relationship Id="rId672" Type="http://schemas.openxmlformats.org/officeDocument/2006/relationships/hyperlink" Target="https://unctad.org/page/data-protection-and-privacy-legislation-worldwide" TargetMode="External"/><Relationship Id="rId1095" Type="http://schemas.openxmlformats.org/officeDocument/2006/relationships/hyperlink" Target="https://unctad.org/page/data-protection-and-privacy-legislation-worldwide" TargetMode="External"/><Relationship Id="rId118" Type="http://schemas.openxmlformats.org/officeDocument/2006/relationships/hyperlink" Target="https://ilga.org/ilga-world-maps/" TargetMode="External"/><Relationship Id="rId325" Type="http://schemas.openxmlformats.org/officeDocument/2006/relationships/hyperlink" Target="https://unctad.org/page/data-protection-and-privacy-legislation-worldwide" TargetMode="External"/><Relationship Id="rId532" Type="http://schemas.openxmlformats.org/officeDocument/2006/relationships/hyperlink" Target="https://unctad.org/page/data-protection-and-privacy-legislation-worldwide" TargetMode="External"/><Relationship Id="rId977" Type="http://schemas.openxmlformats.org/officeDocument/2006/relationships/hyperlink" Target="https://www.humandignitytrust.org/country-profile/libya/;%20https:/ilga.org/ilga-world-maps/" TargetMode="External"/><Relationship Id="rId1162" Type="http://schemas.openxmlformats.org/officeDocument/2006/relationships/hyperlink" Target="https://unctad.org/page/data-protection-and-privacy-legislation-worldwide" TargetMode="External"/><Relationship Id="rId837" Type="http://schemas.openxmlformats.org/officeDocument/2006/relationships/hyperlink" Target="https://www.humandignitytrust.org/country-profile/italy/;%20https:/ilga.org/ilga-world-maps/" TargetMode="External"/><Relationship Id="rId1022" Type="http://schemas.openxmlformats.org/officeDocument/2006/relationships/hyperlink" Target="https://unctad.org/page/data-protection-and-privacy-legislation-worldwide" TargetMode="External"/><Relationship Id="rId1467" Type="http://schemas.openxmlformats.org/officeDocument/2006/relationships/hyperlink" Target="https://www.humandignitytrust.org/country-profile/saint-vincent-and-the-grenadines/;%20https:/ilga.org/ilga-world-maps/" TargetMode="External"/><Relationship Id="rId1674" Type="http://schemas.openxmlformats.org/officeDocument/2006/relationships/hyperlink" Target="https://unctad.org/page/data-protection-and-privacy-legislation-worldwide" TargetMode="External"/><Relationship Id="rId1881" Type="http://schemas.openxmlformats.org/officeDocument/2006/relationships/hyperlink" Target="https://en.unesco.org/artificial-intelligence/observatory/policies?country=VU;%20https://www.unesco.org/ethics-ai/en/global-hub" TargetMode="External"/><Relationship Id="rId904" Type="http://schemas.openxmlformats.org/officeDocument/2006/relationships/hyperlink" Target="https://unctad.org/page/data-protection-and-privacy-legislation-worldwide" TargetMode="External"/><Relationship Id="rId1327" Type="http://schemas.openxmlformats.org/officeDocument/2006/relationships/hyperlink" Target="https://www.humandignitytrust.org/country-profile/papua-new-guinea/;%20https:/ilga.org/ilga-world-maps/" TargetMode="External"/><Relationship Id="rId1534" Type="http://schemas.openxmlformats.org/officeDocument/2006/relationships/hyperlink" Target="https://unctad.org/page/data-protection-and-privacy-legislation-worldwide" TargetMode="External"/><Relationship Id="rId1741" Type="http://schemas.openxmlformats.org/officeDocument/2006/relationships/hyperlink" Target="https://en.unesco.org/artificial-intelligence/observatory/policies?country=TG;%20https://www.unesco.org/ethics-ai/en/global-hub" TargetMode="External"/><Relationship Id="rId33" Type="http://schemas.openxmlformats.org/officeDocument/2006/relationships/hyperlink" Target="https://apda.ad/wp-content/uploads/2021/12/LQPD-EN.pdf" TargetMode="External"/><Relationship Id="rId1601" Type="http://schemas.openxmlformats.org/officeDocument/2006/relationships/hyperlink" Target="https://en.unesco.org/artificial-intelligence/observatory/policies?country=ZA;%20https://www.unesco.org/ethics-ai/en/global-hub" TargetMode="External"/><Relationship Id="rId1839" Type="http://schemas.openxmlformats.org/officeDocument/2006/relationships/hyperlink" Target="https://www.unicef.org/united-arab-emirates/" TargetMode="External"/><Relationship Id="rId182" Type="http://schemas.openxmlformats.org/officeDocument/2006/relationships/hyperlink" Target="https://unctad.org/page/data-protection-and-privacy-legislation-worldwide" TargetMode="External"/><Relationship Id="rId1906" Type="http://schemas.openxmlformats.org/officeDocument/2006/relationships/hyperlink" Target="https://unctad.org/page/data-protection-and-privacy-legislation-worldwide" TargetMode="External"/><Relationship Id="rId487" Type="http://schemas.openxmlformats.org/officeDocument/2006/relationships/hyperlink" Target="https://www.humandignitytrust.org/country-profile/djibouti/;%20https:/ilga.org/ilga-world-maps/" TargetMode="External"/><Relationship Id="rId694" Type="http://schemas.openxmlformats.org/officeDocument/2006/relationships/hyperlink" Target="https://unctad.org/page/data-protection-and-privacy-legislation-worldwide" TargetMode="External"/><Relationship Id="rId347" Type="http://schemas.openxmlformats.org/officeDocument/2006/relationships/hyperlink" Target="https://www.humandignitytrust.org/country-profile/chile/;%20https:/ilga.org/ilga-world-maps/" TargetMode="External"/><Relationship Id="rId999" Type="http://schemas.openxmlformats.org/officeDocument/2006/relationships/hyperlink" Target="https://www.unicef.org/lithuania/" TargetMode="External"/><Relationship Id="rId1184" Type="http://schemas.openxmlformats.org/officeDocument/2006/relationships/hyperlink" Target="https://unctad.org/page/data-protection-and-privacy-legislation-worldwide" TargetMode="External"/><Relationship Id="rId554" Type="http://schemas.openxmlformats.org/officeDocument/2006/relationships/hyperlink" Target="https://unctad.org/page/data-protection-and-privacy-legislation-worldwide" TargetMode="External"/><Relationship Id="rId761" Type="http://schemas.openxmlformats.org/officeDocument/2006/relationships/hyperlink" Target="https://en.unesco.org/artificial-intelligence/observatory/policies?country=IS;%20https://www.unesco.org/ethics-ai/en/global-hub" TargetMode="External"/><Relationship Id="rId859" Type="http://schemas.openxmlformats.org/officeDocument/2006/relationships/hyperlink" Target="https://www.unicef.org/japan/" TargetMode="External"/><Relationship Id="rId1391" Type="http://schemas.openxmlformats.org/officeDocument/2006/relationships/hyperlink" Target="https://www.unesco.org/ethics-ai/en/global-hub" TargetMode="External"/><Relationship Id="rId1489" Type="http://schemas.openxmlformats.org/officeDocument/2006/relationships/hyperlink" Target="https://www.unicef.org/san-marino/" TargetMode="External"/><Relationship Id="rId1696" Type="http://schemas.openxmlformats.org/officeDocument/2006/relationships/hyperlink" Target="https://unctad.org/page/data-protection-and-privacy-legislation-worldwide" TargetMode="External"/><Relationship Id="rId207" Type="http://schemas.openxmlformats.org/officeDocument/2006/relationships/hyperlink" Target="https://www.humandignitytrust.org/country-profile/bolivia-plurinational-state-of/;%20https:/ilga.org/ilga-world-maps/" TargetMode="External"/><Relationship Id="rId414" Type="http://schemas.openxmlformats.org/officeDocument/2006/relationships/hyperlink" Target="https://unctad.org/page/data-protection-and-privacy-legislation-worldwide" TargetMode="External"/><Relationship Id="rId621" Type="http://schemas.openxmlformats.org/officeDocument/2006/relationships/hyperlink" Target="https://en.unesco.org/artificial-intelligence/observatory/policies?country=GA;%20https://www.unesco.org/ethics-ai/en/global-hub" TargetMode="External"/><Relationship Id="rId1044" Type="http://schemas.openxmlformats.org/officeDocument/2006/relationships/hyperlink" Target="https://unctad.org/page/data-protection-and-privacy-legislation-worldwide" TargetMode="External"/><Relationship Id="rId1251" Type="http://schemas.openxmlformats.org/officeDocument/2006/relationships/hyperlink" Target="https://en.unesco.org/artificial-intelligence/observatory/policies?country=NG;%20https://www.unesco.org/ethics-ai/en/global-hub" TargetMode="External"/><Relationship Id="rId1349" Type="http://schemas.openxmlformats.org/officeDocument/2006/relationships/hyperlink" Target="https://www.unicef.org/peru/" TargetMode="External"/><Relationship Id="rId719" Type="http://schemas.openxmlformats.org/officeDocument/2006/relationships/hyperlink" Target="https://www.unicef.org/guinea-bissau/" TargetMode="External"/><Relationship Id="rId926" Type="http://schemas.openxmlformats.org/officeDocument/2006/relationships/hyperlink" Target="https://unctad.org/page/data-protection-and-privacy-legislation-worldwide" TargetMode="External"/><Relationship Id="rId1111" Type="http://schemas.openxmlformats.org/officeDocument/2006/relationships/hyperlink" Target="https://www.unesco.org/ethics-ai/en/global-hub" TargetMode="External"/><Relationship Id="rId1556" Type="http://schemas.openxmlformats.org/officeDocument/2006/relationships/hyperlink" Target="https://unctad.org/page/data-protection-and-privacy-legislation-worldwide" TargetMode="External"/><Relationship Id="rId1763" Type="http://schemas.openxmlformats.org/officeDocument/2006/relationships/hyperlink" Target="https://unctad.org/page/data-protection-and-privacy-legislation-worldwide;%20https:/www.unicef.org/trinidad-and-tobago/" TargetMode="External"/><Relationship Id="rId55" Type="http://schemas.openxmlformats.org/officeDocument/2006/relationships/hyperlink" Target="https://unctad.org/page/data-protection-and-privacy-legislation-worldwide" TargetMode="External"/><Relationship Id="rId1209" Type="http://schemas.openxmlformats.org/officeDocument/2006/relationships/hyperlink" Target="https://www.unicef.org/nepal/" TargetMode="External"/><Relationship Id="rId1416" Type="http://schemas.openxmlformats.org/officeDocument/2006/relationships/hyperlink" Target="https://gdpr-info.eu/art-35-gdpr/" TargetMode="External"/><Relationship Id="rId1623" Type="http://schemas.openxmlformats.org/officeDocument/2006/relationships/hyperlink" Target="https://unctad.org/page/data-protection-and-privacy-legislation-worldwide;%20https:/www.unicef.org/spain/" TargetMode="External"/><Relationship Id="rId1830" Type="http://schemas.openxmlformats.org/officeDocument/2006/relationships/hyperlink" Target="https://www.gsma.com/solutions-and-impact/connectivity-for-good/public-policy/mobile-policy-handbook/consumer-protection/mandatory-registration-of-prepaid-sims/" TargetMode="External"/><Relationship Id="rId1928" Type="http://schemas.openxmlformats.org/officeDocument/2006/relationships/hyperlink" Target="https://ilga.org/ilga-world-maps/" TargetMode="External"/><Relationship Id="rId271" Type="http://schemas.openxmlformats.org/officeDocument/2006/relationships/hyperlink" Target="https://en.unesco.org/artificial-intelligence/observatory/policies?country=BI;%20https://www.unesco.org/ethics-ai/en/global-hub" TargetMode="External"/><Relationship Id="rId131" Type="http://schemas.openxmlformats.org/officeDocument/2006/relationships/hyperlink" Target="https://en.unesco.org/artificial-intelligence/observatory/policies?country=BD;%20https://www.unesco.org/ethics-ai/en/global-hub" TargetMode="External"/><Relationship Id="rId369" Type="http://schemas.openxmlformats.org/officeDocument/2006/relationships/hyperlink" Target="https://www.unicef.org/colombia/" TargetMode="External"/><Relationship Id="rId576" Type="http://schemas.openxmlformats.org/officeDocument/2006/relationships/hyperlink" Target="https://unctad.org/page/data-protection-and-privacy-legislation-worldwide" TargetMode="External"/><Relationship Id="rId783" Type="http://schemas.openxmlformats.org/officeDocument/2006/relationships/hyperlink" Target="https://unctad.org/page/data-protection-and-privacy-legislation-worldwide;%20https:/www.unicef.org/indonesia/" TargetMode="External"/><Relationship Id="rId99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229" Type="http://schemas.openxmlformats.org/officeDocument/2006/relationships/hyperlink" Target="https://www.unicef.org/botswana/" TargetMode="External"/><Relationship Id="rId436" Type="http://schemas.openxmlformats.org/officeDocument/2006/relationships/hyperlink" Target="https://gdpr-info.eu/art-35-gdpr/" TargetMode="External"/><Relationship Id="rId643" Type="http://schemas.openxmlformats.org/officeDocument/2006/relationships/hyperlink" Target="https://unctad.org/page/data-protection-and-privacy-legislation-worldwide;%20https:/www.unicef.org/georgia/" TargetMode="External"/><Relationship Id="rId1066" Type="http://schemas.openxmlformats.org/officeDocument/2006/relationships/hyperlink" Target="https://gdpr-info.eu/art-35-gdpr/" TargetMode="External"/><Relationship Id="rId1273" Type="http://schemas.openxmlformats.org/officeDocument/2006/relationships/hyperlink" Target="https://unctad.org/page/data-protection-and-privacy-legislation-worldwide;%20https:/www.unicef.org/norway/" TargetMode="External"/><Relationship Id="rId1480" Type="http://schemas.openxmlformats.org/officeDocument/2006/relationships/hyperlink" Target="https://www.gsma.com/solutions-and-impact/connectivity-for-good/public-policy/mobile-policy-handbook/consumer-protection/mandatory-registration-of-prepaid-sims/" TargetMode="External"/><Relationship Id="rId850" Type="http://schemas.openxmlformats.org/officeDocument/2006/relationships/hyperlink" Target="https://www.gsma.com/solutions-and-impact/connectivity-for-good/public-policy/mobile-policy-handbook/consumer-protection/mandatory-registration-of-prepaid-sims/" TargetMode="External"/><Relationship Id="rId948" Type="http://schemas.openxmlformats.org/officeDocument/2006/relationships/hyperlink" Target="https://ilga.org/ilga-world-maps/" TargetMode="External"/><Relationship Id="rId1133" Type="http://schemas.openxmlformats.org/officeDocument/2006/relationships/hyperlink" Target="https://unctad.org/page/data-protection-and-privacy-legislation-worldwide;%20https:/www.unicef.org/mongolia/" TargetMode="External"/><Relationship Id="rId1578" Type="http://schemas.openxmlformats.org/officeDocument/2006/relationships/hyperlink" Target="https://ilga.org/ilga-world-maps/" TargetMode="External"/><Relationship Id="rId1785" Type="http://schemas.openxmlformats.org/officeDocument/2006/relationships/hyperlink" Target="https://unctad.org/page/data-protection-and-privacy-legislation-worldwide" TargetMode="External"/><Relationship Id="rId77" Type="http://schemas.openxmlformats.org/officeDocument/2006/relationships/hyperlink" Target="https://www.humandignitytrust.org/country-profile/armenia/;%20https:/ilga.org/ilga-world-maps/" TargetMode="External"/><Relationship Id="rId503" Type="http://schemas.openxmlformats.org/officeDocument/2006/relationships/hyperlink" Target="https://unctad.org/page/data-protection-and-privacy-legislation-worldwide;%20https:/www.unicef.org/dominican-republic/" TargetMode="External"/><Relationship Id="rId71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808" Type="http://schemas.openxmlformats.org/officeDocument/2006/relationships/hyperlink" Target="https://ilga.org/ilga-world-maps/" TargetMode="External"/><Relationship Id="rId1340" Type="http://schemas.openxmlformats.org/officeDocument/2006/relationships/hyperlink" Target="https://www.gsma.com/solutions-and-impact/connectivity-for-good/public-policy/mobile-policy-handbook/consumer-protection/mandatory-registration-of-prepaid-sims/" TargetMode="External"/><Relationship Id="rId1438" Type="http://schemas.openxmlformats.org/officeDocument/2006/relationships/hyperlink" Target="https://ilga.org/ilga-world-maps/" TargetMode="External"/><Relationship Id="rId1645" Type="http://schemas.openxmlformats.org/officeDocument/2006/relationships/hyperlink" Target="https://unctad.org/page/data-protection-and-privacy-legislation-worldwide" TargetMode="External"/><Relationship Id="rId1200" Type="http://schemas.openxmlformats.org/officeDocument/2006/relationships/hyperlink" Target="https://www.gsma.com/solutions-and-impact/connectivity-for-good/public-policy/mobile-policy-handbook/consumer-protection/mandatory-registration-of-prepaid-sims/" TargetMode="External"/><Relationship Id="rId1852" Type="http://schemas.openxmlformats.org/officeDocument/2006/relationships/hyperlink" Target="https://unctad.org/page/data-protection-and-privacy-legislation-worldwide" TargetMode="External"/><Relationship Id="rId1505" Type="http://schemas.openxmlformats.org/officeDocument/2006/relationships/hyperlink" Target="https://unctad.org/page/data-protection-and-privacy-legislation-worldwide" TargetMode="External"/><Relationship Id="rId1712" Type="http://schemas.openxmlformats.org/officeDocument/2006/relationships/hyperlink" Target="https://unctad.org/page/data-protection-and-privacy-legislation-worldwide" TargetMode="External"/><Relationship Id="rId293" Type="http://schemas.openxmlformats.org/officeDocument/2006/relationships/hyperlink" Target="https://unctad.org/page/data-protection-and-privacy-legislation-worldwide;%20https:/www.unicef.org/cambodia/" TargetMode="External"/><Relationship Id="rId153" Type="http://schemas.openxmlformats.org/officeDocument/2006/relationships/hyperlink" Target="https://unctad.org/page/data-protection-and-privacy-legislation-worldwide;%20https:/www.unicef.org/belarus/" TargetMode="External"/><Relationship Id="rId36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598" Type="http://schemas.openxmlformats.org/officeDocument/2006/relationships/hyperlink" Target="https://ilga.org/ilga-world-maps/" TargetMode="External"/><Relationship Id="rId22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458" Type="http://schemas.openxmlformats.org/officeDocument/2006/relationships/hyperlink" Target="https://ilga.org/ilga-world-maps/" TargetMode="External"/><Relationship Id="rId665" Type="http://schemas.openxmlformats.org/officeDocument/2006/relationships/hyperlink" Target="https://unctad.org/page/data-protection-and-privacy-legislation-worldwide" TargetMode="External"/><Relationship Id="rId872" Type="http://schemas.openxmlformats.org/officeDocument/2006/relationships/hyperlink" Target="https://unctad.org/page/data-protection-and-privacy-legislation-worldwide" TargetMode="External"/><Relationship Id="rId1088" Type="http://schemas.openxmlformats.org/officeDocument/2006/relationships/hyperlink" Target="https://ilga.org/ilga-world-maps/" TargetMode="External"/><Relationship Id="rId1295" Type="http://schemas.openxmlformats.org/officeDocument/2006/relationships/hyperlink" Target="https://unctad.org/page/data-protection-and-privacy-legislation-worldwide" TargetMode="External"/><Relationship Id="rId318" Type="http://schemas.openxmlformats.org/officeDocument/2006/relationships/hyperlink" Target="https://ilga.org/ilga-world-maps/" TargetMode="External"/><Relationship Id="rId525" Type="http://schemas.openxmlformats.org/officeDocument/2006/relationships/hyperlink" Target="https://unctad.org/page/data-protection-and-privacy-legislation-worldwide" TargetMode="External"/><Relationship Id="rId732" Type="http://schemas.openxmlformats.org/officeDocument/2006/relationships/hyperlink" Target="https://unctad.org/page/data-protection-and-privacy-legislation-worldwide" TargetMode="External"/><Relationship Id="rId1155" Type="http://schemas.openxmlformats.org/officeDocument/2006/relationships/hyperlink" Target="https://unctad.org/page/data-protection-and-privacy-legislation-worldwide" TargetMode="External"/><Relationship Id="rId1362" Type="http://schemas.openxmlformats.org/officeDocument/2006/relationships/hyperlink" Target="https://unctad.org/page/data-protection-and-privacy-legislation-worldwide" TargetMode="External"/><Relationship Id="rId99" Type="http://schemas.openxmlformats.org/officeDocument/2006/relationships/hyperlink" Target="https://www.unicef.org/austria/" TargetMode="External"/><Relationship Id="rId1015" Type="http://schemas.openxmlformats.org/officeDocument/2006/relationships/hyperlink" Target="https://unctad.org/page/data-protection-and-privacy-legislation-worldwide" TargetMode="External"/><Relationship Id="rId1222" Type="http://schemas.openxmlformats.org/officeDocument/2006/relationships/hyperlink" Target="https://unctad.org/page/data-protection-and-privacy-legislation-worldwide" TargetMode="External"/><Relationship Id="rId1667" Type="http://schemas.openxmlformats.org/officeDocument/2006/relationships/hyperlink" Target="https://www.humandignitytrust.org/country-profile/suriname/;%20https:/ilga.org/ilga-world-maps/" TargetMode="External"/><Relationship Id="rId1874" Type="http://schemas.openxmlformats.org/officeDocument/2006/relationships/hyperlink" Target="https://unctad.org/page/data-protection-and-privacy-legislation-worldwide" TargetMode="External"/><Relationship Id="rId1527" Type="http://schemas.openxmlformats.org/officeDocument/2006/relationships/hyperlink" Target="https://www.humandignitytrust.org/country-profile/serbia/;%20https:/ilga.org/ilga-world-maps/" TargetMode="External"/><Relationship Id="rId1734" Type="http://schemas.openxmlformats.org/officeDocument/2006/relationships/hyperlink" Target="https://unctad.org/page/data-protection-and-privacy-legislation-worldwide" TargetMode="External"/><Relationship Id="rId26" Type="http://schemas.openxmlformats.org/officeDocument/2006/relationships/hyperlink" Target="https://www.dlapiperdataprotection.com/index.html?t=law&amp;c=DZ" TargetMode="External"/><Relationship Id="rId175" Type="http://schemas.openxmlformats.org/officeDocument/2006/relationships/hyperlink" Target="https://unctad.org/page/data-protection-and-privacy-legislation-worldwide" TargetMode="External"/><Relationship Id="rId1801" Type="http://schemas.openxmlformats.org/officeDocument/2006/relationships/hyperlink" Target="https://en.unesco.org/artificial-intelligence/observatory/policies?country=TV;%20https://www.unesco.org/ethics-ai/en/global-hub" TargetMode="External"/><Relationship Id="rId382" Type="http://schemas.openxmlformats.org/officeDocument/2006/relationships/hyperlink" Target="https://unctad.org/page/data-protection-and-privacy-legislation-worldwide" TargetMode="External"/><Relationship Id="rId687" Type="http://schemas.openxmlformats.org/officeDocument/2006/relationships/hyperlink" Target="https://www.humandignitytrust.org/country-profile/grenada/;%20https:/ilga.org/ilga-world-maps/" TargetMode="External"/><Relationship Id="rId242" Type="http://schemas.openxmlformats.org/officeDocument/2006/relationships/hyperlink" Target="https://unctad.org/page/data-protection-and-privacy-legislation-worldwide" TargetMode="External"/><Relationship Id="rId894" Type="http://schemas.openxmlformats.org/officeDocument/2006/relationships/hyperlink" Target="https://unctad.org/page/data-protection-and-privacy-legislation-worldwide" TargetMode="External"/><Relationship Id="rId1177" Type="http://schemas.openxmlformats.org/officeDocument/2006/relationships/hyperlink" Target="https://www.humandignitytrust.org/country-profile/myanmar/;%20https:/ilga.org/ilga-world-maps/" TargetMode="External"/><Relationship Id="rId102" Type="http://schemas.openxmlformats.org/officeDocument/2006/relationships/hyperlink" Target="https://unctad.org/page/data-protection-and-privacy-legislation-worldwide" TargetMode="External"/><Relationship Id="rId547" Type="http://schemas.openxmlformats.org/officeDocument/2006/relationships/hyperlink" Target="https://www.humandignitytrust.org/country-profile/equatorial-guinea/;%20https:/ilga.org/ilga-world-maps/" TargetMode="External"/><Relationship Id="rId754" Type="http://schemas.openxmlformats.org/officeDocument/2006/relationships/hyperlink" Target="https://unctad.org/page/data-protection-and-privacy-legislation-worldwide" TargetMode="External"/><Relationship Id="rId961" Type="http://schemas.openxmlformats.org/officeDocument/2006/relationships/hyperlink" Target="https://en.unesco.org/artificial-intelligence/observatory/policies?country=LR;%20https://www.unesco.org/ethics-ai/en/global-hub" TargetMode="External"/><Relationship Id="rId1384" Type="http://schemas.openxmlformats.org/officeDocument/2006/relationships/hyperlink" Target="https://unctad.org/page/data-protection-and-privacy-legislation-worldwide" TargetMode="External"/><Relationship Id="rId1591" Type="http://schemas.openxmlformats.org/officeDocument/2006/relationships/hyperlink" Target="https://en.unesco.org/artificial-intelligence/observatory/policies?country=SO;%20https://www.unesco.org/ethics-ai/en/global-hub" TargetMode="External"/><Relationship Id="rId1689" Type="http://schemas.openxmlformats.org/officeDocument/2006/relationships/hyperlink" Target="https://www.unicef.org/switzerland/" TargetMode="External"/><Relationship Id="rId9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86" Type="http://schemas.openxmlformats.org/officeDocument/2006/relationships/hyperlink" Target="https://unctad.org/page/data-protection-and-privacy-legislation-worldwide" TargetMode="External"/><Relationship Id="rId393" Type="http://schemas.openxmlformats.org/officeDocument/2006/relationships/hyperlink" Target="https://unctad.org/page/data-protection-and-privacy-legislation-worldwide;%20https:/www.unicef.org/costa-rica/" TargetMode="External"/><Relationship Id="rId407" Type="http://schemas.openxmlformats.org/officeDocument/2006/relationships/hyperlink" Target="https://www.humandignitytrust.org/country-profile/croatia/;%20https:/ilga.org/ilga-world-maps/" TargetMode="External"/><Relationship Id="rId614" Type="http://schemas.openxmlformats.org/officeDocument/2006/relationships/hyperlink" Target="https://unctad.org/page/data-protection-and-privacy-legislation-worldwide" TargetMode="External"/><Relationship Id="rId821" Type="http://schemas.openxmlformats.org/officeDocument/2006/relationships/hyperlink" Target="https://en.unesco.org/artificial-intelligence/observatory/policies?country=IL;%20https://www.unesco.org/ethics-ai/en/global-hub" TargetMode="External"/><Relationship Id="rId1037" Type="http://schemas.openxmlformats.org/officeDocument/2006/relationships/hyperlink" Target="https://www.humandignitytrust.org/country-profile/malaysia/;%20https:/ilga.org/ilga-world-maps/" TargetMode="External"/><Relationship Id="rId1244" Type="http://schemas.openxmlformats.org/officeDocument/2006/relationships/hyperlink" Target="https://unctad.org/page/data-protection-and-privacy-legislation-worldwide" TargetMode="External"/><Relationship Id="rId1451" Type="http://schemas.openxmlformats.org/officeDocument/2006/relationships/hyperlink" Target="https://en.unesco.org/artificial-intelligence/observatory/policies?country=LC;%20https://www.unesco.org/ethics-ai/en/global-hub" TargetMode="External"/><Relationship Id="rId1896" Type="http://schemas.openxmlformats.org/officeDocument/2006/relationships/hyperlink" Target="https://unctad.org/page/data-protection-and-privacy-legislation-worldwide" TargetMode="External"/><Relationship Id="rId253" Type="http://schemas.openxmlformats.org/officeDocument/2006/relationships/hyperlink" Target="https://unctad.org/page/data-protection-and-privacy-legislation-worldwide;%20https:/www.unicef.org/bulgaria/" TargetMode="External"/><Relationship Id="rId460" Type="http://schemas.openxmlformats.org/officeDocument/2006/relationships/hyperlink" Target="https://www.gsma.com/solutions-and-impact/connectivity-for-good/public-policy/mobile-policy-handbook/consumer-protection/mandatory-registration-of-prepaid-sims/" TargetMode="External"/><Relationship Id="rId698" Type="http://schemas.openxmlformats.org/officeDocument/2006/relationships/hyperlink" Target="https://ilga.org/ilga-world-maps/" TargetMode="External"/><Relationship Id="rId919" Type="http://schemas.openxmlformats.org/officeDocument/2006/relationships/hyperlink" Target="https://www.unicef.org/kyrgyzstan/" TargetMode="External"/><Relationship Id="rId1090" Type="http://schemas.openxmlformats.org/officeDocument/2006/relationships/hyperlink" Target="https://www.gsma.com/solutions-and-impact/connectivity-for-good/public-policy/mobile-policy-handbook/consumer-protection/mandatory-registration-of-prepaid-sims/" TargetMode="External"/><Relationship Id="rId1104" Type="http://schemas.openxmlformats.org/officeDocument/2006/relationships/hyperlink" Target="https://unctad.org/page/data-protection-and-privacy-legislation-worldwide" TargetMode="External"/><Relationship Id="rId1311" Type="http://schemas.openxmlformats.org/officeDocument/2006/relationships/hyperlink" Target="https://en.unesco.org/artificial-intelligence/observatory/policies?country=PA;%20https://www.unesco.org/ethics-ai/en/global-hub" TargetMode="External"/><Relationship Id="rId1549" Type="http://schemas.openxmlformats.org/officeDocument/2006/relationships/hyperlink" Target="https://www.unicef.org/sierra-leone/" TargetMode="External"/><Relationship Id="rId1756" Type="http://schemas.openxmlformats.org/officeDocument/2006/relationships/hyperlink" Target="https://unctad.org/page/data-protection-and-privacy-legislation-worldwide" TargetMode="External"/><Relationship Id="rId48" Type="http://schemas.openxmlformats.org/officeDocument/2006/relationships/hyperlink" Target="https://ilga.org/ilga-world-maps/" TargetMode="External"/><Relationship Id="rId113" Type="http://schemas.openxmlformats.org/officeDocument/2006/relationships/hyperlink" Target="https://unctad.org/page/data-protection-and-privacy-legislation-worldwide;%20https:/www.unicef.org/bahamas/" TargetMode="External"/><Relationship Id="rId32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558" Type="http://schemas.openxmlformats.org/officeDocument/2006/relationships/hyperlink" Target="https://ilga.org/ilga-world-maps/" TargetMode="External"/><Relationship Id="rId765" Type="http://schemas.openxmlformats.org/officeDocument/2006/relationships/hyperlink" Target="https://unctad.org/page/data-protection-and-privacy-legislation-worldwide" TargetMode="External"/><Relationship Id="rId972" Type="http://schemas.openxmlformats.org/officeDocument/2006/relationships/hyperlink" Target="https://unctad.org/page/data-protection-and-privacy-legislation-worldwide" TargetMode="External"/><Relationship Id="rId1188" Type="http://schemas.openxmlformats.org/officeDocument/2006/relationships/hyperlink" Target="https://ilga.org/ilga-world-maps/" TargetMode="External"/><Relationship Id="rId1395" Type="http://schemas.openxmlformats.org/officeDocument/2006/relationships/hyperlink" Target="https://unctad.org/page/data-protection-and-privacy-legislation-worldwide" TargetMode="External"/><Relationship Id="rId1409" Type="http://schemas.openxmlformats.org/officeDocument/2006/relationships/hyperlink" Target="https://www.unicef.org/republic-of-moldova/" TargetMode="External"/><Relationship Id="rId1616" Type="http://schemas.openxmlformats.org/officeDocument/2006/relationships/hyperlink" Target="https://unctad.org/page/data-protection-and-privacy-legislation-worldwide" TargetMode="External"/><Relationship Id="rId1823" Type="http://schemas.openxmlformats.org/officeDocument/2006/relationships/hyperlink" Target="https://unctad.org/page/data-protection-and-privacy-legislation-worldwide;%20https:/www.unicef.org/ukraine/" TargetMode="External"/><Relationship Id="rId197" Type="http://schemas.openxmlformats.org/officeDocument/2006/relationships/hyperlink" Target="https://www.humandignitytrust.org/country-profile/bhutan/;%20https:/ilga.org/ilga-world-maps/" TargetMode="External"/><Relationship Id="rId418" Type="http://schemas.openxmlformats.org/officeDocument/2006/relationships/hyperlink" Target="https://ilga.org/ilga-world-maps/" TargetMode="External"/><Relationship Id="rId625" Type="http://schemas.openxmlformats.org/officeDocument/2006/relationships/hyperlink" Target="https://unctad.org/page/data-protection-and-privacy-legislation-worldwide" TargetMode="External"/><Relationship Id="rId832" Type="http://schemas.openxmlformats.org/officeDocument/2006/relationships/hyperlink" Target="https://unctad.org/page/data-protection-and-privacy-legislation-worldwide" TargetMode="External"/><Relationship Id="rId1048" Type="http://schemas.openxmlformats.org/officeDocument/2006/relationships/hyperlink" Target="https://ilga.org/ilga-world-maps/" TargetMode="External"/><Relationship Id="rId1255" Type="http://schemas.openxmlformats.org/officeDocument/2006/relationships/hyperlink" Target="https://unctad.org/page/data-protection-and-privacy-legislation-worldwide" TargetMode="External"/><Relationship Id="rId1462" Type="http://schemas.openxmlformats.org/officeDocument/2006/relationships/hyperlink" Target="https://unctad.org/page/data-protection-and-privacy-legislation-worldwide" TargetMode="External"/><Relationship Id="rId264" Type="http://schemas.openxmlformats.org/officeDocument/2006/relationships/hyperlink" Target="https://unctad.org/page/data-protection-and-privacy-legislation-worldwide" TargetMode="External"/><Relationship Id="rId471" Type="http://schemas.openxmlformats.org/officeDocument/2006/relationships/hyperlink" Target="https://en.unesco.org/artificial-intelligence/observatory/policies?country=DK;%20https://www.unesco.org/ethics-ai/en/global-hub" TargetMode="External"/><Relationship Id="rId1115" Type="http://schemas.openxmlformats.org/officeDocument/2006/relationships/hyperlink" Target="https://unctad.org/page/data-protection-and-privacy-legislation-worldwide" TargetMode="External"/><Relationship Id="rId1322" Type="http://schemas.openxmlformats.org/officeDocument/2006/relationships/hyperlink" Target="https://unctad.org/page/data-protection-and-privacy-legislation-worldwide" TargetMode="External"/><Relationship Id="rId1767" Type="http://schemas.openxmlformats.org/officeDocument/2006/relationships/hyperlink" Target="https://www.humandignitytrust.org/country-profile/trinidad-and-tobago/;%20https:/ilga.org/ilga-world-maps/" TargetMode="External"/><Relationship Id="rId59" Type="http://schemas.openxmlformats.org/officeDocument/2006/relationships/hyperlink" Target="https://www.unicef.org/antigua-and-barbuda/" TargetMode="External"/><Relationship Id="rId124" Type="http://schemas.openxmlformats.org/officeDocument/2006/relationships/hyperlink" Target="https://unctad.org/page/data-protection-and-privacy-legislation-worldwide" TargetMode="External"/><Relationship Id="rId569" Type="http://schemas.openxmlformats.org/officeDocument/2006/relationships/hyperlink" Target="https://www.unicef.org/estonia/" TargetMode="External"/><Relationship Id="rId776" Type="http://schemas.openxmlformats.org/officeDocument/2006/relationships/hyperlink" Target="https://unctad.org/page/data-protection-and-privacy-legislation-worldwide" TargetMode="External"/><Relationship Id="rId983" Type="http://schemas.openxmlformats.org/officeDocument/2006/relationships/hyperlink" Target="https://unctad.org/page/data-protection-and-privacy-legislation-worldwide;%20https:/www.unicef.org/liechtenstein/" TargetMode="External"/><Relationship Id="rId1199" Type="http://schemas.openxmlformats.org/officeDocument/2006/relationships/hyperlink" Target="https://www.unicef.org/nauru/" TargetMode="External"/><Relationship Id="rId1627" Type="http://schemas.openxmlformats.org/officeDocument/2006/relationships/hyperlink" Target="https://www.humandignitytrust.org/country-profile/spain/;%20https:/ilga.org/ilga-world-maps/" TargetMode="External"/><Relationship Id="rId1834" Type="http://schemas.openxmlformats.org/officeDocument/2006/relationships/hyperlink" Target="https://unctad.org/page/data-protection-and-privacy-legislation-worldwide" TargetMode="External"/><Relationship Id="rId331" Type="http://schemas.openxmlformats.org/officeDocument/2006/relationships/hyperlink" Target="https://en.unesco.org/artificial-intelligence/observatory/policies?country=TD;%20https://www.unesco.org/ethics-ai/en/global-hub" TargetMode="External"/><Relationship Id="rId429" Type="http://schemas.openxmlformats.org/officeDocument/2006/relationships/hyperlink" Target="https://www.unicef.org/cyprus/" TargetMode="External"/><Relationship Id="rId636" Type="http://schemas.openxmlformats.org/officeDocument/2006/relationships/hyperlink" Target="https://unctad.org/page/data-protection-and-privacy-legislation-worldwide" TargetMode="External"/><Relationship Id="rId1059" Type="http://schemas.openxmlformats.org/officeDocument/2006/relationships/hyperlink" Target="https://www.unicef.org/mali/" TargetMode="External"/><Relationship Id="rId1266" Type="http://schemas.openxmlformats.org/officeDocument/2006/relationships/hyperlink" Target="https://unctad.org/page/data-protection-and-privacy-legislation-worldwide" TargetMode="External"/><Relationship Id="rId1473" Type="http://schemas.openxmlformats.org/officeDocument/2006/relationships/hyperlink" Target="https://www.unicef.org/samoa/" TargetMode="External"/><Relationship Id="rId843" Type="http://schemas.openxmlformats.org/officeDocument/2006/relationships/hyperlink" Target="https://unctad.org/page/data-protection-and-privacy-legislation-worldwide;%20https:/www.unicef.org/jamaica/" TargetMode="External"/><Relationship Id="rId1126" Type="http://schemas.openxmlformats.org/officeDocument/2006/relationships/hyperlink" Target="https://unctad.org/page/data-protection-and-privacy-legislation-worldwide" TargetMode="External"/><Relationship Id="rId1680" Type="http://schemas.openxmlformats.org/officeDocument/2006/relationships/hyperlink" Target="https://www.gsma.com/solutions-and-impact/connectivity-for-good/public-policy/mobile-policy-handbook/consumer-protection/mandatory-registration-of-prepaid-sims/" TargetMode="External"/><Relationship Id="rId1778" Type="http://schemas.openxmlformats.org/officeDocument/2006/relationships/hyperlink" Target="https://ilga.org/ilga-world-maps/" TargetMode="External"/><Relationship Id="rId1901" Type="http://schemas.openxmlformats.org/officeDocument/2006/relationships/hyperlink" Target="https://en.unesco.org/artificial-intelligence/observatory/policies?country=VN;%20https://www.unesco.org/ethics-ai/en/global-hub" TargetMode="External"/><Relationship Id="rId275" Type="http://schemas.openxmlformats.org/officeDocument/2006/relationships/hyperlink" Target="https://unctad.org/page/data-protection-and-privacy-legislation-worldwide" TargetMode="External"/><Relationship Id="rId482" Type="http://schemas.openxmlformats.org/officeDocument/2006/relationships/hyperlink" Target="https://unctad.org/page/data-protection-and-privacy-legislation-worldwide" TargetMode="External"/><Relationship Id="rId703" Type="http://schemas.openxmlformats.org/officeDocument/2006/relationships/hyperlink" Target="https://unctad.org/page/data-protection-and-privacy-legislation-worldwide;%20https:/www.unicef.org/guinea/" TargetMode="External"/><Relationship Id="rId91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333" Type="http://schemas.openxmlformats.org/officeDocument/2006/relationships/hyperlink" Target="https://www.unicef.org/paraguay/" TargetMode="External"/><Relationship Id="rId1540" Type="http://schemas.openxmlformats.org/officeDocument/2006/relationships/hyperlink" Target="https://www.gsma.com/solutions-and-impact/connectivity-for-good/public-policy/mobile-policy-handbook/consumer-protection/mandatory-registration-of-prepaid-sims/" TargetMode="External"/><Relationship Id="rId1638" Type="http://schemas.openxmlformats.org/officeDocument/2006/relationships/hyperlink" Target="https://ilga.org/ilga-world-maps/" TargetMode="External"/><Relationship Id="rId135" Type="http://schemas.openxmlformats.org/officeDocument/2006/relationships/hyperlink" Target="https://unctad.org/page/data-protection-and-privacy-legislation-worldwide" TargetMode="External"/><Relationship Id="rId342" Type="http://schemas.openxmlformats.org/officeDocument/2006/relationships/hyperlink" Target="https://unctad.org/page/data-protection-and-privacy-legislation-worldwide" TargetMode="External"/><Relationship Id="rId787" Type="http://schemas.openxmlformats.org/officeDocument/2006/relationships/hyperlink" Target="https://www.humandignitytrust.org/country-profile/indonesia/;%20https:/ilga.org/ilga-world-maps/" TargetMode="External"/><Relationship Id="rId994" Type="http://schemas.openxmlformats.org/officeDocument/2006/relationships/hyperlink" Target="https://unctad.org/page/data-protection-and-privacy-legislation-worldwide" TargetMode="External"/><Relationship Id="rId140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845" Type="http://schemas.openxmlformats.org/officeDocument/2006/relationships/hyperlink" Target="https://unctad.org/page/data-protection-and-privacy-legislation-worldwide" TargetMode="External"/><Relationship Id="rId202" Type="http://schemas.openxmlformats.org/officeDocument/2006/relationships/hyperlink" Target="https://unctad.org/page/data-protection-and-privacy-legislation-worldwide" TargetMode="External"/><Relationship Id="rId647" Type="http://schemas.openxmlformats.org/officeDocument/2006/relationships/hyperlink" Target="https://www.humandignitytrust.org/country-profile/georgia/;%20https:/ilga.org/ilga-world-maps/" TargetMode="External"/><Relationship Id="rId854" Type="http://schemas.openxmlformats.org/officeDocument/2006/relationships/hyperlink" Target="https://unctad.org/page/data-protection-and-privacy-legislation-worldwide" TargetMode="External"/><Relationship Id="rId1277" Type="http://schemas.openxmlformats.org/officeDocument/2006/relationships/hyperlink" Target="https://www.humandignitytrust.org/country-profile/norway/;%20https:/ilga.org/ilga-world-maps/" TargetMode="External"/><Relationship Id="rId1484" Type="http://schemas.openxmlformats.org/officeDocument/2006/relationships/hyperlink" Target="https://unctad.org/page/data-protection-and-privacy-legislation-worldwide" TargetMode="External"/><Relationship Id="rId1691" Type="http://schemas.openxmlformats.org/officeDocument/2006/relationships/hyperlink" Target="https://en.unesco.org/artificial-intelligence/observatory/policies?country=SY;%20https://www.unesco.org/ethics-ai/en/global-hub" TargetMode="External"/><Relationship Id="rId1705" Type="http://schemas.openxmlformats.org/officeDocument/2006/relationships/hyperlink" Target="https://unctad.org/page/data-protection-and-privacy-legislation-worldwide" TargetMode="External"/><Relationship Id="rId1912" Type="http://schemas.openxmlformats.org/officeDocument/2006/relationships/hyperlink" Target="https://unctad.org/page/data-protection-and-privacy-legislation-worldwide" TargetMode="External"/><Relationship Id="rId286" Type="http://schemas.openxmlformats.org/officeDocument/2006/relationships/hyperlink" Target="https://unctad.org/page/data-protection-and-privacy-legislation-worldwide" TargetMode="External"/><Relationship Id="rId493" Type="http://schemas.openxmlformats.org/officeDocument/2006/relationships/hyperlink" Target="https://unctad.org/page/data-protection-and-privacy-legislation-worldwide;%20https:/www.unicef.org/dominica/" TargetMode="External"/><Relationship Id="rId507" Type="http://schemas.openxmlformats.org/officeDocument/2006/relationships/hyperlink" Target="https://www.humandignitytrust.org/country-profile/dominican-republic/;%20https:/ilga.org/ilga-world-maps/" TargetMode="External"/><Relationship Id="rId714" Type="http://schemas.openxmlformats.org/officeDocument/2006/relationships/hyperlink" Target="https://unctad.org/page/data-protection-and-privacy-legislation-worldwide" TargetMode="External"/><Relationship Id="rId921" Type="http://schemas.openxmlformats.org/officeDocument/2006/relationships/hyperlink" Target="https://en.unesco.org/artificial-intelligence/observatory/policies?country=LA;%20https://www.unesco.org/ethics-ai/en/global-hub" TargetMode="External"/><Relationship Id="rId1137" Type="http://schemas.openxmlformats.org/officeDocument/2006/relationships/hyperlink" Target="https://www.humandignitytrust.org/country-profile/mongolia/;%20https:/ilga.org/ilga-world-maps/" TargetMode="External"/><Relationship Id="rId1344" Type="http://schemas.openxmlformats.org/officeDocument/2006/relationships/hyperlink" Target="https://unctad.org/page/data-protection-and-privacy-legislation-worldwide" TargetMode="External"/><Relationship Id="rId1551" Type="http://schemas.openxmlformats.org/officeDocument/2006/relationships/hyperlink" Target="https://en.unesco.org/artificial-intelligence/observatory/policies?country=SG;%20https://www.unesco.org/ethics-ai/en/global-hub" TargetMode="External"/><Relationship Id="rId1789" Type="http://schemas.openxmlformats.org/officeDocument/2006/relationships/hyperlink" Target="https://www.unicef.org/turkiye/" TargetMode="External"/><Relationship Id="rId50" Type="http://schemas.openxmlformats.org/officeDocument/2006/relationships/hyperlink" Target="https://www.gsma.com/solutions-and-impact/connectivity-for-good/public-policy/mobile-policy-handbook/consumer-protection/mandatory-registration-of-prepaid-sims/" TargetMode="External"/><Relationship Id="rId146" Type="http://schemas.openxmlformats.org/officeDocument/2006/relationships/hyperlink" Target="https://unctad.org/page/data-protection-and-privacy-legislation-worldwide" TargetMode="External"/><Relationship Id="rId353" Type="http://schemas.openxmlformats.org/officeDocument/2006/relationships/hyperlink" Target="https://unctad.org/page/data-protection-and-privacy-legislation-worldwide;%20https:/www.unicef.org/china/" TargetMode="External"/><Relationship Id="rId56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798" Type="http://schemas.openxmlformats.org/officeDocument/2006/relationships/hyperlink" Target="https://ilga.org/ilga-world-maps/" TargetMode="External"/><Relationship Id="rId1190" Type="http://schemas.openxmlformats.org/officeDocument/2006/relationships/hyperlink" Target="https://www.gsma.com/solutions-and-impact/connectivity-for-good/public-policy/mobile-policy-handbook/consumer-protection/mandatory-registration-of-prepaid-sims/" TargetMode="External"/><Relationship Id="rId1204" Type="http://schemas.openxmlformats.org/officeDocument/2006/relationships/hyperlink" Target="https://unctad.org/page/data-protection-and-privacy-legislation-worldwide" TargetMode="External"/><Relationship Id="rId1411" Type="http://schemas.openxmlformats.org/officeDocument/2006/relationships/hyperlink" Target="https://en.unesco.org/artificial-intelligence/observatory/policies?country=RO;%20https://www.unesco.org/ethics-ai/en/global-hub" TargetMode="External"/><Relationship Id="rId1649" Type="http://schemas.openxmlformats.org/officeDocument/2006/relationships/hyperlink" Target="https://www.unicef.org/state-of-palestine/" TargetMode="External"/><Relationship Id="rId1856" Type="http://schemas.openxmlformats.org/officeDocument/2006/relationships/hyperlink" Target="https://unctad.org/page/data-protection-and-privacy-legislation-worldwide" TargetMode="External"/><Relationship Id="rId213" Type="http://schemas.openxmlformats.org/officeDocument/2006/relationships/hyperlink" Target="https://unctad.org/page/data-protection-and-privacy-legislation-worldwide;%20https:/www.unicef.org/bosnia-and-herzegovina/" TargetMode="External"/><Relationship Id="rId42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658" Type="http://schemas.openxmlformats.org/officeDocument/2006/relationships/hyperlink" Target="https://ilga.org/ilga-world-maps/" TargetMode="External"/><Relationship Id="rId865" Type="http://schemas.openxmlformats.org/officeDocument/2006/relationships/hyperlink" Target="https://unctad.org/page/data-protection-and-privacy-legislation-worldwide" TargetMode="External"/><Relationship Id="rId105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288" Type="http://schemas.openxmlformats.org/officeDocument/2006/relationships/hyperlink" Target="https://ilga.org/ilga-world-maps/" TargetMode="External"/><Relationship Id="rId1495" Type="http://schemas.openxmlformats.org/officeDocument/2006/relationships/hyperlink" Target="https://unctad.org/page/data-protection-and-privacy-legislation-worldwide" TargetMode="External"/><Relationship Id="rId1509" Type="http://schemas.openxmlformats.org/officeDocument/2006/relationships/hyperlink" Target="https://www.unicef.org/saudi-arabia/" TargetMode="External"/><Relationship Id="rId1716" Type="http://schemas.openxmlformats.org/officeDocument/2006/relationships/hyperlink" Target="https://unctad.org/page/data-protection-and-privacy-legislation-worldwide" TargetMode="External"/><Relationship Id="rId1923" Type="http://schemas.openxmlformats.org/officeDocument/2006/relationships/hyperlink" Target="https://unctad.org/page/data-protection-and-privacy-legislation-worldwide;%20https:/www.unicef.org/zambia/" TargetMode="External"/><Relationship Id="rId297" Type="http://schemas.openxmlformats.org/officeDocument/2006/relationships/hyperlink" Target="https://www.humandignitytrust.org/country-profile/cambodia/;%20https:/ilga.org/ilga-world-maps/" TargetMode="External"/><Relationship Id="rId518" Type="http://schemas.openxmlformats.org/officeDocument/2006/relationships/hyperlink" Target="https://ilga.org/ilga-world-maps/" TargetMode="External"/><Relationship Id="rId725" Type="http://schemas.openxmlformats.org/officeDocument/2006/relationships/hyperlink" Target="https://unctad.org/page/data-protection-and-privacy-legislation-worldwide" TargetMode="External"/><Relationship Id="rId932" Type="http://schemas.openxmlformats.org/officeDocument/2006/relationships/hyperlink" Target="https://unctad.org/page/data-protection-and-privacy-legislation-worldwide" TargetMode="External"/><Relationship Id="rId1148" Type="http://schemas.openxmlformats.org/officeDocument/2006/relationships/hyperlink" Target="https://ilga.org/ilga-world-maps/" TargetMode="External"/><Relationship Id="rId1355" Type="http://schemas.openxmlformats.org/officeDocument/2006/relationships/hyperlink" Target="https://unctad.org/page/data-protection-and-privacy-legislation-worldwide" TargetMode="External"/><Relationship Id="rId1562" Type="http://schemas.openxmlformats.org/officeDocument/2006/relationships/hyperlink" Target="https://unctad.org/page/data-protection-and-privacy-legislation-worldwide" TargetMode="External"/><Relationship Id="rId157" Type="http://schemas.openxmlformats.org/officeDocument/2006/relationships/hyperlink" Target="https://www.humandignitytrust.org/country-profile/belarus/;%20https:/ilga.org/ilga-world-maps/" TargetMode="External"/><Relationship Id="rId364" Type="http://schemas.openxmlformats.org/officeDocument/2006/relationships/hyperlink" Target="https://unctad.org/page/data-protection-and-privacy-legislation-worldwide" TargetMode="External"/><Relationship Id="rId1008" Type="http://schemas.openxmlformats.org/officeDocument/2006/relationships/hyperlink" Target="https://ilga.org/ilga-world-maps/" TargetMode="External"/><Relationship Id="rId1215" Type="http://schemas.openxmlformats.org/officeDocument/2006/relationships/hyperlink" Target="https://unctad.org/page/data-protection-and-privacy-legislation-worldwide" TargetMode="External"/><Relationship Id="rId1422" Type="http://schemas.openxmlformats.org/officeDocument/2006/relationships/hyperlink" Target="https://unctad.org/page/data-protection-and-privacy-legislation-worldwide" TargetMode="External"/><Relationship Id="rId1867" Type="http://schemas.openxmlformats.org/officeDocument/2006/relationships/hyperlink" Target="https://www.humandignitytrust.org/country-profile/uruguay/;%20https:/ilga.org/ilga-world-maps/" TargetMode="External"/><Relationship Id="rId61" Type="http://schemas.openxmlformats.org/officeDocument/2006/relationships/hyperlink" Target="https://en.unesco.org/artificial-intelligence/observatory/policies?country=AR;%20https://www.unesco.org/ethics-ai/en/global-hub" TargetMode="External"/><Relationship Id="rId571" Type="http://schemas.openxmlformats.org/officeDocument/2006/relationships/hyperlink" Target="https://en.unesco.org/artificial-intelligence/observatory/policies?country=SZ;%20https://www.unesco.org/ethics-ai/en/global-hub" TargetMode="External"/><Relationship Id="rId669" Type="http://schemas.openxmlformats.org/officeDocument/2006/relationships/hyperlink" Target="https://www.unicef.org/ghana/" TargetMode="External"/><Relationship Id="rId876" Type="http://schemas.openxmlformats.org/officeDocument/2006/relationships/hyperlink" Target="https://unctad.org/page/data-protection-and-privacy-legislation-worldwide" TargetMode="External"/><Relationship Id="rId1299" Type="http://schemas.openxmlformats.org/officeDocument/2006/relationships/hyperlink" Target="https://www.unicef.org/pakistan/" TargetMode="External"/><Relationship Id="rId1727" Type="http://schemas.openxmlformats.org/officeDocument/2006/relationships/hyperlink" Target="https://www.humandignitytrust.org/country-profile/thailand/;%20https:/ilga.org/ilga-world-maps/" TargetMode="External"/><Relationship Id="rId1934" Type="http://schemas.openxmlformats.org/officeDocument/2006/relationships/hyperlink" Target="https://unctad.org/page/data-protection-and-privacy-legislation-worldwide" TargetMode="External"/><Relationship Id="rId19" Type="http://schemas.openxmlformats.org/officeDocument/2006/relationships/hyperlink" Target="https://www.unicef.org/albania/media/1871/file/Child%20protection%20system%20in%20Albania.pdf" TargetMode="External"/><Relationship Id="rId224" Type="http://schemas.openxmlformats.org/officeDocument/2006/relationships/hyperlink" Target="https://unctad.org/page/data-protection-and-privacy-legislation-worldwide" TargetMode="External"/><Relationship Id="rId431" Type="http://schemas.openxmlformats.org/officeDocument/2006/relationships/hyperlink" Target="https://en.unesco.org/artificial-intelligence/observatory/policies?country=CZ;%20https://www.unesco.org/ethics-ai/en/global-hub" TargetMode="External"/><Relationship Id="rId529" Type="http://schemas.openxmlformats.org/officeDocument/2006/relationships/hyperlink" Target="https://www.unicef.org/egypt/" TargetMode="External"/><Relationship Id="rId736" Type="http://schemas.openxmlformats.org/officeDocument/2006/relationships/hyperlink" Target="https://unctad.org/page/data-protection-and-privacy-legislation-worldwide" TargetMode="External"/><Relationship Id="rId1061" Type="http://schemas.openxmlformats.org/officeDocument/2006/relationships/hyperlink" Target="https://en.unesco.org/artificial-intelligence/observatory/policies?country=MT;%20https://www.unesco.org/ethics-ai/en/global-hub" TargetMode="External"/><Relationship Id="rId1159" Type="http://schemas.openxmlformats.org/officeDocument/2006/relationships/hyperlink" Target="https://www.unicef.org/morocco/" TargetMode="External"/><Relationship Id="rId1366" Type="http://schemas.openxmlformats.org/officeDocument/2006/relationships/hyperlink" Target="https://gdpr-info.eu/art-35-gdpr/" TargetMode="External"/><Relationship Id="rId168" Type="http://schemas.openxmlformats.org/officeDocument/2006/relationships/hyperlink" Target="https://ilga.org/ilga-world-maps/" TargetMode="External"/><Relationship Id="rId943" Type="http://schemas.openxmlformats.org/officeDocument/2006/relationships/hyperlink" Target="https://www.unicef.org/lebanon/" TargetMode="External"/><Relationship Id="rId1019" Type="http://schemas.openxmlformats.org/officeDocument/2006/relationships/hyperlink" Target="https://www.unicef.org/madagascar/" TargetMode="External"/><Relationship Id="rId1573" Type="http://schemas.openxmlformats.org/officeDocument/2006/relationships/hyperlink" Target="https://unctad.org/page/data-protection-and-privacy-legislation-worldwide;%20https:/www.unicef.org/slovenia/" TargetMode="External"/><Relationship Id="rId1780" Type="http://schemas.openxmlformats.org/officeDocument/2006/relationships/hyperlink" Target="https://www.gsma.com/solutions-and-impact/connectivity-for-good/public-policy/mobile-policy-handbook/consumer-protection/mandatory-registration-of-prepaid-sims/" TargetMode="External"/><Relationship Id="rId1878" Type="http://schemas.openxmlformats.org/officeDocument/2006/relationships/hyperlink" Target="https://ilga.org/ilga-world-maps/" TargetMode="External"/><Relationship Id="rId72" Type="http://schemas.openxmlformats.org/officeDocument/2006/relationships/hyperlink" Target="https://unctad.org/page/data-protection-and-privacy-legislation-worldwide" TargetMode="External"/><Relationship Id="rId375" Type="http://schemas.openxmlformats.org/officeDocument/2006/relationships/hyperlink" Target="https://unctad.org/page/data-protection-and-privacy-legislation-worldwide" TargetMode="External"/><Relationship Id="rId582" Type="http://schemas.openxmlformats.org/officeDocument/2006/relationships/hyperlink" Target="https://unctad.org/page/data-protection-and-privacy-legislation-worldwide" TargetMode="External"/><Relationship Id="rId803" Type="http://schemas.openxmlformats.org/officeDocument/2006/relationships/hyperlink" Target="https://www.unicef.org/iraq/" TargetMode="External"/><Relationship Id="rId1226" Type="http://schemas.openxmlformats.org/officeDocument/2006/relationships/hyperlink" Target="https://unctad.org/page/data-protection-and-privacy-legislation-worldwide" TargetMode="External"/><Relationship Id="rId1433" Type="http://schemas.openxmlformats.org/officeDocument/2006/relationships/hyperlink" Target="https://unctad.org/page/data-protection-and-privacy-legislation-worldwide;%20https:/www.unicef.org/rwanda/" TargetMode="External"/><Relationship Id="rId164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738" Type="http://schemas.openxmlformats.org/officeDocument/2006/relationships/hyperlink" Target="https://ilga.org/ilga-world-maps/" TargetMode="External"/><Relationship Id="rId3" Type="http://schemas.openxmlformats.org/officeDocument/2006/relationships/hyperlink" Target="https://www.unicef.org/afghanistan/reports/child-protection-afghanistan-2023" TargetMode="External"/><Relationship Id="rId235" Type="http://schemas.openxmlformats.org/officeDocument/2006/relationships/hyperlink" Target="https://unctad.org/page/data-protection-and-privacy-legislation-worldwide" TargetMode="External"/><Relationship Id="rId442" Type="http://schemas.openxmlformats.org/officeDocument/2006/relationships/hyperlink" Target="https://unctad.org/page/data-protection-and-privacy-legislation-worldwide" TargetMode="External"/><Relationship Id="rId887" Type="http://schemas.openxmlformats.org/officeDocument/2006/relationships/hyperlink" Target="https://www.humandignitytrust.org/country-profile/kenya/;%20https:/ilga.org/ilga-world-maps/" TargetMode="External"/><Relationship Id="rId1072" Type="http://schemas.openxmlformats.org/officeDocument/2006/relationships/hyperlink" Target="https://unctad.org/page/data-protection-and-privacy-legislation-worldwide" TargetMode="External"/><Relationship Id="rId1500" Type="http://schemas.openxmlformats.org/officeDocument/2006/relationships/hyperlink" Target="https://www.gsma.com/solutions-and-impact/connectivity-for-good/public-policy/mobile-policy-handbook/consumer-protection/mandatory-registration-of-prepaid-sims/" TargetMode="External"/><Relationship Id="rId302" Type="http://schemas.openxmlformats.org/officeDocument/2006/relationships/hyperlink" Target="https://unctad.org/page/data-protection-and-privacy-legislation-worldwide" TargetMode="External"/><Relationship Id="rId747" Type="http://schemas.openxmlformats.org/officeDocument/2006/relationships/hyperlink" Target="https://www.humandignitytrust.org/country-profile/honduras/;%20https:/ilga.org/ilga-world-maps/" TargetMode="External"/><Relationship Id="rId954" Type="http://schemas.openxmlformats.org/officeDocument/2006/relationships/hyperlink" Target="https://unctad.org/page/data-protection-and-privacy-legislation-worldwide" TargetMode="External"/><Relationship Id="rId1377" Type="http://schemas.openxmlformats.org/officeDocument/2006/relationships/hyperlink" Target="https://www.humandignitytrust.org/country-profile/portugal/;%20https:/ilga.org/ilga-world-maps/" TargetMode="External"/><Relationship Id="rId1584" Type="http://schemas.openxmlformats.org/officeDocument/2006/relationships/hyperlink" Target="https://unctad.org/page/data-protection-and-privacy-legislation-worldwide" TargetMode="External"/><Relationship Id="rId1791" Type="http://schemas.openxmlformats.org/officeDocument/2006/relationships/hyperlink" Target="https://en.unesco.org/artificial-intelligence/observatory/policies?country=TM;%20https://www.unesco.org/ethics-ai/en/global-hub" TargetMode="External"/><Relationship Id="rId1805" Type="http://schemas.openxmlformats.org/officeDocument/2006/relationships/hyperlink" Target="https://unctad.org/page/data-protection-and-privacy-legislation-worldwide" TargetMode="External"/><Relationship Id="rId83" Type="http://schemas.openxmlformats.org/officeDocument/2006/relationships/hyperlink" Target="https://unctad.org/page/data-protection-and-privacy-legislation-worldwide;%20https:/www.unicef.org/australia/" TargetMode="External"/><Relationship Id="rId179" Type="http://schemas.openxmlformats.org/officeDocument/2006/relationships/hyperlink" Target="https://www.unicef.org/belize/" TargetMode="External"/><Relationship Id="rId386" Type="http://schemas.openxmlformats.org/officeDocument/2006/relationships/hyperlink" Target="https://unctad.org/page/data-protection-and-privacy-legislation-worldwide" TargetMode="External"/><Relationship Id="rId593" Type="http://schemas.openxmlformats.org/officeDocument/2006/relationships/hyperlink" Target="https://unctad.org/page/data-protection-and-privacy-legislation-worldwide;%20https:/www.unicef.org/fiji/" TargetMode="External"/><Relationship Id="rId607" Type="http://schemas.openxmlformats.org/officeDocument/2006/relationships/hyperlink" Target="https://www.humandignitytrust.org/country-profile/finland/;%20https:/ilga.org/ilga-world-maps/" TargetMode="External"/><Relationship Id="rId814" Type="http://schemas.openxmlformats.org/officeDocument/2006/relationships/hyperlink" Target="https://unctad.org/page/data-protection-and-privacy-legislation-worldwide" TargetMode="External"/><Relationship Id="rId1237" Type="http://schemas.openxmlformats.org/officeDocument/2006/relationships/hyperlink" Target="https://www.humandignitytrust.org/country-profile/nicaragua/;%20https:/ilga.org/ilga-world-maps/" TargetMode="External"/><Relationship Id="rId1444" Type="http://schemas.openxmlformats.org/officeDocument/2006/relationships/hyperlink" Target="https://unctad.org/page/data-protection-and-privacy-legislation-worldwide" TargetMode="External"/><Relationship Id="rId1651" Type="http://schemas.openxmlformats.org/officeDocument/2006/relationships/hyperlink" Target="https://en.unesco.org/artificial-intelligence/observatory/policies?country=SD;%20https://www.unesco.org/ethics-ai/en/global-hub" TargetMode="External"/><Relationship Id="rId1889" Type="http://schemas.openxmlformats.org/officeDocument/2006/relationships/hyperlink" Target="https://www.unicef.org/vanuatu/" TargetMode="External"/><Relationship Id="rId246" Type="http://schemas.openxmlformats.org/officeDocument/2006/relationships/hyperlink" Target="https://unctad.org/page/data-protection-and-privacy-legislation-worldwide" TargetMode="External"/><Relationship Id="rId453" Type="http://schemas.openxmlformats.org/officeDocument/2006/relationships/hyperlink" Target="https://www.unicef.org/democratic-peoples-republic-of-korea/" TargetMode="External"/><Relationship Id="rId66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898" Type="http://schemas.openxmlformats.org/officeDocument/2006/relationships/hyperlink" Target="https://ilga.org/ilga-world-maps/" TargetMode="External"/><Relationship Id="rId1083" Type="http://schemas.openxmlformats.org/officeDocument/2006/relationships/hyperlink" Target="https://www.unicef.org/mauritania/" TargetMode="External"/><Relationship Id="rId1290" Type="http://schemas.openxmlformats.org/officeDocument/2006/relationships/hyperlink" Target="https://www.gsma.com/solutions-and-impact/connectivity-for-good/public-policy/mobile-policy-handbook/consumer-protection/mandatory-registration-of-prepaid-sims/" TargetMode="External"/><Relationship Id="rId1304" Type="http://schemas.openxmlformats.org/officeDocument/2006/relationships/hyperlink" Target="https://unctad.org/page/data-protection-and-privacy-legislation-worldwide" TargetMode="External"/><Relationship Id="rId1511" Type="http://schemas.openxmlformats.org/officeDocument/2006/relationships/hyperlink" Target="https://en.unesco.org/artificial-intelligence/observatory/policies?country=SN;%20https://www.unesco.org/ethics-ai/en/global-hub" TargetMode="External"/><Relationship Id="rId1749" Type="http://schemas.openxmlformats.org/officeDocument/2006/relationships/hyperlink" Target="https://www.unicef.org/togo/" TargetMode="External"/><Relationship Id="rId106" Type="http://schemas.openxmlformats.org/officeDocument/2006/relationships/hyperlink" Target="https://unctad.org/page/data-protection-and-privacy-legislation-worldwide" TargetMode="External"/><Relationship Id="rId313" Type="http://schemas.openxmlformats.org/officeDocument/2006/relationships/hyperlink" Target="https://unctad.org/page/data-protection-and-privacy-legislation-worldwide;%20https:/www.unicef.org/canada/" TargetMode="External"/><Relationship Id="rId758" Type="http://schemas.openxmlformats.org/officeDocument/2006/relationships/hyperlink" Target="https://ilga.org/ilga-world-maps/" TargetMode="External"/><Relationship Id="rId965" Type="http://schemas.openxmlformats.org/officeDocument/2006/relationships/hyperlink" Target="https://unctad.org/page/data-protection-and-privacy-legislation-worldwide" TargetMode="External"/><Relationship Id="rId1150" Type="http://schemas.openxmlformats.org/officeDocument/2006/relationships/hyperlink" Target="https://www.gsma.com/solutions-and-impact/connectivity-for-good/public-policy/mobile-policy-handbook/consumer-protection/mandatory-registration-of-prepaid-sims/" TargetMode="External"/><Relationship Id="rId1388" Type="http://schemas.openxmlformats.org/officeDocument/2006/relationships/hyperlink" Target="https://ilga.org/ilga-world-maps/" TargetMode="External"/><Relationship Id="rId1595" Type="http://schemas.openxmlformats.org/officeDocument/2006/relationships/hyperlink" Target="https://unctad.org/page/data-protection-and-privacy-legislation-worldwide" TargetMode="External"/><Relationship Id="rId1609" Type="http://schemas.openxmlformats.org/officeDocument/2006/relationships/hyperlink" Target="https://www.unicef.org/south-africa/" TargetMode="External"/><Relationship Id="rId1816" Type="http://schemas.openxmlformats.org/officeDocument/2006/relationships/hyperlink" Target="https://unctad.org/page/data-protection-and-privacy-legislation-worldwide" TargetMode="External"/><Relationship Id="rId10" Type="http://schemas.openxmlformats.org/officeDocument/2006/relationships/hyperlink" Target="https://www.gsma.com/mobilefordevelopment/resources/mandatory-sim-registration-in-afghanistan/;%20https:/privacyinternational.org/examples/3208/afghanistan-mandatory-sim-registration" TargetMode="External"/><Relationship Id="rId94" Type="http://schemas.openxmlformats.org/officeDocument/2006/relationships/hyperlink" Target="https://unctad.org/page/data-protection-and-privacy-legislation-worldwide" TargetMode="External"/><Relationship Id="rId397" Type="http://schemas.openxmlformats.org/officeDocument/2006/relationships/hyperlink" Target="https://www.humandignitytrust.org/country-profile/costa-rica/;%20https:/ilga.org/ilga-world-maps/" TargetMode="External"/><Relationship Id="rId520" Type="http://schemas.openxmlformats.org/officeDocument/2006/relationships/hyperlink" Target="https://www.gsma.com/solutions-and-impact/connectivity-for-good/public-policy/mobile-policy-handbook/consumer-protection/mandatory-registration-of-prepaid-sims/" TargetMode="External"/><Relationship Id="rId618" Type="http://schemas.openxmlformats.org/officeDocument/2006/relationships/hyperlink" Target="https://ilga.org/ilga-world-maps/" TargetMode="External"/><Relationship Id="rId825" Type="http://schemas.openxmlformats.org/officeDocument/2006/relationships/hyperlink" Target="https://unctad.org/page/data-protection-and-privacy-legislation-worldwide" TargetMode="External"/><Relationship Id="rId1248" Type="http://schemas.openxmlformats.org/officeDocument/2006/relationships/hyperlink" Target="https://ilga.org/ilga-world-maps/" TargetMode="External"/><Relationship Id="rId1455" Type="http://schemas.openxmlformats.org/officeDocument/2006/relationships/hyperlink" Target="https://unctad.org/page/data-protection-and-privacy-legislation-worldwide" TargetMode="External"/><Relationship Id="rId1662" Type="http://schemas.openxmlformats.org/officeDocument/2006/relationships/hyperlink" Target="https://unctad.org/page/data-protection-and-privacy-legislation-worldwide" TargetMode="External"/><Relationship Id="rId257" Type="http://schemas.openxmlformats.org/officeDocument/2006/relationships/hyperlink" Target="https://www.humandignitytrust.org/country-profile/bulgaria/;%20https:/ilga.org/ilga-world-maps/" TargetMode="External"/><Relationship Id="rId464" Type="http://schemas.openxmlformats.org/officeDocument/2006/relationships/hyperlink" Target="https://unctad.org/page/data-protection-and-privacy-legislation-worldwide" TargetMode="External"/><Relationship Id="rId1010" Type="http://schemas.openxmlformats.org/officeDocument/2006/relationships/hyperlink" Target="https://www.gsma.com/solutions-and-impact/connectivity-for-good/public-policy/mobile-policy-handbook/consumer-protection/mandatory-registration-of-prepaid-sims/" TargetMode="External"/><Relationship Id="rId1094" Type="http://schemas.openxmlformats.org/officeDocument/2006/relationships/hyperlink" Target="https://unctad.org/page/data-protection-and-privacy-legislation-worldwide" TargetMode="External"/><Relationship Id="rId1108" Type="http://schemas.openxmlformats.org/officeDocument/2006/relationships/hyperlink" Target="https://ilga.org/ilga-world-maps/" TargetMode="External"/><Relationship Id="rId1315" Type="http://schemas.openxmlformats.org/officeDocument/2006/relationships/hyperlink" Target="https://unctad.org/page/data-protection-and-privacy-legislation-worldwide" TargetMode="External"/><Relationship Id="rId117" Type="http://schemas.openxmlformats.org/officeDocument/2006/relationships/hyperlink" Target="https://www.humandignitytrust.org/country-profile/bahamas/;%20https:/ilga.org/ilga-world-maps/" TargetMode="External"/><Relationship Id="rId671" Type="http://schemas.openxmlformats.org/officeDocument/2006/relationships/hyperlink" Target="https://en.unesco.org/artificial-intelligence/observatory/policies?country=GR;%20https://www.unesco.org/ethics-ai/en/global-hub" TargetMode="External"/><Relationship Id="rId769" Type="http://schemas.openxmlformats.org/officeDocument/2006/relationships/hyperlink" Target="https://www.unicef.org/iceland/" TargetMode="External"/><Relationship Id="rId976" Type="http://schemas.openxmlformats.org/officeDocument/2006/relationships/hyperlink" Target="https://unctad.org/page/data-protection-and-privacy-legislation-worldwide" TargetMode="External"/><Relationship Id="rId1399" Type="http://schemas.openxmlformats.org/officeDocument/2006/relationships/hyperlink" Target="https://www.unicef.org/republic-of-korea/" TargetMode="External"/><Relationship Id="rId324" Type="http://schemas.openxmlformats.org/officeDocument/2006/relationships/hyperlink" Target="https://unctad.org/page/data-protection-and-privacy-legislation-worldwide" TargetMode="External"/><Relationship Id="rId531" Type="http://schemas.openxmlformats.org/officeDocument/2006/relationships/hyperlink" Target="https://en.unesco.org/artificial-intelligence/observatory/policies?country=SV;%20https://www.unesco.org/ethics-ai/en/global-hub" TargetMode="External"/><Relationship Id="rId629" Type="http://schemas.openxmlformats.org/officeDocument/2006/relationships/hyperlink" Target="https://www.unicef.org/gabon/" TargetMode="External"/><Relationship Id="rId1161" Type="http://schemas.openxmlformats.org/officeDocument/2006/relationships/hyperlink" Target="https://en.unesco.org/artificial-intelligence/observatory/policies?country=MZ;%20https://www.unesco.org/ethics-ai/en/global-hub" TargetMode="External"/><Relationship Id="rId1259" Type="http://schemas.openxmlformats.org/officeDocument/2006/relationships/hyperlink" Target="https://www.unicef.org/nigeria/" TargetMode="External"/><Relationship Id="rId1466" Type="http://schemas.openxmlformats.org/officeDocument/2006/relationships/hyperlink" Target="https://unctad.org/page/data-protection-and-privacy-legislation-worldwide" TargetMode="External"/><Relationship Id="rId836" Type="http://schemas.openxmlformats.org/officeDocument/2006/relationships/hyperlink" Target="https://gdpr-info.eu/art-35-gdpr/" TargetMode="External"/><Relationship Id="rId1021" Type="http://schemas.openxmlformats.org/officeDocument/2006/relationships/hyperlink" Target="https://en.unesco.org/artificial-intelligence/observatory/policies?country=MW;%20https://www.unesco.org/ethics-ai/en/global-hub" TargetMode="External"/><Relationship Id="rId1119" Type="http://schemas.openxmlformats.org/officeDocument/2006/relationships/hyperlink" Target="https://www.unicef.org/micronesia-federated-states-of/" TargetMode="External"/><Relationship Id="rId1673" Type="http://schemas.openxmlformats.org/officeDocument/2006/relationships/hyperlink" Target="https://unctad.org/page/data-protection-and-privacy-legislation-worldwide;%20https:/www.unicef.org/sweden/" TargetMode="External"/><Relationship Id="rId1880" Type="http://schemas.openxmlformats.org/officeDocument/2006/relationships/hyperlink" Target="https://www.gsma.com/solutions-and-impact/connectivity-for-good/public-policy/mobile-policy-handbook/consumer-protection/mandatory-registration-of-prepaid-sims/" TargetMode="External"/><Relationship Id="rId903" Type="http://schemas.openxmlformats.org/officeDocument/2006/relationships/hyperlink" Target="https://www.unicef.org/kuwait/" TargetMode="External"/><Relationship Id="rId1326" Type="http://schemas.openxmlformats.org/officeDocument/2006/relationships/hyperlink" Target="https://unctad.org/page/data-protection-and-privacy-legislation-worldwide" TargetMode="External"/><Relationship Id="rId1533" Type="http://schemas.openxmlformats.org/officeDocument/2006/relationships/hyperlink" Target="https://www.unicef.org/seychelles/" TargetMode="External"/><Relationship Id="rId1740" Type="http://schemas.openxmlformats.org/officeDocument/2006/relationships/hyperlink" Target="https://www.gsma.com/solutions-and-impact/connectivity-for-good/public-policy/mobile-policy-handbook/consumer-protection/mandatory-registration-of-prepaid-sims/" TargetMode="External"/><Relationship Id="rId32" Type="http://schemas.openxmlformats.org/officeDocument/2006/relationships/hyperlink" Target="https://apda.ad/wp-content/uploads/2021/12/LQPD-EN.pdf;%20https:/www.dataguidance.com/notes/andorra-data-protection-overview" TargetMode="External"/><Relationship Id="rId1600" Type="http://schemas.openxmlformats.org/officeDocument/2006/relationships/hyperlink" Target="https://www.gsma.com/solutions-and-impact/connectivity-for-good/public-policy/mobile-policy-handbook/consumer-protection/mandatory-registration-of-prepaid-sims/" TargetMode="External"/><Relationship Id="rId1838" Type="http://schemas.openxmlformats.org/officeDocument/2006/relationships/hyperlink" Target="https://ilga.org/ilga-world-maps/" TargetMode="External"/><Relationship Id="rId181" Type="http://schemas.openxmlformats.org/officeDocument/2006/relationships/hyperlink" Target="https://en.unesco.org/artificial-intelligence/observatory/policies?country=BJ;%20https://www.unesco.org/ethics-ai/en/global-hub" TargetMode="External"/><Relationship Id="rId1905" Type="http://schemas.openxmlformats.org/officeDocument/2006/relationships/hyperlink" Target="https://unctad.org/page/data-protection-and-privacy-legislation-worldwide" TargetMode="External"/><Relationship Id="rId279" Type="http://schemas.openxmlformats.org/officeDocument/2006/relationships/hyperlink" Target="https://www.unicef.org/burundi/" TargetMode="External"/><Relationship Id="rId486" Type="http://schemas.openxmlformats.org/officeDocument/2006/relationships/hyperlink" Target="https://unctad.org/page/data-protection-and-privacy-legislation-worldwide" TargetMode="External"/><Relationship Id="rId693" Type="http://schemas.openxmlformats.org/officeDocument/2006/relationships/hyperlink" Target="https://www.unicef.org/guatemala/" TargetMode="External"/><Relationship Id="rId139" Type="http://schemas.openxmlformats.org/officeDocument/2006/relationships/hyperlink" Target="https://www.unicef.org/bangladesh/" TargetMode="External"/><Relationship Id="rId346" Type="http://schemas.openxmlformats.org/officeDocument/2006/relationships/hyperlink" Target="https://unctad.org/page/data-protection-and-privacy-legislation-worldwide" TargetMode="External"/><Relationship Id="rId553" Type="http://schemas.openxmlformats.org/officeDocument/2006/relationships/hyperlink" Target="https://www.unicef.org/eritrea/" TargetMode="External"/><Relationship Id="rId76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998" Type="http://schemas.openxmlformats.org/officeDocument/2006/relationships/hyperlink" Target="https://ilga.org/ilga-world-maps/" TargetMode="External"/><Relationship Id="rId1183" Type="http://schemas.openxmlformats.org/officeDocument/2006/relationships/hyperlink" Target="https://www.unicef.org/namibia/" TargetMode="External"/><Relationship Id="rId1390" Type="http://schemas.openxmlformats.org/officeDocument/2006/relationships/hyperlink" Target="https://www.gsma.com/solutions-and-impact/connectivity-for-good/public-policy/mobile-policy-handbook/consumer-protection/mandatory-registration-of-prepaid-sims/" TargetMode="External"/><Relationship Id="rId206" Type="http://schemas.openxmlformats.org/officeDocument/2006/relationships/hyperlink" Target="https://unctad.org/page/data-protection-and-privacy-legislation-worldwide" TargetMode="External"/><Relationship Id="rId413" Type="http://schemas.openxmlformats.org/officeDocument/2006/relationships/hyperlink" Target="https://unctad.org/page/data-protection-and-privacy-legislation-worldwide;%20https:/www.unicef.org/cuba/" TargetMode="External"/><Relationship Id="rId858" Type="http://schemas.openxmlformats.org/officeDocument/2006/relationships/hyperlink" Target="https://ilga.org/ilga-world-maps/" TargetMode="External"/><Relationship Id="rId1043" Type="http://schemas.openxmlformats.org/officeDocument/2006/relationships/hyperlink" Target="https://www.unicef.org/maldives/" TargetMode="External"/><Relationship Id="rId1488" Type="http://schemas.openxmlformats.org/officeDocument/2006/relationships/hyperlink" Target="https://ilga.org/ilga-world-maps/" TargetMode="External"/><Relationship Id="rId1695" Type="http://schemas.openxmlformats.org/officeDocument/2006/relationships/hyperlink" Target="https://unctad.org/page/data-protection-and-privacy-legislation-worldwide" TargetMode="External"/><Relationship Id="rId62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718" Type="http://schemas.openxmlformats.org/officeDocument/2006/relationships/hyperlink" Target="https://ilga.org/ilga-world-maps/" TargetMode="External"/><Relationship Id="rId925" Type="http://schemas.openxmlformats.org/officeDocument/2006/relationships/hyperlink" Target="https://unctad.org/page/data-protection-and-privacy-legislation-worldwide" TargetMode="External"/><Relationship Id="rId125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348" Type="http://schemas.openxmlformats.org/officeDocument/2006/relationships/hyperlink" Target="https://ilga.org/ilga-world-maps/" TargetMode="External"/><Relationship Id="rId1555" Type="http://schemas.openxmlformats.org/officeDocument/2006/relationships/hyperlink" Target="https://unctad.org/page/data-protection-and-privacy-legislation-worldwide" TargetMode="External"/><Relationship Id="rId1762" Type="http://schemas.openxmlformats.org/officeDocument/2006/relationships/hyperlink" Target="https://unctad.org/page/data-protection-and-privacy-legislation-worldwide" TargetMode="External"/><Relationship Id="rId1110" Type="http://schemas.openxmlformats.org/officeDocument/2006/relationships/hyperlink" Target="https://www.gsma.com/solutions-and-impact/connectivity-for-good/public-policy/mobile-policy-handbook/consumer-protection/mandatory-registration-of-prepaid-sims/" TargetMode="External"/><Relationship Id="rId1208" Type="http://schemas.openxmlformats.org/officeDocument/2006/relationships/hyperlink" Target="https://ilga.org/ilga-world-maps/" TargetMode="External"/><Relationship Id="rId1415" Type="http://schemas.openxmlformats.org/officeDocument/2006/relationships/hyperlink" Target="https://unctad.org/page/data-protection-and-privacy-legislation-worldwide" TargetMode="External"/><Relationship Id="rId54" Type="http://schemas.openxmlformats.org/officeDocument/2006/relationships/hyperlink" Target="https://unctad.org/page/data-protection-and-privacy-legislation-worldwide" TargetMode="External"/><Relationship Id="rId1622" Type="http://schemas.openxmlformats.org/officeDocument/2006/relationships/hyperlink" Target="https://unctad.org/page/data-protection-and-privacy-legislation-worldwide" TargetMode="External"/><Relationship Id="rId1927" Type="http://schemas.openxmlformats.org/officeDocument/2006/relationships/hyperlink" Target="https://www.humandignitytrust.org/country-profile/zambia/;%20https:/ilga.org/ilga-world-maps/" TargetMode="External"/><Relationship Id="rId27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3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368" Type="http://schemas.openxmlformats.org/officeDocument/2006/relationships/hyperlink" Target="https://ilga.org/ilga-world-maps/" TargetMode="External"/><Relationship Id="rId575" Type="http://schemas.openxmlformats.org/officeDocument/2006/relationships/hyperlink" Target="https://unctad.org/page/data-protection-and-privacy-legislation-worldwide" TargetMode="External"/><Relationship Id="rId782" Type="http://schemas.openxmlformats.org/officeDocument/2006/relationships/hyperlink" Target="https://unctad.org/page/data-protection-and-privacy-legislation-worldwide" TargetMode="External"/><Relationship Id="rId228" Type="http://schemas.openxmlformats.org/officeDocument/2006/relationships/hyperlink" Target="https://ilga.org/ilga-world-maps/" TargetMode="External"/><Relationship Id="rId435" Type="http://schemas.openxmlformats.org/officeDocument/2006/relationships/hyperlink" Target="https://unctad.org/page/data-protection-and-privacy-legislation-worldwide" TargetMode="External"/><Relationship Id="rId642" Type="http://schemas.openxmlformats.org/officeDocument/2006/relationships/hyperlink" Target="https://unctad.org/page/data-protection-and-privacy-legislation-worldwide" TargetMode="External"/><Relationship Id="rId1065" Type="http://schemas.openxmlformats.org/officeDocument/2006/relationships/hyperlink" Target="https://unctad.org/page/data-protection-and-privacy-legislation-worldwide" TargetMode="External"/><Relationship Id="rId1272" Type="http://schemas.openxmlformats.org/officeDocument/2006/relationships/hyperlink" Target="https://unctad.org/page/data-protection-and-privacy-legislation-worldwide" TargetMode="External"/><Relationship Id="rId502" Type="http://schemas.openxmlformats.org/officeDocument/2006/relationships/hyperlink" Target="https://unctad.org/page/data-protection-and-privacy-legislation-worldwide" TargetMode="External"/><Relationship Id="rId947" Type="http://schemas.openxmlformats.org/officeDocument/2006/relationships/hyperlink" Target="https://www.humandignitytrust.org/country-profile/lebanon/;%20https:/ilga.org/ilga-world-maps/" TargetMode="External"/><Relationship Id="rId1132" Type="http://schemas.openxmlformats.org/officeDocument/2006/relationships/hyperlink" Target="https://unctad.org/page/data-protection-and-privacy-legislation-worldwide" TargetMode="External"/><Relationship Id="rId1577" Type="http://schemas.openxmlformats.org/officeDocument/2006/relationships/hyperlink" Target="https://www.humandignitytrust.org/country-profile/slovenia/;%20https:/ilga.org/ilga-world-maps/" TargetMode="External"/><Relationship Id="rId1784" Type="http://schemas.openxmlformats.org/officeDocument/2006/relationships/hyperlink" Target="https://unctad.org/page/data-protection-and-privacy-legislation-worldwide" TargetMode="External"/><Relationship Id="rId76" Type="http://schemas.openxmlformats.org/officeDocument/2006/relationships/hyperlink" Target="https://unctad.org/page/data-protection-and-privacy-legislation-worldwide" TargetMode="External"/><Relationship Id="rId807" Type="http://schemas.openxmlformats.org/officeDocument/2006/relationships/hyperlink" Target="https://www.humandignitytrust.org/country-profile/iraq/;%20https:/ilga.org/ilga-world-maps/" TargetMode="External"/><Relationship Id="rId1437" Type="http://schemas.openxmlformats.org/officeDocument/2006/relationships/hyperlink" Target="https://www.humandignitytrust.org/country-profile/rwanda/;%20https:/ilga.org/ilga-world-maps/" TargetMode="External"/><Relationship Id="rId1644" Type="http://schemas.openxmlformats.org/officeDocument/2006/relationships/hyperlink" Target="https://unctad.org/page/data-protection-and-privacy-legislation-worldwide" TargetMode="External"/><Relationship Id="rId1851" Type="http://schemas.openxmlformats.org/officeDocument/2006/relationships/hyperlink" Target="https://en.unesco.org/artificial-intelligence/observatory/policies?country=US;%20https://www.unesco.org/ethics-ai/en/global-hub" TargetMode="External"/><Relationship Id="rId1504" Type="http://schemas.openxmlformats.org/officeDocument/2006/relationships/hyperlink" Target="https://unctad.org/page/data-protection-and-privacy-legislation-worldwide" TargetMode="External"/><Relationship Id="rId1711" Type="http://schemas.openxmlformats.org/officeDocument/2006/relationships/hyperlink" Target="https://en.unesco.org/artificial-intelligence/observatory/policies?country=TZ;%20https://www.unesco.org/ethics-ai/en/global-hub" TargetMode="External"/><Relationship Id="rId292" Type="http://schemas.openxmlformats.org/officeDocument/2006/relationships/hyperlink" Target="https://unctad.org/page/data-protection-and-privacy-legislation-worldwide" TargetMode="External"/><Relationship Id="rId1809" Type="http://schemas.openxmlformats.org/officeDocument/2006/relationships/hyperlink" Target="https://www.unicef.org/tuvalu/" TargetMode="External"/><Relationship Id="rId597" Type="http://schemas.openxmlformats.org/officeDocument/2006/relationships/hyperlink" Target="https://www.humandignitytrust.org/country-profile/fiji/;%20https:/ilga.org/ilga-world-maps/" TargetMode="External"/><Relationship Id="rId152" Type="http://schemas.openxmlformats.org/officeDocument/2006/relationships/hyperlink" Target="https://unctad.org/page/data-protection-and-privacy-legislation-worldwide" TargetMode="External"/><Relationship Id="rId457" Type="http://schemas.openxmlformats.org/officeDocument/2006/relationships/hyperlink" Target="https://www.humandignitytrust.org/country-profile/democratic-peoples-republic-of-korea/;%20https:/ilga.org/ilga-world-maps/" TargetMode="External"/><Relationship Id="rId1087" Type="http://schemas.openxmlformats.org/officeDocument/2006/relationships/hyperlink" Target="https://www.humandignitytrust.org/country-profile/mauritania/;%20https:/ilga.org/ilga-world-maps/" TargetMode="External"/><Relationship Id="rId1294" Type="http://schemas.openxmlformats.org/officeDocument/2006/relationships/hyperlink" Target="https://unctad.org/page/data-protection-and-privacy-legislation-worldwide" TargetMode="External"/><Relationship Id="rId664" Type="http://schemas.openxmlformats.org/officeDocument/2006/relationships/hyperlink" Target="https://unctad.org/page/data-protection-and-privacy-legislation-worldwide" TargetMode="External"/><Relationship Id="rId871" Type="http://schemas.openxmlformats.org/officeDocument/2006/relationships/hyperlink" Target="https://en.unesco.org/artificial-intelligence/observatory/policies?country=KZ;%20https://www.unesco.org/ethics-ai/en/global-hub" TargetMode="External"/><Relationship Id="rId969" Type="http://schemas.openxmlformats.org/officeDocument/2006/relationships/hyperlink" Target="https://www.unicef.org/liberia/" TargetMode="External"/><Relationship Id="rId1599" Type="http://schemas.openxmlformats.org/officeDocument/2006/relationships/hyperlink" Target="https://www.unicef.org/somalia/" TargetMode="External"/><Relationship Id="rId317" Type="http://schemas.openxmlformats.org/officeDocument/2006/relationships/hyperlink" Target="https://www.humandignitytrust.org/country-profile/canada/;%20https:/ilga.org/ilga-world-maps/" TargetMode="External"/><Relationship Id="rId524" Type="http://schemas.openxmlformats.org/officeDocument/2006/relationships/hyperlink" Target="https://unctad.org/page/data-protection-and-privacy-legislation-worldwide" TargetMode="External"/><Relationship Id="rId731" Type="http://schemas.openxmlformats.org/officeDocument/2006/relationships/hyperlink" Target="https://en.unesco.org/artificial-intelligence/observatory/policies?country=HT;%20https://www.unesco.org/ethics-ai/en/global-hub" TargetMode="External"/><Relationship Id="rId1154" Type="http://schemas.openxmlformats.org/officeDocument/2006/relationships/hyperlink" Target="https://unctad.org/page/data-protection-and-privacy-legislation-worldwide" TargetMode="External"/><Relationship Id="rId1361" Type="http://schemas.openxmlformats.org/officeDocument/2006/relationships/hyperlink" Target="https://en.unesco.org/artificial-intelligence/observatory/policies?country=PL;%20https://www.unesco.org/ethics-ai/en/global-hub" TargetMode="External"/><Relationship Id="rId1459" Type="http://schemas.openxmlformats.org/officeDocument/2006/relationships/hyperlink" Target="https://www.unicef.org/saint-lucia/" TargetMode="External"/><Relationship Id="rId98" Type="http://schemas.openxmlformats.org/officeDocument/2006/relationships/hyperlink" Target="https://ilga.org/ilga-world-maps/" TargetMode="External"/><Relationship Id="rId829" Type="http://schemas.openxmlformats.org/officeDocument/2006/relationships/hyperlink" Target="https://www.unicef.org/israel/" TargetMode="External"/><Relationship Id="rId1014" Type="http://schemas.openxmlformats.org/officeDocument/2006/relationships/hyperlink" Target="https://unctad.org/page/data-protection-and-privacy-legislation-worldwide" TargetMode="External"/><Relationship Id="rId1221" Type="http://schemas.openxmlformats.org/officeDocument/2006/relationships/hyperlink" Target="https://en.unesco.org/artificial-intelligence/observatory/policies?country=NZ;%20https://www.unesco.org/ethics-ai/en/global-hub" TargetMode="External"/><Relationship Id="rId1666" Type="http://schemas.openxmlformats.org/officeDocument/2006/relationships/hyperlink" Target="https://unctad.org/page/data-protection-and-privacy-legislation-worldwide" TargetMode="External"/><Relationship Id="rId1873" Type="http://schemas.openxmlformats.org/officeDocument/2006/relationships/hyperlink" Target="https://www.unicef.org/uzbekistan/" TargetMode="External"/><Relationship Id="rId1319" Type="http://schemas.openxmlformats.org/officeDocument/2006/relationships/hyperlink" Target="https://www.unicef.org/panama/" TargetMode="External"/><Relationship Id="rId1526" Type="http://schemas.openxmlformats.org/officeDocument/2006/relationships/hyperlink" Target="https://unctad.org/page/data-protection-and-privacy-legislation-worldwide" TargetMode="External"/><Relationship Id="rId1733" Type="http://schemas.openxmlformats.org/officeDocument/2006/relationships/hyperlink" Target="https://www.unicef.org/timor-leste/" TargetMode="External"/><Relationship Id="rId1940" Type="http://schemas.openxmlformats.org/officeDocument/2006/relationships/hyperlink" Target="https://www.gsma.com/solutions-and-impact/connectivity-for-good/public-policy/mobile-policy-handbook/consumer-protection/mandatory-registration-of-prepaid-sims/" TargetMode="External"/><Relationship Id="rId25" Type="http://schemas.openxmlformats.org/officeDocument/2006/relationships/hyperlink" Target="https://www.dlapiperdataprotection.com/index.html?t=law&amp;c=DZ" TargetMode="External"/><Relationship Id="rId1800" Type="http://schemas.openxmlformats.org/officeDocument/2006/relationships/hyperlink" Target="https://www.gsma.com/solutions-and-impact/connectivity-for-good/public-policy/mobile-policy-handbook/consumer-protection/mandatory-registration-of-prepaid-sims/" TargetMode="External"/><Relationship Id="rId174" Type="http://schemas.openxmlformats.org/officeDocument/2006/relationships/hyperlink" Target="https://unctad.org/page/data-protection-and-privacy-legislation-worldwide" TargetMode="External"/><Relationship Id="rId381" Type="http://schemas.openxmlformats.org/officeDocument/2006/relationships/hyperlink" Target="https://www.unesco.org/ethics-ai/en/global-hub" TargetMode="External"/><Relationship Id="rId241" Type="http://schemas.openxmlformats.org/officeDocument/2006/relationships/hyperlink" Target="https://en.unesco.org/artificial-intelligence/observatory/policies?country=BN;%20https://www.unesco.org/ethics-ai/en/global-hub" TargetMode="External"/><Relationship Id="rId479" Type="http://schemas.openxmlformats.org/officeDocument/2006/relationships/hyperlink" Target="https://www.unicef.org/denmark/" TargetMode="External"/><Relationship Id="rId686" Type="http://schemas.openxmlformats.org/officeDocument/2006/relationships/hyperlink" Target="https://unctad.org/page/data-protection-and-privacy-legislation-worldwide" TargetMode="External"/><Relationship Id="rId893" Type="http://schemas.openxmlformats.org/officeDocument/2006/relationships/hyperlink" Target="https://www.unicef.org/kiribati/" TargetMode="External"/><Relationship Id="rId339" Type="http://schemas.openxmlformats.org/officeDocument/2006/relationships/hyperlink" Target="https://www.unicef.org/chad/" TargetMode="External"/><Relationship Id="rId546" Type="http://schemas.openxmlformats.org/officeDocument/2006/relationships/hyperlink" Target="https://unctad.org/page/data-protection-and-privacy-legislation-worldwide" TargetMode="External"/><Relationship Id="rId753" Type="http://schemas.openxmlformats.org/officeDocument/2006/relationships/hyperlink" Target="https://unctad.org/page/data-protection-and-privacy-legislation-worldwide;%20https:/www.unicef.org/hungary/" TargetMode="External"/><Relationship Id="rId1176" Type="http://schemas.openxmlformats.org/officeDocument/2006/relationships/hyperlink" Target="https://unctad.org/page/data-protection-and-privacy-legislation-worldwide" TargetMode="External"/><Relationship Id="rId1383" Type="http://schemas.openxmlformats.org/officeDocument/2006/relationships/hyperlink" Target="https://www.unicef.org/qatar/" TargetMode="External"/><Relationship Id="rId101" Type="http://schemas.openxmlformats.org/officeDocument/2006/relationships/hyperlink" Target="https://en.unesco.org/artificial-intelligence/observatory/policies?country=AZ;%20https://www.unesco.org/ethics-ai/en/global-hub" TargetMode="External"/><Relationship Id="rId406" Type="http://schemas.openxmlformats.org/officeDocument/2006/relationships/hyperlink" Target="https://gdpr-info.eu/art-35-gdpr/" TargetMode="External"/><Relationship Id="rId960" Type="http://schemas.openxmlformats.org/officeDocument/2006/relationships/hyperlink" Target="https://www.gsma.com/solutions-and-impact/connectivity-for-good/public-policy/mobile-policy-handbook/consumer-protection/mandatory-registration-of-prepaid-sims/" TargetMode="External"/><Relationship Id="rId1036" Type="http://schemas.openxmlformats.org/officeDocument/2006/relationships/hyperlink" Target="https://unctad.org/page/data-protection-and-privacy-legislation-worldwide" TargetMode="External"/><Relationship Id="rId1243" Type="http://schemas.openxmlformats.org/officeDocument/2006/relationships/hyperlink" Target="https://www.unicef.org/niger/" TargetMode="External"/><Relationship Id="rId1590" Type="http://schemas.openxmlformats.org/officeDocument/2006/relationships/hyperlink" Target="https://www.gsma.com/solutions-and-impact/connectivity-for-good/public-policy/mobile-policy-handbook/consumer-protection/mandatory-registration-of-prepaid-sims/" TargetMode="External"/><Relationship Id="rId1688" Type="http://schemas.openxmlformats.org/officeDocument/2006/relationships/hyperlink" Target="https://ilga.org/ilga-world-maps/" TargetMode="External"/><Relationship Id="rId1895" Type="http://schemas.openxmlformats.org/officeDocument/2006/relationships/hyperlink" Target="https://unctad.org/page/data-protection-and-privacy-legislation-worldwide" TargetMode="External"/><Relationship Id="rId613" Type="http://schemas.openxmlformats.org/officeDocument/2006/relationships/hyperlink" Target="https://unctad.org/page/data-protection-and-privacy-legislation-worldwide;%20https:/www.unicef.org/france/" TargetMode="External"/><Relationship Id="rId82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918" Type="http://schemas.openxmlformats.org/officeDocument/2006/relationships/hyperlink" Target="https://ilga.org/ilga-world-maps/" TargetMode="External"/><Relationship Id="rId1450" Type="http://schemas.openxmlformats.org/officeDocument/2006/relationships/hyperlink" Target="https://www.gsma.com/solutions-and-impact/connectivity-for-good/public-policy/mobile-policy-handbook/consumer-protection/mandatory-registration-of-prepaid-sims/" TargetMode="External"/><Relationship Id="rId1548" Type="http://schemas.openxmlformats.org/officeDocument/2006/relationships/hyperlink" Target="https://ilga.org/ilga-world-maps/" TargetMode="External"/><Relationship Id="rId1755" Type="http://schemas.openxmlformats.org/officeDocument/2006/relationships/hyperlink" Target="https://unctad.org/page/data-protection-and-privacy-legislation-worldwide" TargetMode="External"/><Relationship Id="rId1103" Type="http://schemas.openxmlformats.org/officeDocument/2006/relationships/hyperlink" Target="https://unctad.org/page/data-protection-and-privacy-legislation-worldwide;%20https:/www.unicef.org/mexico/" TargetMode="External"/><Relationship Id="rId1310" Type="http://schemas.openxmlformats.org/officeDocument/2006/relationships/hyperlink" Target="https://www.gsma.com/solutions-and-impact/connectivity-for-good/public-policy/mobile-policy-handbook/consumer-protection/mandatory-registration-of-prepaid-sims/" TargetMode="External"/><Relationship Id="rId1408" Type="http://schemas.openxmlformats.org/officeDocument/2006/relationships/hyperlink" Target="https://ilga.org/ilga-world-maps/" TargetMode="External"/><Relationship Id="rId47" Type="http://schemas.openxmlformats.org/officeDocument/2006/relationships/hyperlink" Target="https://www.humandignitytrust.org/country-profile/angola/;%20https:/ilga.org/ilga-world-maps/" TargetMode="External"/><Relationship Id="rId1615" Type="http://schemas.openxmlformats.org/officeDocument/2006/relationships/hyperlink" Target="https://unctad.org/page/data-protection-and-privacy-legislation-worldwide" TargetMode="External"/><Relationship Id="rId1822" Type="http://schemas.openxmlformats.org/officeDocument/2006/relationships/hyperlink" Target="https://unctad.org/page/data-protection-and-privacy-legislation-worldwide" TargetMode="External"/><Relationship Id="rId196" Type="http://schemas.openxmlformats.org/officeDocument/2006/relationships/hyperlink" Target="https://unctad.org/page/data-protection-and-privacy-legislation-worldwide" TargetMode="External"/><Relationship Id="rId263" Type="http://schemas.openxmlformats.org/officeDocument/2006/relationships/hyperlink" Target="https://unctad.org/page/data-protection-and-privacy-legislation-worldwide;%20https:/www.unicef.org/burkina-faso/" TargetMode="External"/><Relationship Id="rId47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23" Type="http://schemas.openxmlformats.org/officeDocument/2006/relationships/hyperlink" Target="https://unctad.org/page/data-protection-and-privacy-legislation-worldwide;%20https:/www.unicef.org/bahrain/" TargetMode="External"/><Relationship Id="rId33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568" Type="http://schemas.openxmlformats.org/officeDocument/2006/relationships/hyperlink" Target="https://ilga.org/ilga-world-maps/" TargetMode="External"/><Relationship Id="rId775" Type="http://schemas.openxmlformats.org/officeDocument/2006/relationships/hyperlink" Target="https://unctad.org/page/data-protection-and-privacy-legislation-worldwide" TargetMode="External"/><Relationship Id="rId982" Type="http://schemas.openxmlformats.org/officeDocument/2006/relationships/hyperlink" Target="https://unctad.org/page/data-protection-and-privacy-legislation-worldwide" TargetMode="External"/><Relationship Id="rId1198" Type="http://schemas.openxmlformats.org/officeDocument/2006/relationships/hyperlink" Target="https://ilga.org/ilga-world-maps/" TargetMode="External"/><Relationship Id="rId428" Type="http://schemas.openxmlformats.org/officeDocument/2006/relationships/hyperlink" Target="https://ilga.org/ilga-world-maps/" TargetMode="External"/><Relationship Id="rId635" Type="http://schemas.openxmlformats.org/officeDocument/2006/relationships/hyperlink" Target="https://unctad.org/page/data-protection-and-privacy-legislation-worldwide" TargetMode="External"/><Relationship Id="rId842" Type="http://schemas.openxmlformats.org/officeDocument/2006/relationships/hyperlink" Target="https://unctad.org/page/data-protection-and-privacy-legislation-worldwide" TargetMode="External"/><Relationship Id="rId1058" Type="http://schemas.openxmlformats.org/officeDocument/2006/relationships/hyperlink" Target="https://ilga.org/ilga-world-maps/" TargetMode="External"/><Relationship Id="rId1265" Type="http://schemas.openxmlformats.org/officeDocument/2006/relationships/hyperlink" Target="https://unctad.org/page/data-protection-and-privacy-legislation-worldwide" TargetMode="External"/><Relationship Id="rId1472" Type="http://schemas.openxmlformats.org/officeDocument/2006/relationships/hyperlink" Target="https://unctad.org/page/data-protection-and-privacy-legislation-worldwide" TargetMode="External"/><Relationship Id="rId702" Type="http://schemas.openxmlformats.org/officeDocument/2006/relationships/hyperlink" Target="https://unctad.org/page/data-protection-and-privacy-legislation-worldwide" TargetMode="External"/><Relationship Id="rId1125" Type="http://schemas.openxmlformats.org/officeDocument/2006/relationships/hyperlink" Target="https://unctad.org/page/data-protection-and-privacy-legislation-worldwide" TargetMode="External"/><Relationship Id="rId1332" Type="http://schemas.openxmlformats.org/officeDocument/2006/relationships/hyperlink" Target="https://unctad.org/page/data-protection-and-privacy-legislation-worldwide" TargetMode="External"/><Relationship Id="rId1777" Type="http://schemas.openxmlformats.org/officeDocument/2006/relationships/hyperlink" Target="https://www.humandignitytrust.org/country-profile/tunisia/;%20https:/ilga.org/ilga-world-maps/" TargetMode="External"/><Relationship Id="rId69" Type="http://schemas.openxmlformats.org/officeDocument/2006/relationships/hyperlink" Target="https://www.unicef.org/argentina/" TargetMode="External"/><Relationship Id="rId1637" Type="http://schemas.openxmlformats.org/officeDocument/2006/relationships/hyperlink" Target="https://www.humandignitytrust.org/country-profile/sri-lanka/;%20https:/ilga.org/ilga-world-maps/" TargetMode="External"/><Relationship Id="rId1844" Type="http://schemas.openxmlformats.org/officeDocument/2006/relationships/hyperlink" Target="https://unctad.org/page/data-protection-and-privacy-legislation-worldwide" TargetMode="External"/><Relationship Id="rId1704" Type="http://schemas.openxmlformats.org/officeDocument/2006/relationships/hyperlink" Target="https://unctad.org/page/data-protection-and-privacy-legislation-worldwide" TargetMode="External"/><Relationship Id="rId285" Type="http://schemas.openxmlformats.org/officeDocument/2006/relationships/hyperlink" Target="https://unctad.org/page/data-protection-and-privacy-legislation-worldwide" TargetMode="External"/><Relationship Id="rId1911" Type="http://schemas.openxmlformats.org/officeDocument/2006/relationships/hyperlink" Target="https://en.unesco.org/artificial-intelligence/observatory/policies?country=YE;%20https://www.unesco.org/ethics-ai/en/global-hub" TargetMode="External"/><Relationship Id="rId492" Type="http://schemas.openxmlformats.org/officeDocument/2006/relationships/hyperlink" Target="https://unctad.org/page/data-protection-and-privacy-legislation-worldwide" TargetMode="External"/><Relationship Id="rId797" Type="http://schemas.openxmlformats.org/officeDocument/2006/relationships/hyperlink" Target="https://www.humandignitytrust.org/country-profile/iran-islamic-republic-of/;%20https:/ilga.org/ilga-world-maps/" TargetMode="External"/><Relationship Id="rId145" Type="http://schemas.openxmlformats.org/officeDocument/2006/relationships/hyperlink" Target="https://unctad.org/page/data-protection-and-privacy-legislation-worldwide" TargetMode="External"/><Relationship Id="rId352" Type="http://schemas.openxmlformats.org/officeDocument/2006/relationships/hyperlink" Target="https://unctad.org/page/data-protection-and-privacy-legislation-worldwide" TargetMode="External"/><Relationship Id="rId1287" Type="http://schemas.openxmlformats.org/officeDocument/2006/relationships/hyperlink" Target="https://www.humandignitytrust.org/country-profile/oman/;%20https:/ilga.org/ilga-world-maps/" TargetMode="External"/><Relationship Id="rId212" Type="http://schemas.openxmlformats.org/officeDocument/2006/relationships/hyperlink" Target="https://unctad.org/page/data-protection-and-privacy-legislation-worldwide" TargetMode="External"/><Relationship Id="rId657" Type="http://schemas.openxmlformats.org/officeDocument/2006/relationships/hyperlink" Target="https://www.humandignitytrust.org/country-profile/germany/;%20https:/ilga.org/ilga-world-maps/" TargetMode="External"/><Relationship Id="rId864" Type="http://schemas.openxmlformats.org/officeDocument/2006/relationships/hyperlink" Target="https://unctad.org/page/data-protection-and-privacy-legislation-worldwide" TargetMode="External"/><Relationship Id="rId1494" Type="http://schemas.openxmlformats.org/officeDocument/2006/relationships/hyperlink" Target="https://unctad.org/page/data-protection-and-privacy-legislation-worldwide" TargetMode="External"/><Relationship Id="rId1799" Type="http://schemas.openxmlformats.org/officeDocument/2006/relationships/hyperlink" Target="https://www.unicef.org/turkmenistan/" TargetMode="External"/><Relationship Id="rId517" Type="http://schemas.openxmlformats.org/officeDocument/2006/relationships/hyperlink" Target="https://www.humandignitytrust.org/country-profile/ecuador/;%20https:/ilga.org/ilga-world-maps/" TargetMode="External"/><Relationship Id="rId724" Type="http://schemas.openxmlformats.org/officeDocument/2006/relationships/hyperlink" Target="https://unctad.org/page/data-protection-and-privacy-legislation-worldwide" TargetMode="External"/><Relationship Id="rId931" Type="http://schemas.openxmlformats.org/officeDocument/2006/relationships/hyperlink" Target="https://en.unesco.org/artificial-intelligence/observatory/policies?country=LV;%20https://www.unesco.org/ethics-ai/en/global-hub" TargetMode="External"/><Relationship Id="rId1147" Type="http://schemas.openxmlformats.org/officeDocument/2006/relationships/hyperlink" Target="https://www.humandignitytrust.org/country-profile/montenegro/;%20https:/ilga.org/ilga-world-maps/" TargetMode="External"/><Relationship Id="rId1354" Type="http://schemas.openxmlformats.org/officeDocument/2006/relationships/hyperlink" Target="https://unctad.org/page/data-protection-and-privacy-legislation-worldwide" TargetMode="External"/><Relationship Id="rId1561" Type="http://schemas.openxmlformats.org/officeDocument/2006/relationships/hyperlink" Target="https://en.unesco.org/artificial-intelligence/observatory/policies?country=SK;%20https://www.unesco.org/ethics-ai/en/global-hub" TargetMode="External"/><Relationship Id="rId6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007" Type="http://schemas.openxmlformats.org/officeDocument/2006/relationships/hyperlink" Target="https://www.humandignitytrust.org/country-profile/luxembourg/;%20https:/ilga.org/ilga-world-maps/" TargetMode="External"/><Relationship Id="rId1214" Type="http://schemas.openxmlformats.org/officeDocument/2006/relationships/hyperlink" Target="https://unctad.org/page/data-protection-and-privacy-legislation-worldwide" TargetMode="External"/><Relationship Id="rId1421" Type="http://schemas.openxmlformats.org/officeDocument/2006/relationships/hyperlink" Target="https://en.unesco.org/artificial-intelligence/observatory/policies?country=RU;%20https://www.unesco.org/ethics-ai/en/global-hub" TargetMode="External"/><Relationship Id="rId1659" Type="http://schemas.openxmlformats.org/officeDocument/2006/relationships/hyperlink" Target="https://www.unicef.org/sudan/" TargetMode="External"/><Relationship Id="rId1866" Type="http://schemas.openxmlformats.org/officeDocument/2006/relationships/hyperlink" Target="https://unctad.org/page/data-protection-and-privacy-legislation-worldwide" TargetMode="External"/><Relationship Id="rId1519" Type="http://schemas.openxmlformats.org/officeDocument/2006/relationships/hyperlink" Target="https://www.unicef.org/senegal/" TargetMode="External"/><Relationship Id="rId1726" Type="http://schemas.openxmlformats.org/officeDocument/2006/relationships/hyperlink" Target="https://unctad.org/page/data-protection-and-privacy-legislation-worldwide" TargetMode="External"/><Relationship Id="rId1933" Type="http://schemas.openxmlformats.org/officeDocument/2006/relationships/hyperlink" Target="https://www.unicef.org/zimbabwe/" TargetMode="External"/><Relationship Id="rId18" Type="http://schemas.openxmlformats.org/officeDocument/2006/relationships/hyperlink" Target="https://www.ilga-europe.org/resources/news/latest-news/albania-new-anti-discrimination-law" TargetMode="External"/><Relationship Id="rId167" Type="http://schemas.openxmlformats.org/officeDocument/2006/relationships/hyperlink" Target="https://www.humandignitytrust.org/country-profile/belgium/;%20https:/ilga.org/ilga-world-maps/" TargetMode="External"/><Relationship Id="rId374" Type="http://schemas.openxmlformats.org/officeDocument/2006/relationships/hyperlink" Target="https://unctad.org/page/data-protection-and-privacy-legislation-worldwide" TargetMode="External"/><Relationship Id="rId581" Type="http://schemas.openxmlformats.org/officeDocument/2006/relationships/hyperlink" Target="https://en.unesco.org/artificial-intelligence/observatory/policies?country=ET;%20https://www.unesco.org/ethics-ai/en/global-hub" TargetMode="External"/><Relationship Id="rId234" Type="http://schemas.openxmlformats.org/officeDocument/2006/relationships/hyperlink" Target="https://unctad.org/page/data-protection-and-privacy-legislation-worldwide" TargetMode="External"/><Relationship Id="rId679" Type="http://schemas.openxmlformats.org/officeDocument/2006/relationships/hyperlink" Target="https://www.unicef.org/greece/" TargetMode="External"/><Relationship Id="rId886" Type="http://schemas.openxmlformats.org/officeDocument/2006/relationships/hyperlink" Target="https://unctad.org/page/data-protection-and-privacy-legislation-worldwide" TargetMode="External"/><Relationship Id="rId2" Type="http://schemas.openxmlformats.org/officeDocument/2006/relationships/hyperlink" Target="https://unctad.org/page/data-protection-and-privacy-legislation-worldwide;%20https:/www.refworld.org/legal/legislation/natleglaws/2017/afg-2017-01.html" TargetMode="External"/><Relationship Id="rId441" Type="http://schemas.openxmlformats.org/officeDocument/2006/relationships/hyperlink" Target="https://www.unesco.org/ethics-ai/en/global-hub" TargetMode="External"/><Relationship Id="rId539" Type="http://schemas.openxmlformats.org/officeDocument/2006/relationships/hyperlink" Target="https://www.unicef.org/el-salvador/" TargetMode="External"/><Relationship Id="rId746" Type="http://schemas.openxmlformats.org/officeDocument/2006/relationships/hyperlink" Target="https://unctad.org/page/data-protection-and-privacy-legislation-worldwide" TargetMode="External"/><Relationship Id="rId1071" Type="http://schemas.openxmlformats.org/officeDocument/2006/relationships/hyperlink" Target="https://en.unesco.org/artificial-intelligence/observatory/policies?country=MH;%20https://www.unesco.org/ethics-ai/en/global-hub" TargetMode="External"/><Relationship Id="rId1169" Type="http://schemas.openxmlformats.org/officeDocument/2006/relationships/hyperlink" Target="https://www.unicef.org/mozambique/" TargetMode="External"/><Relationship Id="rId1376" Type="http://schemas.openxmlformats.org/officeDocument/2006/relationships/hyperlink" Target="https://gdpr-info.eu/art-35-gdpr/" TargetMode="External"/><Relationship Id="rId1583" Type="http://schemas.openxmlformats.org/officeDocument/2006/relationships/hyperlink" Target="https://www.unicef.org/solomon-islands/" TargetMode="External"/><Relationship Id="rId301" Type="http://schemas.openxmlformats.org/officeDocument/2006/relationships/hyperlink" Target="https://en.unesco.org/artificial-intelligence/observatory/policies?country=CM;%20https://www.unesco.org/ethics-ai/en/global-hub" TargetMode="External"/><Relationship Id="rId953" Type="http://schemas.openxmlformats.org/officeDocument/2006/relationships/hyperlink" Target="https://unctad.org/page/data-protection-and-privacy-legislation-worldwide;%20https:/www.unicef.org/lesotho/" TargetMode="External"/><Relationship Id="rId1029" Type="http://schemas.openxmlformats.org/officeDocument/2006/relationships/hyperlink" Target="https://www.unicef.org/malawi/" TargetMode="External"/><Relationship Id="rId1236" Type="http://schemas.openxmlformats.org/officeDocument/2006/relationships/hyperlink" Target="https://unctad.org/page/data-protection-and-privacy-legislation-worldwide" TargetMode="External"/><Relationship Id="rId1790" Type="http://schemas.openxmlformats.org/officeDocument/2006/relationships/hyperlink" Target="https://www.gsma.com/solutions-and-impact/connectivity-for-good/public-policy/mobile-policy-handbook/consumer-protection/mandatory-registration-of-prepaid-sims/" TargetMode="External"/><Relationship Id="rId1888" Type="http://schemas.openxmlformats.org/officeDocument/2006/relationships/hyperlink" Target="https://ilga.org/ilga-world-maps/" TargetMode="External"/><Relationship Id="rId82" Type="http://schemas.openxmlformats.org/officeDocument/2006/relationships/hyperlink" Target="https://unctad.org/page/data-protection-and-privacy-legislation-worldwide" TargetMode="External"/><Relationship Id="rId606" Type="http://schemas.openxmlformats.org/officeDocument/2006/relationships/hyperlink" Target="https://gdpr-info.eu/art-35-gdpr/" TargetMode="External"/><Relationship Id="rId813" Type="http://schemas.openxmlformats.org/officeDocument/2006/relationships/hyperlink" Target="https://unctad.org/page/data-protection-and-privacy-legislation-worldwide;%20https:/www.unicef.org/ireland/" TargetMode="External"/><Relationship Id="rId1443" Type="http://schemas.openxmlformats.org/officeDocument/2006/relationships/hyperlink" Target="https://www.unicef.org/saint-kitts-and-nevis/" TargetMode="External"/><Relationship Id="rId1650" Type="http://schemas.openxmlformats.org/officeDocument/2006/relationships/hyperlink" Target="https://www.gsma.com/solutions-and-impact/connectivity-for-good/public-policy/mobile-policy-handbook/consumer-protection/mandatory-registration-of-prepaid-sims/" TargetMode="External"/><Relationship Id="rId1748" Type="http://schemas.openxmlformats.org/officeDocument/2006/relationships/hyperlink" Target="https://ilga.org/ilga-world-maps/" TargetMode="External"/><Relationship Id="rId1303" Type="http://schemas.openxmlformats.org/officeDocument/2006/relationships/hyperlink" Target="https://www.unicef.org/palau/" TargetMode="External"/><Relationship Id="rId1510" Type="http://schemas.openxmlformats.org/officeDocument/2006/relationships/hyperlink" Target="https://www.gsma.com/solutions-and-impact/connectivity-for-good/public-policy/mobile-policy-handbook/consumer-protection/mandatory-registration-of-prepaid-sims/" TargetMode="External"/><Relationship Id="rId1608" Type="http://schemas.openxmlformats.org/officeDocument/2006/relationships/hyperlink" Target="https://ilga.org/ilga-world-maps/" TargetMode="External"/><Relationship Id="rId1815" Type="http://schemas.openxmlformats.org/officeDocument/2006/relationships/hyperlink" Target="https://unctad.org/page/data-protection-and-privacy-legislation-worldwide" TargetMode="External"/><Relationship Id="rId189" Type="http://schemas.openxmlformats.org/officeDocument/2006/relationships/hyperlink" Target="https://www.unicef.org/benin/" TargetMode="External"/><Relationship Id="rId396" Type="http://schemas.openxmlformats.org/officeDocument/2006/relationships/hyperlink" Target="https://unctad.org/page/data-protection-and-privacy-legislation-worldwide" TargetMode="External"/><Relationship Id="rId256" Type="http://schemas.openxmlformats.org/officeDocument/2006/relationships/hyperlink" Target="https://gdpr-info.eu/art-35-gdpr/" TargetMode="External"/><Relationship Id="rId463" Type="http://schemas.openxmlformats.org/officeDocument/2006/relationships/hyperlink" Target="https://unctad.org/page/data-protection-and-privacy-legislation-worldwide;%20https:/www.unicef.org/democratic-republic-of-the-congo/" TargetMode="External"/><Relationship Id="rId67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093" Type="http://schemas.openxmlformats.org/officeDocument/2006/relationships/hyperlink" Target="https://unctad.org/page/data-protection-and-privacy-legislation-worldwide;%20https:/www.unicef.org/mauritius/" TargetMode="External"/><Relationship Id="rId116" Type="http://schemas.openxmlformats.org/officeDocument/2006/relationships/hyperlink" Target="https://unctad.org/page/data-protection-and-privacy-legislation-worldwide" TargetMode="External"/><Relationship Id="rId323" Type="http://schemas.openxmlformats.org/officeDocument/2006/relationships/hyperlink" Target="https://unctad.org/page/data-protection-and-privacy-legislation-worldwide;%20https:/www.unicef.org/central-african-republic/" TargetMode="External"/><Relationship Id="rId530" Type="http://schemas.openxmlformats.org/officeDocument/2006/relationships/hyperlink" Target="https://www.gsma.com/solutions-and-impact/connectivity-for-good/public-policy/mobile-policy-handbook/consumer-protection/mandatory-registration-of-prepaid-sims/" TargetMode="External"/><Relationship Id="rId768" Type="http://schemas.openxmlformats.org/officeDocument/2006/relationships/hyperlink" Target="https://ilga.org/ilga-world-maps/" TargetMode="External"/><Relationship Id="rId975" Type="http://schemas.openxmlformats.org/officeDocument/2006/relationships/hyperlink" Target="https://unctad.org/page/data-protection-and-privacy-legislation-worldwide" TargetMode="External"/><Relationship Id="rId116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398" Type="http://schemas.openxmlformats.org/officeDocument/2006/relationships/hyperlink" Target="https://ilga.org/ilga-world-maps/" TargetMode="External"/><Relationship Id="rId628" Type="http://schemas.openxmlformats.org/officeDocument/2006/relationships/hyperlink" Target="https://ilga.org/ilga-world-maps/" TargetMode="External"/><Relationship Id="rId835" Type="http://schemas.openxmlformats.org/officeDocument/2006/relationships/hyperlink" Target="https://unctad.org/page/data-protection-and-privacy-legislation-worldwide" TargetMode="External"/><Relationship Id="rId1258" Type="http://schemas.openxmlformats.org/officeDocument/2006/relationships/hyperlink" Target="https://ilga.org/ilga-world-maps/" TargetMode="External"/><Relationship Id="rId1465" Type="http://schemas.openxmlformats.org/officeDocument/2006/relationships/hyperlink" Target="https://unctad.org/page/data-protection-and-privacy-legislation-worldwide" TargetMode="External"/><Relationship Id="rId1672" Type="http://schemas.openxmlformats.org/officeDocument/2006/relationships/hyperlink" Target="https://unctad.org/page/data-protection-and-privacy-legislation-worldwide" TargetMode="External"/><Relationship Id="rId1020" Type="http://schemas.openxmlformats.org/officeDocument/2006/relationships/hyperlink" Target="https://www.gsma.com/solutions-and-impact/connectivity-for-good/public-policy/mobile-policy-handbook/consumer-protection/mandatory-registration-of-prepaid-sims/" TargetMode="External"/><Relationship Id="rId1118" Type="http://schemas.openxmlformats.org/officeDocument/2006/relationships/hyperlink" Target="https://ilga.org/ilga-world-maps/" TargetMode="External"/><Relationship Id="rId1325" Type="http://schemas.openxmlformats.org/officeDocument/2006/relationships/hyperlink" Target="https://unctad.org/page/data-protection-and-privacy-legislation-worldwide" TargetMode="External"/><Relationship Id="rId1532" Type="http://schemas.openxmlformats.org/officeDocument/2006/relationships/hyperlink" Target="https://unctad.org/page/data-protection-and-privacy-legislation-worldwide" TargetMode="External"/><Relationship Id="rId902" Type="http://schemas.openxmlformats.org/officeDocument/2006/relationships/hyperlink" Target="https://unctad.org/page/data-protection-and-privacy-legislation-worldwide" TargetMode="External"/><Relationship Id="rId1837" Type="http://schemas.openxmlformats.org/officeDocument/2006/relationships/hyperlink" Target="https://www.humandignitytrust.org/country-profile/united-arab-emirates/;%20https:/ilga.org/ilga-world-maps/" TargetMode="External"/><Relationship Id="rId31" Type="http://schemas.openxmlformats.org/officeDocument/2006/relationships/hyperlink" Target="https://www.govern.ad/comunicats/item/12363-andorra-presenta-la-seva-estrategia-nacional-de-transformacio-digital" TargetMode="External"/><Relationship Id="rId18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278" Type="http://schemas.openxmlformats.org/officeDocument/2006/relationships/hyperlink" Target="https://ilga.org/ilga-world-maps/" TargetMode="External"/><Relationship Id="rId1904" Type="http://schemas.openxmlformats.org/officeDocument/2006/relationships/hyperlink" Target="https://unctad.org/page/data-protection-and-privacy-legislation-worldwide" TargetMode="External"/><Relationship Id="rId485" Type="http://schemas.openxmlformats.org/officeDocument/2006/relationships/hyperlink" Target="https://unctad.org/page/data-protection-and-privacy-legislation-worldwide" TargetMode="External"/><Relationship Id="rId692" Type="http://schemas.openxmlformats.org/officeDocument/2006/relationships/hyperlink" Target="https://unctad.org/page/data-protection-and-privacy-legislation-worldwide" TargetMode="External"/><Relationship Id="rId138" Type="http://schemas.openxmlformats.org/officeDocument/2006/relationships/hyperlink" Target="https://ilga.org/ilga-world-maps/" TargetMode="External"/><Relationship Id="rId345" Type="http://schemas.openxmlformats.org/officeDocument/2006/relationships/hyperlink" Target="https://unctad.org/page/data-protection-and-privacy-legislation-worldwide" TargetMode="External"/><Relationship Id="rId552" Type="http://schemas.openxmlformats.org/officeDocument/2006/relationships/hyperlink" Target="https://unctad.org/page/data-protection-and-privacy-legislation-worldwide" TargetMode="External"/><Relationship Id="rId997" Type="http://schemas.openxmlformats.org/officeDocument/2006/relationships/hyperlink" Target="https://www.humandignitytrust.org/country-profile/lithuania/;%20https:/ilga.org/ilga-world-maps/" TargetMode="External"/><Relationship Id="rId1182" Type="http://schemas.openxmlformats.org/officeDocument/2006/relationships/hyperlink" Target="https://unctad.org/page/data-protection-and-privacy-legislation-worldwide" TargetMode="External"/><Relationship Id="rId205" Type="http://schemas.openxmlformats.org/officeDocument/2006/relationships/hyperlink" Target="https://unctad.org/page/data-protection-and-privacy-legislation-worldwide" TargetMode="External"/><Relationship Id="rId412" Type="http://schemas.openxmlformats.org/officeDocument/2006/relationships/hyperlink" Target="https://unctad.org/page/data-protection-and-privacy-legislation-worldwide" TargetMode="External"/><Relationship Id="rId857" Type="http://schemas.openxmlformats.org/officeDocument/2006/relationships/hyperlink" Target="https://www.humandignitytrust.org/country-profile/japan/;%20https:/ilga.org/ilga-world-maps/" TargetMode="External"/><Relationship Id="rId1042" Type="http://schemas.openxmlformats.org/officeDocument/2006/relationships/hyperlink" Target="https://unctad.org/page/data-protection-and-privacy-legislation-worldwide" TargetMode="External"/><Relationship Id="rId1487" Type="http://schemas.openxmlformats.org/officeDocument/2006/relationships/hyperlink" Target="https://www.humandignitytrust.org/country-profile/san-marino/;%20https:/ilga.org/ilga-world-maps/" TargetMode="External"/><Relationship Id="rId1694" Type="http://schemas.openxmlformats.org/officeDocument/2006/relationships/hyperlink" Target="https://unctad.org/page/data-protection-and-privacy-legislation-worldwide" TargetMode="External"/><Relationship Id="rId717" Type="http://schemas.openxmlformats.org/officeDocument/2006/relationships/hyperlink" Target="https://www.humandignitytrust.org/country-profile/guinea-bissau/;%20https:/ilga.org/ilga-world-maps/" TargetMode="External"/><Relationship Id="rId924" Type="http://schemas.openxmlformats.org/officeDocument/2006/relationships/hyperlink" Target="https://unctad.org/page/data-protection-and-privacy-legislation-worldwide" TargetMode="External"/><Relationship Id="rId1347" Type="http://schemas.openxmlformats.org/officeDocument/2006/relationships/hyperlink" Target="https://www.humandignitytrust.org/country-profile/peru/;%20https:/ilga.org/ilga-world-maps/" TargetMode="External"/><Relationship Id="rId1554" Type="http://schemas.openxmlformats.org/officeDocument/2006/relationships/hyperlink" Target="https://unctad.org/page/data-protection-and-privacy-legislation-worldwide" TargetMode="External"/><Relationship Id="rId1761" Type="http://schemas.openxmlformats.org/officeDocument/2006/relationships/hyperlink" Target="https://en.unesco.org/artificial-intelligence/observatory/policies?country=TT;%20https://www.unesco.org/ethics-ai/en/global-hub" TargetMode="External"/><Relationship Id="rId53" Type="http://schemas.openxmlformats.org/officeDocument/2006/relationships/hyperlink" Target="https://unctad.org/page/data-protection-and-privacy-legislation-worldwide;%20https:/www.unicef.org/antigua-and-barbuda/" TargetMode="External"/><Relationship Id="rId1207" Type="http://schemas.openxmlformats.org/officeDocument/2006/relationships/hyperlink" Target="https://www.humandignitytrust.org/country-profile/nepal/;%20https:/ilga.org/ilga-world-maps/" TargetMode="External"/><Relationship Id="rId1414" Type="http://schemas.openxmlformats.org/officeDocument/2006/relationships/hyperlink" Target="https://unctad.org/page/data-protection-and-privacy-legislation-worldwide" TargetMode="External"/><Relationship Id="rId1621" Type="http://schemas.openxmlformats.org/officeDocument/2006/relationships/hyperlink" Target="https://en.unesco.org/artificial-intelligence/observatory/policies?country=ES;%20https://www.unesco.org/ethics-ai/en/global-hub" TargetMode="External"/><Relationship Id="rId1859" Type="http://schemas.openxmlformats.org/officeDocument/2006/relationships/hyperlink" Target="https://www.unicef.org/united-states-of-america/" TargetMode="External"/><Relationship Id="rId1719" Type="http://schemas.openxmlformats.org/officeDocument/2006/relationships/hyperlink" Target="https://www.unicef.org/tanzania/" TargetMode="External"/><Relationship Id="rId1926" Type="http://schemas.openxmlformats.org/officeDocument/2006/relationships/hyperlink" Target="https://unctad.org/page/data-protection-and-privacy-legislation-worldwide" TargetMode="External"/><Relationship Id="rId367" Type="http://schemas.openxmlformats.org/officeDocument/2006/relationships/hyperlink" Target="https://www.humandignitytrust.org/country-profile/colombia/;%20https:/ilga.org/ilga-world-maps/" TargetMode="External"/><Relationship Id="rId574" Type="http://schemas.openxmlformats.org/officeDocument/2006/relationships/hyperlink" Target="https://unctad.org/page/data-protection-and-privacy-legislation-worldwide" TargetMode="External"/><Relationship Id="rId227" Type="http://schemas.openxmlformats.org/officeDocument/2006/relationships/hyperlink" Target="https://www.humandignitytrust.org/country-profile/botswana/;%20https:/ilga.org/ilga-world-maps/" TargetMode="External"/><Relationship Id="rId781" Type="http://schemas.openxmlformats.org/officeDocument/2006/relationships/hyperlink" Target="https://en.unesco.org/artificial-intelligence/observatory/policies?country=ID;%20https://www.unesco.org/ethics-ai/en/global-hub" TargetMode="External"/><Relationship Id="rId879" Type="http://schemas.openxmlformats.org/officeDocument/2006/relationships/hyperlink" Target="https://www.unicef.org/kazakhstan/" TargetMode="External"/><Relationship Id="rId434" Type="http://schemas.openxmlformats.org/officeDocument/2006/relationships/hyperlink" Target="https://unctad.org/page/data-protection-and-privacy-legislation-worldwide" TargetMode="External"/><Relationship Id="rId641" Type="http://schemas.openxmlformats.org/officeDocument/2006/relationships/hyperlink" Target="https://en.unesco.org/artificial-intelligence/observatory/policies?country=GE;%20https://www.unesco.org/ethics-ai/en/global-hub" TargetMode="External"/><Relationship Id="rId739" Type="http://schemas.openxmlformats.org/officeDocument/2006/relationships/hyperlink" Target="https://www.unicef.org/haiti/" TargetMode="External"/><Relationship Id="rId1064" Type="http://schemas.openxmlformats.org/officeDocument/2006/relationships/hyperlink" Target="https://unctad.org/page/data-protection-and-privacy-legislation-worldwide" TargetMode="External"/><Relationship Id="rId1271" Type="http://schemas.openxmlformats.org/officeDocument/2006/relationships/hyperlink" Target="https://en.unesco.org/artificial-intelligence/observatory/policies?country=NO;%20https://www.unesco.org/ethics-ai/en/global-hub" TargetMode="External"/><Relationship Id="rId1369" Type="http://schemas.openxmlformats.org/officeDocument/2006/relationships/hyperlink" Target="https://www.unicef.org/poland/" TargetMode="External"/><Relationship Id="rId1576" Type="http://schemas.openxmlformats.org/officeDocument/2006/relationships/hyperlink" Target="https://gdpr-info.eu/art-35-gdpr/" TargetMode="External"/><Relationship Id="rId501" Type="http://schemas.openxmlformats.org/officeDocument/2006/relationships/hyperlink" Target="https://en.unesco.org/artificial-intelligence/observatory/policies?country=DO;%20https://www.unesco.org/ethics-ai/en/global-hub" TargetMode="External"/><Relationship Id="rId946" Type="http://schemas.openxmlformats.org/officeDocument/2006/relationships/hyperlink" Target="https://unctad.org/page/data-protection-and-privacy-legislation-worldwide" TargetMode="External"/><Relationship Id="rId1131" Type="http://schemas.openxmlformats.org/officeDocument/2006/relationships/hyperlink" Target="https://en.unesco.org/artificial-intelligence/observatory/policies?country=MN;%20https://www.unesco.org/ethics-ai/en/global-hub" TargetMode="External"/><Relationship Id="rId1229" Type="http://schemas.openxmlformats.org/officeDocument/2006/relationships/hyperlink" Target="https://www.unicef.org/new-zealand/" TargetMode="External"/><Relationship Id="rId1783" Type="http://schemas.openxmlformats.org/officeDocument/2006/relationships/hyperlink" Target="https://unctad.org/page/data-protection-and-privacy-legislation-worldwide;%20https:/www.unicef.org/turkiye/" TargetMode="External"/><Relationship Id="rId75" Type="http://schemas.openxmlformats.org/officeDocument/2006/relationships/hyperlink" Target="https://unctad.org/page/data-protection-and-privacy-legislation-worldwide" TargetMode="External"/><Relationship Id="rId806" Type="http://schemas.openxmlformats.org/officeDocument/2006/relationships/hyperlink" Target="https://unctad.org/page/data-protection-and-privacy-legislation-worldwide" TargetMode="External"/><Relationship Id="rId1436" Type="http://schemas.openxmlformats.org/officeDocument/2006/relationships/hyperlink" Target="https://unctad.org/page/data-protection-and-privacy-legislation-worldwide" TargetMode="External"/><Relationship Id="rId1643" Type="http://schemas.openxmlformats.org/officeDocument/2006/relationships/hyperlink" Target="https://www.unicef.org/state-of-palestine/" TargetMode="External"/><Relationship Id="rId1850" Type="http://schemas.openxmlformats.org/officeDocument/2006/relationships/hyperlink" Target="https://www.gsma.com/solutions-and-impact/connectivity-for-good/public-policy/mobile-policy-handbook/consumer-protection/mandatory-registration-of-prepaid-sims/" TargetMode="External"/><Relationship Id="rId1503" Type="http://schemas.openxmlformats.org/officeDocument/2006/relationships/hyperlink" Target="https://www.unicef.org/saudi-arabia/" TargetMode="External"/><Relationship Id="rId171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291" Type="http://schemas.openxmlformats.org/officeDocument/2006/relationships/hyperlink" Target="https://en.unesco.org/artificial-intelligence/observatory/policies?country=KH;%20https://www.unesco.org/ethics-ai/en/global-hub" TargetMode="External"/><Relationship Id="rId1808" Type="http://schemas.openxmlformats.org/officeDocument/2006/relationships/hyperlink" Target="https://ilga.org/ilga-world-maps/" TargetMode="External"/><Relationship Id="rId151" Type="http://schemas.openxmlformats.org/officeDocument/2006/relationships/hyperlink" Target="https://en.unesco.org/artificial-intelligence/observatory/policies?country=BY;%20https://www.unesco.org/ethics-ai/en/global-hub" TargetMode="External"/><Relationship Id="rId389" Type="http://schemas.openxmlformats.org/officeDocument/2006/relationships/hyperlink" Target="https://www.unicef.org/congo-republic-of-the/" TargetMode="External"/><Relationship Id="rId596" Type="http://schemas.openxmlformats.org/officeDocument/2006/relationships/hyperlink" Target="https://unctad.org/page/data-protection-and-privacy-legislation-worldwide" TargetMode="External"/><Relationship Id="rId249" Type="http://schemas.openxmlformats.org/officeDocument/2006/relationships/hyperlink" Target="https://www.unicef.org/brunei-darussalam/" TargetMode="External"/><Relationship Id="rId456" Type="http://schemas.openxmlformats.org/officeDocument/2006/relationships/hyperlink" Target="https://unctad.org/page/data-protection-and-privacy-legislation-worldwide" TargetMode="External"/><Relationship Id="rId663" Type="http://schemas.openxmlformats.org/officeDocument/2006/relationships/hyperlink" Target="https://unctad.org/page/data-protection-and-privacy-legislation-worldwide;%20https:/www.unicef.org/ghana/" TargetMode="External"/><Relationship Id="rId870" Type="http://schemas.openxmlformats.org/officeDocument/2006/relationships/hyperlink" Target="https://www.gsma.com/solutions-and-impact/connectivity-for-good/public-policy/mobile-policy-handbook/consumer-protection/mandatory-registration-of-prepaid-sims/" TargetMode="External"/><Relationship Id="rId1086" Type="http://schemas.openxmlformats.org/officeDocument/2006/relationships/hyperlink" Target="https://unctad.org/page/data-protection-and-privacy-legislation-worldwide" TargetMode="External"/><Relationship Id="rId1293" Type="http://schemas.openxmlformats.org/officeDocument/2006/relationships/hyperlink" Target="https://www.unicef.org/pakistan/" TargetMode="External"/><Relationship Id="rId109" Type="http://schemas.openxmlformats.org/officeDocument/2006/relationships/hyperlink" Target="https://www.unicef.org/azerbaijan/" TargetMode="External"/><Relationship Id="rId316" Type="http://schemas.openxmlformats.org/officeDocument/2006/relationships/hyperlink" Target="https://unctad.org/page/data-protection-and-privacy-legislation-worldwide" TargetMode="External"/><Relationship Id="rId523" Type="http://schemas.openxmlformats.org/officeDocument/2006/relationships/hyperlink" Target="https://unctad.org/page/data-protection-and-privacy-legislation-worldwide;%20https:/www.unicef.org/egypt/" TargetMode="External"/><Relationship Id="rId968" Type="http://schemas.openxmlformats.org/officeDocument/2006/relationships/hyperlink" Target="https://ilga.org/ilga-world-maps/" TargetMode="External"/><Relationship Id="rId1153" Type="http://schemas.openxmlformats.org/officeDocument/2006/relationships/hyperlink" Target="https://www.unicef.org/morocco/" TargetMode="External"/><Relationship Id="rId1598" Type="http://schemas.openxmlformats.org/officeDocument/2006/relationships/hyperlink" Target="https://ilga.org/ilga-world-maps/" TargetMode="External"/><Relationship Id="rId97" Type="http://schemas.openxmlformats.org/officeDocument/2006/relationships/hyperlink" Target="https://www.humandignitytrust.org/country-profile/austria/;%20https:/ilga.org/ilga-world-maps/" TargetMode="External"/><Relationship Id="rId730" Type="http://schemas.openxmlformats.org/officeDocument/2006/relationships/hyperlink" Target="https://www.gsma.com/solutions-and-impact/connectivity-for-good/public-policy/mobile-policy-handbook/consumer-protection/mandatory-registration-of-prepaid-sims/" TargetMode="External"/><Relationship Id="rId828" Type="http://schemas.openxmlformats.org/officeDocument/2006/relationships/hyperlink" Target="https://ilga.org/ilga-world-maps/" TargetMode="External"/><Relationship Id="rId1013" Type="http://schemas.openxmlformats.org/officeDocument/2006/relationships/hyperlink" Target="https://www.unicef.org/madagascar/" TargetMode="External"/><Relationship Id="rId1360" Type="http://schemas.openxmlformats.org/officeDocument/2006/relationships/hyperlink" Target="https://www.gsma.com/solutions-and-impact/connectivity-for-good/public-policy/mobile-policy-handbook/consumer-protection/mandatory-registration-of-prepaid-sims/" TargetMode="External"/><Relationship Id="rId1458" Type="http://schemas.openxmlformats.org/officeDocument/2006/relationships/hyperlink" Target="https://ilga.org/ilga-world-maps/" TargetMode="External"/><Relationship Id="rId1665" Type="http://schemas.openxmlformats.org/officeDocument/2006/relationships/hyperlink" Target="https://unctad.org/page/data-protection-and-privacy-legislation-worldwide" TargetMode="External"/><Relationship Id="rId1872" Type="http://schemas.openxmlformats.org/officeDocument/2006/relationships/hyperlink" Target="https://unctad.org/page/data-protection-and-privacy-legislation-worldwide" TargetMode="External"/><Relationship Id="rId1220" Type="http://schemas.openxmlformats.org/officeDocument/2006/relationships/hyperlink" Target="https://www.gsma.com/solutions-and-impact/connectivity-for-good/public-policy/mobile-policy-handbook/consumer-protection/mandatory-registration-of-prepaid-sims/" TargetMode="External"/><Relationship Id="rId1318" Type="http://schemas.openxmlformats.org/officeDocument/2006/relationships/hyperlink" Target="https://ilga.org/ilga-world-maps/" TargetMode="External"/><Relationship Id="rId1525" Type="http://schemas.openxmlformats.org/officeDocument/2006/relationships/hyperlink" Target="https://unctad.org/page/data-protection-and-privacy-legislation-worldwide" TargetMode="External"/><Relationship Id="rId1732" Type="http://schemas.openxmlformats.org/officeDocument/2006/relationships/hyperlink" Target="https://unctad.org/page/data-protection-and-privacy-legislation-worldwide" TargetMode="External"/><Relationship Id="rId24" Type="http://schemas.openxmlformats.org/officeDocument/2006/relationships/hyperlink" Target="https://www.cnil.fr/en/data-protection-around-the-world" TargetMode="External"/><Relationship Id="rId173" Type="http://schemas.openxmlformats.org/officeDocument/2006/relationships/hyperlink" Target="https://unctad.org/page/data-protection-and-privacy-legislation-worldwide;%20https:/www.unicef.org/belize/" TargetMode="External"/><Relationship Id="rId38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24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478" Type="http://schemas.openxmlformats.org/officeDocument/2006/relationships/hyperlink" Target="https://ilga.org/ilga-world-maps/" TargetMode="External"/><Relationship Id="rId685" Type="http://schemas.openxmlformats.org/officeDocument/2006/relationships/hyperlink" Target="https://unctad.org/page/data-protection-and-privacy-legislation-worldwide" TargetMode="External"/><Relationship Id="rId892" Type="http://schemas.openxmlformats.org/officeDocument/2006/relationships/hyperlink" Target="https://unctad.org/page/data-protection-and-privacy-legislation-worldwide" TargetMode="External"/><Relationship Id="rId10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338" Type="http://schemas.openxmlformats.org/officeDocument/2006/relationships/hyperlink" Target="https://ilga.org/ilga-world-maps/" TargetMode="External"/><Relationship Id="rId545" Type="http://schemas.openxmlformats.org/officeDocument/2006/relationships/hyperlink" Target="https://unctad.org/page/data-protection-and-privacy-legislation-worldwide" TargetMode="External"/><Relationship Id="rId752" Type="http://schemas.openxmlformats.org/officeDocument/2006/relationships/hyperlink" Target="https://unctad.org/page/data-protection-and-privacy-legislation-worldwide" TargetMode="External"/><Relationship Id="rId1175" Type="http://schemas.openxmlformats.org/officeDocument/2006/relationships/hyperlink" Target="https://unctad.org/page/data-protection-and-privacy-legislation-worldwide" TargetMode="External"/><Relationship Id="rId1382" Type="http://schemas.openxmlformats.org/officeDocument/2006/relationships/hyperlink" Target="https://unctad.org/page/data-protection-and-privacy-legislation-worldwide" TargetMode="External"/><Relationship Id="rId405" Type="http://schemas.openxmlformats.org/officeDocument/2006/relationships/hyperlink" Target="https://unctad.org/page/data-protection-and-privacy-legislation-worldwide" TargetMode="External"/><Relationship Id="rId612" Type="http://schemas.openxmlformats.org/officeDocument/2006/relationships/hyperlink" Target="https://unctad.org/page/data-protection-and-privacy-legislation-worldwide" TargetMode="External"/><Relationship Id="rId1035" Type="http://schemas.openxmlformats.org/officeDocument/2006/relationships/hyperlink" Target="https://unctad.org/page/data-protection-and-privacy-legislation-worldwide" TargetMode="External"/><Relationship Id="rId1242" Type="http://schemas.openxmlformats.org/officeDocument/2006/relationships/hyperlink" Target="https://unctad.org/page/data-protection-and-privacy-legislation-worldwide" TargetMode="External"/><Relationship Id="rId1687" Type="http://schemas.openxmlformats.org/officeDocument/2006/relationships/hyperlink" Target="https://www.humandignitytrust.org/country-profile/switzerland/;%20https:/ilga.org/ilga-world-maps/" TargetMode="External"/><Relationship Id="rId1894" Type="http://schemas.openxmlformats.org/officeDocument/2006/relationships/hyperlink" Target="https://unctad.org/page/data-protection-and-privacy-legislation-worldwide" TargetMode="External"/><Relationship Id="rId917" Type="http://schemas.openxmlformats.org/officeDocument/2006/relationships/hyperlink" Target="https://www.humandignitytrust.org/country-profile/kyrgyzstan/;%20https:/ilga.org/ilga-world-maps/" TargetMode="External"/><Relationship Id="rId1102" Type="http://schemas.openxmlformats.org/officeDocument/2006/relationships/hyperlink" Target="https://unctad.org/page/data-protection-and-privacy-legislation-worldwide" TargetMode="External"/><Relationship Id="rId1547" Type="http://schemas.openxmlformats.org/officeDocument/2006/relationships/hyperlink" Target="https://www.humandignitytrust.org/country-profile/sierra-leone/;%20https:/ilga.org/ilga-world-maps/" TargetMode="External"/><Relationship Id="rId1754" Type="http://schemas.openxmlformats.org/officeDocument/2006/relationships/hyperlink" Target="https://unctad.org/page/data-protection-and-privacy-legislation-worldwide" TargetMode="External"/><Relationship Id="rId46" Type="http://schemas.openxmlformats.org/officeDocument/2006/relationships/hyperlink" Target="https://unctad.org/page/data-protection-and-privacy-legislation-worldwide" TargetMode="External"/><Relationship Id="rId1407" Type="http://schemas.openxmlformats.org/officeDocument/2006/relationships/hyperlink" Target="https://www.humandignitytrust.org/country-profile/republic-of-moldova/;%20https:/ilga.org/ilga-world-maps/" TargetMode="External"/><Relationship Id="rId1614" Type="http://schemas.openxmlformats.org/officeDocument/2006/relationships/hyperlink" Target="https://unctad.org/page/data-protection-and-privacy-legislation-worldwide" TargetMode="External"/><Relationship Id="rId1821" Type="http://schemas.openxmlformats.org/officeDocument/2006/relationships/hyperlink" Target="https://en.unesco.org/artificial-intelligence/observatory/policies?country=UA;%20https://www.unesco.org/ethics-ai/en/global-hub" TargetMode="External"/><Relationship Id="rId195" Type="http://schemas.openxmlformats.org/officeDocument/2006/relationships/hyperlink" Target="https://unctad.org/page/data-protection-and-privacy-legislation-worldwide" TargetMode="External"/><Relationship Id="rId1919" Type="http://schemas.openxmlformats.org/officeDocument/2006/relationships/hyperlink" Target="https://www.unicef.org/yemen/" TargetMode="External"/><Relationship Id="rId262" Type="http://schemas.openxmlformats.org/officeDocument/2006/relationships/hyperlink" Target="https://unctad.org/page/data-protection-and-privacy-legislation-worldwide" TargetMode="External"/><Relationship Id="rId567" Type="http://schemas.openxmlformats.org/officeDocument/2006/relationships/hyperlink" Target="https://www.humandignitytrust.org/country-profile/estonia/;%20https:/ilga.org/ilga-world-maps/" TargetMode="External"/><Relationship Id="rId1197" Type="http://schemas.openxmlformats.org/officeDocument/2006/relationships/hyperlink" Target="https://www.humandignitytrust.org/country-profile/nauru/;%20https:/ilga.org/ilga-world-maps/" TargetMode="External"/><Relationship Id="rId122" Type="http://schemas.openxmlformats.org/officeDocument/2006/relationships/hyperlink" Target="https://unctad.org/page/data-protection-and-privacy-legislation-worldwide" TargetMode="External"/><Relationship Id="rId774" Type="http://schemas.openxmlformats.org/officeDocument/2006/relationships/hyperlink" Target="https://unctad.org/page/data-protection-and-privacy-legislation-worldwide" TargetMode="External"/><Relationship Id="rId981" Type="http://schemas.openxmlformats.org/officeDocument/2006/relationships/hyperlink" Target="https://en.unesco.org/artificial-intelligence/observatory/policies?country=LI;%20https://www.unesco.org/ethics-ai/en/global-hub" TargetMode="External"/><Relationship Id="rId1057" Type="http://schemas.openxmlformats.org/officeDocument/2006/relationships/hyperlink" Target="https://www.humandignitytrust.org/country-profile/mali/;%20https:/ilga.org/ilga-world-maps/" TargetMode="External"/><Relationship Id="rId427" Type="http://schemas.openxmlformats.org/officeDocument/2006/relationships/hyperlink" Target="https://www.humandignitytrust.org/country-profile/cyprus/;%20https:/ilga.org/ilga-world-maps/" TargetMode="External"/><Relationship Id="rId634" Type="http://schemas.openxmlformats.org/officeDocument/2006/relationships/hyperlink" Target="https://unctad.org/page/data-protection-and-privacy-legislation-worldwide" TargetMode="External"/><Relationship Id="rId841" Type="http://schemas.openxmlformats.org/officeDocument/2006/relationships/hyperlink" Target="https://en.unesco.org/artificial-intelligence/observatory/policies?country=JM;%20https://www.unesco.org/ethics-ai/en/global-hub" TargetMode="External"/><Relationship Id="rId1264" Type="http://schemas.openxmlformats.org/officeDocument/2006/relationships/hyperlink" Target="https://unctad.org/page/data-protection-and-privacy-legislation-worldwide" TargetMode="External"/><Relationship Id="rId1471" Type="http://schemas.openxmlformats.org/officeDocument/2006/relationships/hyperlink" Target="https://en.unesco.org/artificial-intelligence/observatory/policies?country=WS;%20https://www.unesco.org/ethics-ai/en/global-hub" TargetMode="External"/><Relationship Id="rId1569" Type="http://schemas.openxmlformats.org/officeDocument/2006/relationships/hyperlink" Target="https://www.unicef.org/slovakia/" TargetMode="External"/><Relationship Id="rId701" Type="http://schemas.openxmlformats.org/officeDocument/2006/relationships/hyperlink" Target="https://en.unesco.org/artificial-intelligence/observatory/policies?country=GN;%20https://www.unesco.org/ethics-ai/en/global-hub" TargetMode="External"/><Relationship Id="rId939" Type="http://schemas.openxmlformats.org/officeDocument/2006/relationships/hyperlink" Target="https://www.unicef.org/latvia/" TargetMode="External"/><Relationship Id="rId1124" Type="http://schemas.openxmlformats.org/officeDocument/2006/relationships/hyperlink" Target="https://unctad.org/page/data-protection-and-privacy-legislation-worldwide" TargetMode="External"/><Relationship Id="rId1331" Type="http://schemas.openxmlformats.org/officeDocument/2006/relationships/hyperlink" Target="https://en.unesco.org/artificial-intelligence/observatory/policies?country=PY;%20https://www.unesco.org/ethics-ai/en/global-hub" TargetMode="External"/><Relationship Id="rId1776" Type="http://schemas.openxmlformats.org/officeDocument/2006/relationships/hyperlink" Target="https://unctad.org/page/data-protection-and-privacy-legislation-worldwide" TargetMode="External"/><Relationship Id="rId68" Type="http://schemas.openxmlformats.org/officeDocument/2006/relationships/hyperlink" Target="https://ilga.org/ilga-world-maps/" TargetMode="External"/><Relationship Id="rId1429" Type="http://schemas.openxmlformats.org/officeDocument/2006/relationships/hyperlink" Target="https://www.unicef.org/russian-federation/" TargetMode="External"/><Relationship Id="rId1636" Type="http://schemas.openxmlformats.org/officeDocument/2006/relationships/hyperlink" Target="https://unctad.org/page/data-protection-and-privacy-legislation-worldwide" TargetMode="External"/><Relationship Id="rId1843" Type="http://schemas.openxmlformats.org/officeDocument/2006/relationships/hyperlink" Target="https://unctad.org/page/data-protection-and-privacy-legislation-worldwide;%20https:/www.unicef.org/united-kingdom-of-great-britain-and-northern-ireland/" TargetMode="External"/><Relationship Id="rId1703" Type="http://schemas.openxmlformats.org/officeDocument/2006/relationships/hyperlink" Target="https://www.unicef.org/tajikistan/" TargetMode="External"/><Relationship Id="rId1910" Type="http://schemas.openxmlformats.org/officeDocument/2006/relationships/hyperlink" Target="https://www.gsma.com/solutions-and-impact/connectivity-for-good/public-policy/mobile-policy-handbook/consumer-protection/mandatory-registration-of-prepaid-sims/" TargetMode="External"/><Relationship Id="rId284" Type="http://schemas.openxmlformats.org/officeDocument/2006/relationships/hyperlink" Target="https://unctad.org/page/data-protection-and-privacy-legislation-worldwide" TargetMode="External"/><Relationship Id="rId491" Type="http://schemas.openxmlformats.org/officeDocument/2006/relationships/hyperlink" Target="https://en.unesco.org/artificial-intelligence/observatory/policies?country=DM;%20https://www.unesco.org/ethics-ai/en/global-hub" TargetMode="External"/><Relationship Id="rId144" Type="http://schemas.openxmlformats.org/officeDocument/2006/relationships/hyperlink" Target="https://unctad.org/page/data-protection-and-privacy-legislation-worldwide" TargetMode="External"/><Relationship Id="rId589" Type="http://schemas.openxmlformats.org/officeDocument/2006/relationships/hyperlink" Target="https://www.unicef.org/ethiopia/" TargetMode="External"/><Relationship Id="rId796" Type="http://schemas.openxmlformats.org/officeDocument/2006/relationships/hyperlink" Target="https://unctad.org/page/data-protection-and-privacy-legislation-worldwide" TargetMode="External"/><Relationship Id="rId351" Type="http://schemas.openxmlformats.org/officeDocument/2006/relationships/hyperlink" Target="https://en.unesco.org/artificial-intelligence/observatory/policies?country=CN;%20https://www.unesco.org/ethics-ai/en/global-hub" TargetMode="External"/><Relationship Id="rId449" Type="http://schemas.openxmlformats.org/officeDocument/2006/relationships/hyperlink" Target="https://www.unicef.org/cote-divoire/" TargetMode="External"/><Relationship Id="rId656" Type="http://schemas.openxmlformats.org/officeDocument/2006/relationships/hyperlink" Target="https://gdpr-info.eu/art-35-gdpr/" TargetMode="External"/><Relationship Id="rId863" Type="http://schemas.openxmlformats.org/officeDocument/2006/relationships/hyperlink" Target="https://unctad.org/page/data-protection-and-privacy-legislation-worldwide;%20https:/www.unicef.org/jordan/" TargetMode="External"/><Relationship Id="rId1079" Type="http://schemas.openxmlformats.org/officeDocument/2006/relationships/hyperlink" Target="https://www.unicef.org/marshall-islands/" TargetMode="External"/><Relationship Id="rId1286" Type="http://schemas.openxmlformats.org/officeDocument/2006/relationships/hyperlink" Target="https://unctad.org/page/data-protection-and-privacy-legislation-worldwide" TargetMode="External"/><Relationship Id="rId1493" Type="http://schemas.openxmlformats.org/officeDocument/2006/relationships/hyperlink" Target="https://www.unicef.org/sao-tome-and-principe/" TargetMode="External"/><Relationship Id="rId211" Type="http://schemas.openxmlformats.org/officeDocument/2006/relationships/hyperlink" Target="https://en.unesco.org/artificial-intelligence/observatory/policies?country=BA;%20https://www.unesco.org/ethics-ai/en/global-hub" TargetMode="External"/><Relationship Id="rId309" Type="http://schemas.openxmlformats.org/officeDocument/2006/relationships/hyperlink" Target="https://www.unicef.org/cameroon/" TargetMode="External"/><Relationship Id="rId516" Type="http://schemas.openxmlformats.org/officeDocument/2006/relationships/hyperlink" Target="https://unctad.org/page/data-protection-and-privacy-legislation-worldwide" TargetMode="External"/><Relationship Id="rId1146" Type="http://schemas.openxmlformats.org/officeDocument/2006/relationships/hyperlink" Target="https://unctad.org/page/data-protection-and-privacy-legislation-worldwide" TargetMode="External"/><Relationship Id="rId1798" Type="http://schemas.openxmlformats.org/officeDocument/2006/relationships/hyperlink" Target="https://ilga.org/ilga-world-maps/" TargetMode="External"/><Relationship Id="rId723" Type="http://schemas.openxmlformats.org/officeDocument/2006/relationships/hyperlink" Target="https://unctad.org/page/data-protection-and-privacy-legislation-worldwide;%20https:/www.unicef.org/guyana/" TargetMode="External"/><Relationship Id="rId930" Type="http://schemas.openxmlformats.org/officeDocument/2006/relationships/hyperlink" Target="https://www.gsma.com/solutions-and-impact/connectivity-for-good/public-policy/mobile-policy-handbook/consumer-protection/mandatory-registration-of-prepaid-sims/" TargetMode="External"/><Relationship Id="rId1006" Type="http://schemas.openxmlformats.org/officeDocument/2006/relationships/hyperlink" Target="https://gdpr-info.eu/art-35-gdpr/" TargetMode="External"/><Relationship Id="rId1353" Type="http://schemas.openxmlformats.org/officeDocument/2006/relationships/hyperlink" Target="https://unctad.org/page/data-protection-and-privacy-legislation-worldwide;%20https:/www.unicef.org/philippines/" TargetMode="External"/><Relationship Id="rId1560" Type="http://schemas.openxmlformats.org/officeDocument/2006/relationships/hyperlink" Target="https://www.gsma.com/solutions-and-impact/connectivity-for-good/public-policy/mobile-policy-handbook/consumer-protection/mandatory-registration-of-prepaid-sims/" TargetMode="External"/><Relationship Id="rId1658" Type="http://schemas.openxmlformats.org/officeDocument/2006/relationships/hyperlink" Target="https://ilga.org/ilga-world-maps/" TargetMode="External"/><Relationship Id="rId1865" Type="http://schemas.openxmlformats.org/officeDocument/2006/relationships/hyperlink" Target="https://unctad.org/page/data-protection-and-privacy-legislation-worldwide" TargetMode="External"/><Relationship Id="rId1213" Type="http://schemas.openxmlformats.org/officeDocument/2006/relationships/hyperlink" Target="https://unctad.org/page/data-protection-and-privacy-legislation-worldwide;%20https:/www.unicef.org/netherlands/" TargetMode="External"/><Relationship Id="rId1420" Type="http://schemas.openxmlformats.org/officeDocument/2006/relationships/hyperlink" Target="https://www.gsma.com/solutions-and-impact/connectivity-for-good/public-policy/mobile-policy-handbook/consumer-protection/mandatory-registration-of-prepaid-sims/" TargetMode="External"/><Relationship Id="rId1518" Type="http://schemas.openxmlformats.org/officeDocument/2006/relationships/hyperlink" Target="https://ilga.org/ilga-world-maps/" TargetMode="External"/><Relationship Id="rId1725" Type="http://schemas.openxmlformats.org/officeDocument/2006/relationships/hyperlink" Target="https://unctad.org/page/data-protection-and-privacy-legislation-worldwide" TargetMode="External"/><Relationship Id="rId1932" Type="http://schemas.openxmlformats.org/officeDocument/2006/relationships/hyperlink" Target="https://unctad.org/page/data-protection-and-privacy-legislation-worldwide" TargetMode="External"/><Relationship Id="rId17" Type="http://schemas.openxmlformats.org/officeDocument/2006/relationships/hyperlink" Target="https://www.humandignitytrust.org/country-profile/albania/;%20https:/www.ilga-europe.org/resources/news/latest-news/albania-new-anti-discrimination-law" TargetMode="External"/><Relationship Id="rId166" Type="http://schemas.openxmlformats.org/officeDocument/2006/relationships/hyperlink" Target="https://gdpr-info.eu/art-35-gdpr/" TargetMode="External"/><Relationship Id="rId373" Type="http://schemas.openxmlformats.org/officeDocument/2006/relationships/hyperlink" Target="https://unctad.org/page/data-protection-and-privacy-legislation-worldwide;%20https:/www.unicef.org/comoros/" TargetMode="External"/><Relationship Id="rId58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 Type="http://schemas.openxmlformats.org/officeDocument/2006/relationships/hyperlink" Target="https://en.unesco.org/artificial-intelligence/observatory/policies?country=AF" TargetMode="External"/><Relationship Id="rId233" Type="http://schemas.openxmlformats.org/officeDocument/2006/relationships/hyperlink" Target="https://unctad.org/page/data-protection-and-privacy-legislation-worldwide;%20https:/www.unicef.org/brazil/" TargetMode="External"/><Relationship Id="rId44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678" Type="http://schemas.openxmlformats.org/officeDocument/2006/relationships/hyperlink" Target="https://ilga.org/ilga-world-maps/" TargetMode="External"/><Relationship Id="rId885" Type="http://schemas.openxmlformats.org/officeDocument/2006/relationships/hyperlink" Target="https://unctad.org/page/data-protection-and-privacy-legislation-worldwide" TargetMode="External"/><Relationship Id="rId107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30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538" Type="http://schemas.openxmlformats.org/officeDocument/2006/relationships/hyperlink" Target="https://ilga.org/ilga-world-maps/" TargetMode="External"/><Relationship Id="rId745" Type="http://schemas.openxmlformats.org/officeDocument/2006/relationships/hyperlink" Target="https://unctad.org/page/data-protection-and-privacy-legislation-worldwide" TargetMode="External"/><Relationship Id="rId952" Type="http://schemas.openxmlformats.org/officeDocument/2006/relationships/hyperlink" Target="https://unctad.org/page/data-protection-and-privacy-legislation-worldwide" TargetMode="External"/><Relationship Id="rId1168" Type="http://schemas.openxmlformats.org/officeDocument/2006/relationships/hyperlink" Target="https://ilga.org/ilga-world-maps/" TargetMode="External"/><Relationship Id="rId1375" Type="http://schemas.openxmlformats.org/officeDocument/2006/relationships/hyperlink" Target="https://unctad.org/page/data-protection-and-privacy-legislation-worldwide" TargetMode="External"/><Relationship Id="rId1582" Type="http://schemas.openxmlformats.org/officeDocument/2006/relationships/hyperlink" Target="https://unctad.org/page/data-protection-and-privacy-legislation-worldwide" TargetMode="External"/><Relationship Id="rId81" Type="http://schemas.openxmlformats.org/officeDocument/2006/relationships/hyperlink" Target="https://en.unesco.org/artificial-intelligence/observatory/policies?country=AU;%20https://www.unesco.org/ethics-ai/en/global-hub" TargetMode="External"/><Relationship Id="rId605" Type="http://schemas.openxmlformats.org/officeDocument/2006/relationships/hyperlink" Target="https://unctad.org/page/data-protection-and-privacy-legislation-worldwide" TargetMode="External"/><Relationship Id="rId812" Type="http://schemas.openxmlformats.org/officeDocument/2006/relationships/hyperlink" Target="https://unctad.org/page/data-protection-and-privacy-legislation-worldwide" TargetMode="External"/><Relationship Id="rId1028" Type="http://schemas.openxmlformats.org/officeDocument/2006/relationships/hyperlink" Target="https://ilga.org/ilga-world-maps/" TargetMode="External"/><Relationship Id="rId1235" Type="http://schemas.openxmlformats.org/officeDocument/2006/relationships/hyperlink" Target="https://unctad.org/page/data-protection-and-privacy-legislation-worldwide" TargetMode="External"/><Relationship Id="rId1442" Type="http://schemas.openxmlformats.org/officeDocument/2006/relationships/hyperlink" Target="https://unctad.org/page/data-protection-and-privacy-legislation-worldwide" TargetMode="External"/><Relationship Id="rId1887" Type="http://schemas.openxmlformats.org/officeDocument/2006/relationships/hyperlink" Target="https://www.humandignitytrust.org/country-profile/vanuatu/;%20https:/ilga.org/ilga-world-maps/" TargetMode="External"/><Relationship Id="rId1302" Type="http://schemas.openxmlformats.org/officeDocument/2006/relationships/hyperlink" Target="https://unctad.org/page/data-protection-and-privacy-legislation-worldwide" TargetMode="External"/><Relationship Id="rId1747" Type="http://schemas.openxmlformats.org/officeDocument/2006/relationships/hyperlink" Target="https://www.humandignitytrust.org/country-profile/togo/;%20https:/ilga.org/ilga-world-maps/" TargetMode="External"/><Relationship Id="rId39" Type="http://schemas.openxmlformats.org/officeDocument/2006/relationships/hyperlink" Target="https://www.unicef.org/andorra/en/protection;%20https:/apda.ad/wp-content/uploads/2021/12/LQPD-EN.pdf" TargetMode="External"/><Relationship Id="rId1607" Type="http://schemas.openxmlformats.org/officeDocument/2006/relationships/hyperlink" Target="https://www.humandignitytrust.org/country-profile/south-africa/;%20https:/ilga.org/ilga-world-maps/" TargetMode="External"/><Relationship Id="rId1814" Type="http://schemas.openxmlformats.org/officeDocument/2006/relationships/hyperlink" Target="https://unctad.org/page/data-protection-and-privacy-legislation-worldwide" TargetMode="External"/><Relationship Id="rId188" Type="http://schemas.openxmlformats.org/officeDocument/2006/relationships/hyperlink" Target="https://ilga.org/ilga-world-maps/" TargetMode="External"/><Relationship Id="rId395" Type="http://schemas.openxmlformats.org/officeDocument/2006/relationships/hyperlink" Target="https://unctad.org/page/data-protection-and-privacy-legislation-worldwide" TargetMode="External"/><Relationship Id="rId255" Type="http://schemas.openxmlformats.org/officeDocument/2006/relationships/hyperlink" Target="https://unctad.org/page/data-protection-and-privacy-legislation-worldwide" TargetMode="External"/><Relationship Id="rId462" Type="http://schemas.openxmlformats.org/officeDocument/2006/relationships/hyperlink" Target="https://unctad.org/page/data-protection-and-privacy-legislation-worldwide" TargetMode="External"/><Relationship Id="rId1092" Type="http://schemas.openxmlformats.org/officeDocument/2006/relationships/hyperlink" Target="https://unctad.org/page/data-protection-and-privacy-legislation-worldwide" TargetMode="External"/><Relationship Id="rId1397" Type="http://schemas.openxmlformats.org/officeDocument/2006/relationships/hyperlink" Target="https://www.humandignitytrust.org/country-profile/republic-of-korea/;%20https:/ilga.org/ilga-world-maps/" TargetMode="External"/><Relationship Id="rId115" Type="http://schemas.openxmlformats.org/officeDocument/2006/relationships/hyperlink" Target="https://unctad.org/page/data-protection-and-privacy-legislation-worldwide" TargetMode="External"/><Relationship Id="rId322" Type="http://schemas.openxmlformats.org/officeDocument/2006/relationships/hyperlink" Target="https://unctad.org/page/data-protection-and-privacy-legislation-worldwide" TargetMode="External"/><Relationship Id="rId767" Type="http://schemas.openxmlformats.org/officeDocument/2006/relationships/hyperlink" Target="https://www.humandignitytrust.org/country-profile/iceland/;%20https:/ilga.org/ilga-world-maps/" TargetMode="External"/><Relationship Id="rId974" Type="http://schemas.openxmlformats.org/officeDocument/2006/relationships/hyperlink" Target="https://unctad.org/page/data-protection-and-privacy-legislation-worldwide" TargetMode="External"/><Relationship Id="rId627" Type="http://schemas.openxmlformats.org/officeDocument/2006/relationships/hyperlink" Target="https://www.humandignitytrust.org/country-profile/gabon/;%20https:/ilga.org/ilga-world-maps/" TargetMode="External"/><Relationship Id="rId834" Type="http://schemas.openxmlformats.org/officeDocument/2006/relationships/hyperlink" Target="https://unctad.org/page/data-protection-and-privacy-legislation-worldwide" TargetMode="External"/><Relationship Id="rId1257" Type="http://schemas.openxmlformats.org/officeDocument/2006/relationships/hyperlink" Target="https://www.humandignitytrust.org/country-profile/nigeria/;%20https:/ilga.org/ilga-world-maps/" TargetMode="External"/><Relationship Id="rId1464" Type="http://schemas.openxmlformats.org/officeDocument/2006/relationships/hyperlink" Target="https://unctad.org/page/data-protection-and-privacy-legislation-worldwide" TargetMode="External"/><Relationship Id="rId1671" Type="http://schemas.openxmlformats.org/officeDocument/2006/relationships/hyperlink" Target="https://en.unesco.org/artificial-intelligence/observatory/policies?country=SE;%20https://www.unesco.org/ethics-ai/en/global-hub" TargetMode="External"/><Relationship Id="rId901" Type="http://schemas.openxmlformats.org/officeDocument/2006/relationships/hyperlink" Target="https://en.unesco.org/artificial-intelligence/observatory/policies?country=KW;%20https://www.unesco.org/ethics-ai/en/global-hub" TargetMode="External"/><Relationship Id="rId1117" Type="http://schemas.openxmlformats.org/officeDocument/2006/relationships/hyperlink" Target="https://www.humandignitytrust.org/country-profile/micronesia-federated-states-of/;%20https:/ilga.org/ilga-world-maps/" TargetMode="External"/><Relationship Id="rId1324" Type="http://schemas.openxmlformats.org/officeDocument/2006/relationships/hyperlink" Target="https://unctad.org/page/data-protection-and-privacy-legislation-worldwide" TargetMode="External"/><Relationship Id="rId1531" Type="http://schemas.openxmlformats.org/officeDocument/2006/relationships/hyperlink" Target="https://en.unesco.org/artificial-intelligence/observatory/policies?country=SC;%20https://www.unesco.org/ethics-ai/en/global-hub" TargetMode="External"/><Relationship Id="rId1769" Type="http://schemas.openxmlformats.org/officeDocument/2006/relationships/hyperlink" Target="https://www.unicef.org/trinidad-and-tobago/" TargetMode="External"/><Relationship Id="rId30" Type="http://schemas.openxmlformats.org/officeDocument/2006/relationships/hyperlink" Target="https://www.gsma.com/mobilefordevelopment/resources/mandatory-sim-registration-in-algeria/" TargetMode="External"/><Relationship Id="rId1629" Type="http://schemas.openxmlformats.org/officeDocument/2006/relationships/hyperlink" Target="https://www.unicef.org/spain/" TargetMode="External"/><Relationship Id="rId1836" Type="http://schemas.openxmlformats.org/officeDocument/2006/relationships/hyperlink" Target="https://unctad.org/page/data-protection-and-privacy-legislation-worldwide" TargetMode="External"/><Relationship Id="rId1903" Type="http://schemas.openxmlformats.org/officeDocument/2006/relationships/hyperlink" Target="https://unctad.org/page/data-protection-and-privacy-legislation-worldwide;%20https:/www.unicef.org/viet-nam/" TargetMode="External"/><Relationship Id="rId277" Type="http://schemas.openxmlformats.org/officeDocument/2006/relationships/hyperlink" Target="https://www.humandignitytrust.org/country-profile/burundi/;%20https:/ilga.org/ilga-world-maps/" TargetMode="External"/><Relationship Id="rId484" Type="http://schemas.openxmlformats.org/officeDocument/2006/relationships/hyperlink" Target="https://unctad.org/page/data-protection-and-privacy-legislation-worldwide" TargetMode="External"/><Relationship Id="rId137" Type="http://schemas.openxmlformats.org/officeDocument/2006/relationships/hyperlink" Target="https://www.humandignitytrust.org/country-profile/bangladesh/;%20https:/ilga.org/ilga-world-maps/" TargetMode="External"/><Relationship Id="rId344" Type="http://schemas.openxmlformats.org/officeDocument/2006/relationships/hyperlink" Target="https://unctad.org/page/data-protection-and-privacy-legislation-worldwide" TargetMode="External"/><Relationship Id="rId691" Type="http://schemas.openxmlformats.org/officeDocument/2006/relationships/hyperlink" Target="https://en.unesco.org/artificial-intelligence/observatory/policies?country=GT;%20https://www.unesco.org/ethics-ai/en/global-hub" TargetMode="External"/><Relationship Id="rId789" Type="http://schemas.openxmlformats.org/officeDocument/2006/relationships/hyperlink" Target="https://www.unicef.org/indonesia/" TargetMode="External"/><Relationship Id="rId996" Type="http://schemas.openxmlformats.org/officeDocument/2006/relationships/hyperlink" Target="https://gdpr-info.eu/art-35-gdpr/" TargetMode="External"/><Relationship Id="rId551" Type="http://schemas.openxmlformats.org/officeDocument/2006/relationships/hyperlink" Target="https://en.unesco.org/artificial-intelligence/observatory/policies?country=ER;%20https://www.unesco.org/ethics-ai/en/global-hub" TargetMode="External"/><Relationship Id="rId649" Type="http://schemas.openxmlformats.org/officeDocument/2006/relationships/hyperlink" Target="https://www.unicef.org/georgia/" TargetMode="External"/><Relationship Id="rId856" Type="http://schemas.openxmlformats.org/officeDocument/2006/relationships/hyperlink" Target="https://unctad.org/page/data-protection-and-privacy-legislation-worldwide" TargetMode="External"/><Relationship Id="rId1181" Type="http://schemas.openxmlformats.org/officeDocument/2006/relationships/hyperlink" Target="https://en.unesco.org/artificial-intelligence/observatory/policies?country=NA;%20https://www.unesco.org/ethics-ai/en/global-hub" TargetMode="External"/><Relationship Id="rId1279" Type="http://schemas.openxmlformats.org/officeDocument/2006/relationships/hyperlink" Target="https://www.unicef.org/norway/" TargetMode="External"/><Relationship Id="rId1486" Type="http://schemas.openxmlformats.org/officeDocument/2006/relationships/hyperlink" Target="https://unctad.org/page/data-protection-and-privacy-legislation-worldwide" TargetMode="External"/><Relationship Id="rId204" Type="http://schemas.openxmlformats.org/officeDocument/2006/relationships/hyperlink" Target="https://unctad.org/page/data-protection-and-privacy-legislation-worldwide" TargetMode="External"/><Relationship Id="rId411" Type="http://schemas.openxmlformats.org/officeDocument/2006/relationships/hyperlink" Target="https://en.unesco.org/artificial-intelligence/observatory/policies?country=CU;%20https://www.unesco.org/ethics-ai/en/global-hub" TargetMode="External"/><Relationship Id="rId509" Type="http://schemas.openxmlformats.org/officeDocument/2006/relationships/hyperlink" Target="https://www.unicef.org/dominican-republic/" TargetMode="External"/><Relationship Id="rId1041" Type="http://schemas.openxmlformats.org/officeDocument/2006/relationships/hyperlink" Target="https://en.unesco.org/artificial-intelligence/observatory/policies?country=MV;%20https://www.unesco.org/ethics-ai/en/global-hub" TargetMode="External"/><Relationship Id="rId1139" Type="http://schemas.openxmlformats.org/officeDocument/2006/relationships/hyperlink" Target="https://www.unicef.org/mongolia/" TargetMode="External"/><Relationship Id="rId1346" Type="http://schemas.openxmlformats.org/officeDocument/2006/relationships/hyperlink" Target="https://unctad.org/page/data-protection-and-privacy-legislation-worldwide" TargetMode="External"/><Relationship Id="rId1693" Type="http://schemas.openxmlformats.org/officeDocument/2006/relationships/hyperlink" Target="https://www.unicef.org/syrian-arab-republic/" TargetMode="External"/><Relationship Id="rId716" Type="http://schemas.openxmlformats.org/officeDocument/2006/relationships/hyperlink" Target="https://unctad.org/page/data-protection-and-privacy-legislation-worldwide" TargetMode="External"/><Relationship Id="rId923" Type="http://schemas.openxmlformats.org/officeDocument/2006/relationships/hyperlink" Target="https://www.unicef.org/lao-peoples-democratic-republic/" TargetMode="External"/><Relationship Id="rId1553" Type="http://schemas.openxmlformats.org/officeDocument/2006/relationships/hyperlink" Target="https://unctad.org/page/data-protection-and-privacy-legislation-worldwide;%20https:/www.unicef.org/singapore/" TargetMode="External"/><Relationship Id="rId1760" Type="http://schemas.openxmlformats.org/officeDocument/2006/relationships/hyperlink" Target="https://www.gsma.com/solutions-and-impact/connectivity-for-good/public-policy/mobile-policy-handbook/consumer-protection/mandatory-registration-of-prepaid-sims/" TargetMode="External"/><Relationship Id="rId1858" Type="http://schemas.openxmlformats.org/officeDocument/2006/relationships/hyperlink" Target="https://ilga.org/ilga-world-maps/" TargetMode="External"/><Relationship Id="rId52" Type="http://schemas.openxmlformats.org/officeDocument/2006/relationships/hyperlink" Target="https://unctad.org/page/data-protection-and-privacy-legislation-worldwide" TargetMode="External"/><Relationship Id="rId1206" Type="http://schemas.openxmlformats.org/officeDocument/2006/relationships/hyperlink" Target="https://unctad.org/page/data-protection-and-privacy-legislation-worldwide" TargetMode="External"/><Relationship Id="rId1413" Type="http://schemas.openxmlformats.org/officeDocument/2006/relationships/hyperlink" Target="https://unctad.org/page/data-protection-and-privacy-legislation-worldwide;%20https:/www.unicef.org/romania/" TargetMode="External"/><Relationship Id="rId1620" Type="http://schemas.openxmlformats.org/officeDocument/2006/relationships/hyperlink" Target="https://www.gsma.com/solutions-and-impact/connectivity-for-good/public-policy/mobile-policy-handbook/consumer-protection/mandatory-registration-of-prepaid-sims/" TargetMode="External"/><Relationship Id="rId1718" Type="http://schemas.openxmlformats.org/officeDocument/2006/relationships/hyperlink" Target="https://ilga.org/ilga-world-maps/" TargetMode="External"/><Relationship Id="rId1925" Type="http://schemas.openxmlformats.org/officeDocument/2006/relationships/hyperlink" Target="https://unctad.org/page/data-protection-and-privacy-legislation-worldwide" TargetMode="External"/><Relationship Id="rId299" Type="http://schemas.openxmlformats.org/officeDocument/2006/relationships/hyperlink" Target="https://www.unicef.org/cambodia/" TargetMode="External"/><Relationship Id="rId159" Type="http://schemas.openxmlformats.org/officeDocument/2006/relationships/hyperlink" Target="https://www.unicef.org/belarus/" TargetMode="External"/><Relationship Id="rId366" Type="http://schemas.openxmlformats.org/officeDocument/2006/relationships/hyperlink" Target="https://unctad.org/page/data-protection-and-privacy-legislation-worldwide" TargetMode="External"/><Relationship Id="rId573" Type="http://schemas.openxmlformats.org/officeDocument/2006/relationships/hyperlink" Target="https://www.unicef.org/eswatini/" TargetMode="External"/><Relationship Id="rId78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226" Type="http://schemas.openxmlformats.org/officeDocument/2006/relationships/hyperlink" Target="https://unctad.org/page/data-protection-and-privacy-legislation-worldwide" TargetMode="External"/><Relationship Id="rId433" Type="http://schemas.openxmlformats.org/officeDocument/2006/relationships/hyperlink" Target="https://unctad.org/page/data-protection-and-privacy-legislation-worldwide;%20https:/www.unicef.org/czechia/" TargetMode="External"/><Relationship Id="rId878" Type="http://schemas.openxmlformats.org/officeDocument/2006/relationships/hyperlink" Target="https://ilga.org/ilga-world-maps/" TargetMode="External"/><Relationship Id="rId1063" Type="http://schemas.openxmlformats.org/officeDocument/2006/relationships/hyperlink" Target="https://unctad.org/page/data-protection-and-privacy-legislation-worldwide;%20https:/www.unicef.org/malta/" TargetMode="External"/><Relationship Id="rId1270" Type="http://schemas.openxmlformats.org/officeDocument/2006/relationships/hyperlink" Target="https://www.gsma.com/solutions-and-impact/connectivity-for-good/public-policy/mobile-policy-handbook/consumer-protection/mandatory-registration-of-prepaid-sims/" TargetMode="External"/><Relationship Id="rId64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738" Type="http://schemas.openxmlformats.org/officeDocument/2006/relationships/hyperlink" Target="https://ilga.org/ilga-world-maps/" TargetMode="External"/><Relationship Id="rId945" Type="http://schemas.openxmlformats.org/officeDocument/2006/relationships/hyperlink" Target="https://unctad.org/page/data-protection-and-privacy-legislation-worldwide" TargetMode="External"/><Relationship Id="rId1368" Type="http://schemas.openxmlformats.org/officeDocument/2006/relationships/hyperlink" Target="https://ilga.org/ilga-world-maps/" TargetMode="External"/><Relationship Id="rId1575" Type="http://schemas.openxmlformats.org/officeDocument/2006/relationships/hyperlink" Target="https://unctad.org/page/data-protection-and-privacy-legislation-worldwide" TargetMode="External"/><Relationship Id="rId1782" Type="http://schemas.openxmlformats.org/officeDocument/2006/relationships/hyperlink" Target="https://unctad.org/page/data-protection-and-privacy-legislation-worldwide" TargetMode="External"/><Relationship Id="rId74" Type="http://schemas.openxmlformats.org/officeDocument/2006/relationships/hyperlink" Target="https://unctad.org/page/data-protection-and-privacy-legislation-worldwide" TargetMode="External"/><Relationship Id="rId500" Type="http://schemas.openxmlformats.org/officeDocument/2006/relationships/hyperlink" Target="https://www.gsma.com/solutions-and-impact/connectivity-for-good/public-policy/mobile-policy-handbook/consumer-protection/mandatory-registration-of-prepaid-sims/" TargetMode="External"/><Relationship Id="rId805" Type="http://schemas.openxmlformats.org/officeDocument/2006/relationships/hyperlink" Target="https://unctad.org/page/data-protection-and-privacy-legislation-worldwide" TargetMode="External"/><Relationship Id="rId1130" Type="http://schemas.openxmlformats.org/officeDocument/2006/relationships/hyperlink" Target="https://www.gsma.com/solutions-and-impact/connectivity-for-good/public-policy/mobile-policy-handbook/consumer-protection/mandatory-registration-of-prepaid-sims/" TargetMode="External"/><Relationship Id="rId1228" Type="http://schemas.openxmlformats.org/officeDocument/2006/relationships/hyperlink" Target="https://ilga.org/ilga-world-maps/" TargetMode="External"/><Relationship Id="rId1435" Type="http://schemas.openxmlformats.org/officeDocument/2006/relationships/hyperlink" Target="https://unctad.org/page/data-protection-and-privacy-legislation-worldwide" TargetMode="External"/><Relationship Id="rId1642" Type="http://schemas.openxmlformats.org/officeDocument/2006/relationships/hyperlink" Target="https://unctad.org/page/data-protection-and-privacy-legislation-worldwide" TargetMode="External"/><Relationship Id="rId1502" Type="http://schemas.openxmlformats.org/officeDocument/2006/relationships/hyperlink" Target="https://unctad.org/page/data-protection-and-privacy-legislation-worldwide" TargetMode="External"/><Relationship Id="rId1807" Type="http://schemas.openxmlformats.org/officeDocument/2006/relationships/hyperlink" Target="https://www.humandignitytrust.org/country-profile/tuvalu/;%20https:/ilga.org/ilga-world-maps/" TargetMode="External"/><Relationship Id="rId29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388" Type="http://schemas.openxmlformats.org/officeDocument/2006/relationships/hyperlink" Target="https://ilga.org/ilga-world-maps/" TargetMode="External"/><Relationship Id="rId15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595" Type="http://schemas.openxmlformats.org/officeDocument/2006/relationships/hyperlink" Target="https://unctad.org/page/data-protection-and-privacy-legislation-worldwide" TargetMode="External"/><Relationship Id="rId248" Type="http://schemas.openxmlformats.org/officeDocument/2006/relationships/hyperlink" Target="https://ilga.org/ilga-world-maps/" TargetMode="External"/><Relationship Id="rId455" Type="http://schemas.openxmlformats.org/officeDocument/2006/relationships/hyperlink" Target="https://unctad.org/page/data-protection-and-privacy-legislation-worldwide" TargetMode="External"/><Relationship Id="rId662" Type="http://schemas.openxmlformats.org/officeDocument/2006/relationships/hyperlink" Target="https://unctad.org/page/data-protection-and-privacy-legislation-worldwide" TargetMode="External"/><Relationship Id="rId1085" Type="http://schemas.openxmlformats.org/officeDocument/2006/relationships/hyperlink" Target="https://unctad.org/page/data-protection-and-privacy-legislation-worldwide" TargetMode="External"/><Relationship Id="rId1292" Type="http://schemas.openxmlformats.org/officeDocument/2006/relationships/hyperlink" Target="https://unctad.org/page/data-protection-and-privacy-legislation-worldwide" TargetMode="External"/><Relationship Id="rId108" Type="http://schemas.openxmlformats.org/officeDocument/2006/relationships/hyperlink" Target="https://ilga.org/ilga-world-maps/" TargetMode="External"/><Relationship Id="rId315" Type="http://schemas.openxmlformats.org/officeDocument/2006/relationships/hyperlink" Target="https://unctad.org/page/data-protection-and-privacy-legislation-worldwide" TargetMode="External"/><Relationship Id="rId522" Type="http://schemas.openxmlformats.org/officeDocument/2006/relationships/hyperlink" Target="https://unctad.org/page/data-protection-and-privacy-legislation-worldwide" TargetMode="External"/><Relationship Id="rId967" Type="http://schemas.openxmlformats.org/officeDocument/2006/relationships/hyperlink" Target="https://www.humandignitytrust.org/country-profile/liberia/;%20https:/ilga.org/ilga-world-maps/" TargetMode="External"/><Relationship Id="rId1152" Type="http://schemas.openxmlformats.org/officeDocument/2006/relationships/hyperlink" Target="https://unctad.org/page/data-protection-and-privacy-legislation-worldwide" TargetMode="External"/><Relationship Id="rId1597" Type="http://schemas.openxmlformats.org/officeDocument/2006/relationships/hyperlink" Target="https://www.humandignitytrust.org/country-profile/somalia/;%20https:/ilga.org/ilga-world-maps/" TargetMode="External"/><Relationship Id="rId96" Type="http://schemas.openxmlformats.org/officeDocument/2006/relationships/hyperlink" Target="https://gdpr-info.eu/art-35-gdpr/" TargetMode="External"/><Relationship Id="rId827" Type="http://schemas.openxmlformats.org/officeDocument/2006/relationships/hyperlink" Target="https://www.humandignitytrust.org/country-profile/israel/;%20https:/ilga.org/ilga-world-maps/" TargetMode="External"/><Relationship Id="rId1012" Type="http://schemas.openxmlformats.org/officeDocument/2006/relationships/hyperlink" Target="https://unctad.org/page/data-protection-and-privacy-legislation-worldwide" TargetMode="External"/><Relationship Id="rId1457" Type="http://schemas.openxmlformats.org/officeDocument/2006/relationships/hyperlink" Target="https://www.humandignitytrust.org/country-profile/saint-lucia/;%20https:/ilga.org/ilga-world-maps/" TargetMode="External"/><Relationship Id="rId1664" Type="http://schemas.openxmlformats.org/officeDocument/2006/relationships/hyperlink" Target="https://unctad.org/page/data-protection-and-privacy-legislation-worldwide" TargetMode="External"/><Relationship Id="rId1871" Type="http://schemas.openxmlformats.org/officeDocument/2006/relationships/hyperlink" Target="https://en.unesco.org/artificial-intelligence/observatory/policies?country=UZ;%20https://www.unesco.org/ethics-ai/en/global-hub" TargetMode="External"/><Relationship Id="rId1317" Type="http://schemas.openxmlformats.org/officeDocument/2006/relationships/hyperlink" Target="https://www.humandignitytrust.org/country-profile/panama/;%20https:/ilga.org/ilga-world-maps/" TargetMode="External"/><Relationship Id="rId1524" Type="http://schemas.openxmlformats.org/officeDocument/2006/relationships/hyperlink" Target="https://unctad.org/page/data-protection-and-privacy-legislation-worldwide" TargetMode="External"/><Relationship Id="rId1731" Type="http://schemas.openxmlformats.org/officeDocument/2006/relationships/hyperlink" Target="https://en.unesco.org/artificial-intelligence/observatory/policies?country=TL;%20https://www.unesco.org/ethics-ai/en/global-hub" TargetMode="External"/><Relationship Id="rId23" Type="http://schemas.openxmlformats.org/officeDocument/2006/relationships/hyperlink" Target="https://www.dlapiperdataprotection.com/index.html?t=law&amp;c=DZ" TargetMode="External"/><Relationship Id="rId1829" Type="http://schemas.openxmlformats.org/officeDocument/2006/relationships/hyperlink" Target="https://www.unicef.org/ukraine/" TargetMode="External"/><Relationship Id="rId172" Type="http://schemas.openxmlformats.org/officeDocument/2006/relationships/hyperlink" Target="https://unctad.org/page/data-protection-and-privacy-legislation-worldwide" TargetMode="External"/><Relationship Id="rId477" Type="http://schemas.openxmlformats.org/officeDocument/2006/relationships/hyperlink" Target="https://www.humandignitytrust.org/country-profile/denmark/;%20https:/ilga.org/ilga-world-maps/" TargetMode="External"/><Relationship Id="rId684" Type="http://schemas.openxmlformats.org/officeDocument/2006/relationships/hyperlink" Target="https://unctad.org/page/data-protection-and-privacy-legislation-worldwide" TargetMode="External"/><Relationship Id="rId337" Type="http://schemas.openxmlformats.org/officeDocument/2006/relationships/hyperlink" Target="https://www.humandignitytrust.org/country-profile/chad/;%20https:/ilga.org/ilga-world-maps/" TargetMode="External"/><Relationship Id="rId891" Type="http://schemas.openxmlformats.org/officeDocument/2006/relationships/hyperlink" Target="https://en.unesco.org/artificial-intelligence/observatory/policies?country=KI;%20https://www.unesco.org/ethics-ai/en/global-hub" TargetMode="External"/><Relationship Id="rId989" Type="http://schemas.openxmlformats.org/officeDocument/2006/relationships/hyperlink" Target="https://www.unicef.org/liechtenstein/" TargetMode="External"/><Relationship Id="rId544" Type="http://schemas.openxmlformats.org/officeDocument/2006/relationships/hyperlink" Target="https://unctad.org/page/data-protection-and-privacy-legislation-worldwide" TargetMode="External"/><Relationship Id="rId751" Type="http://schemas.openxmlformats.org/officeDocument/2006/relationships/hyperlink" Target="https://en.unesco.org/artificial-intelligence/observatory/policies?country=HU;%20https://www.unesco.org/ethics-ai/en/global-hub" TargetMode="External"/><Relationship Id="rId849" Type="http://schemas.openxmlformats.org/officeDocument/2006/relationships/hyperlink" Target="https://www.unicef.org/jamaica/" TargetMode="External"/><Relationship Id="rId1174" Type="http://schemas.openxmlformats.org/officeDocument/2006/relationships/hyperlink" Target="https://unctad.org/page/data-protection-and-privacy-legislation-worldwide" TargetMode="External"/><Relationship Id="rId1381" Type="http://schemas.openxmlformats.org/officeDocument/2006/relationships/hyperlink" Target="https://en.unesco.org/artificial-intelligence/observatory/policies?country=QA;%20https://www.unesco.org/ethics-ai/en/global-hub" TargetMode="External"/><Relationship Id="rId1479" Type="http://schemas.openxmlformats.org/officeDocument/2006/relationships/hyperlink" Target="https://www.unicef.org/samoa/" TargetMode="External"/><Relationship Id="rId1686" Type="http://schemas.openxmlformats.org/officeDocument/2006/relationships/hyperlink" Target="https://unctad.org/page/data-protection-and-privacy-legislation-worldwide" TargetMode="External"/><Relationship Id="rId404" Type="http://schemas.openxmlformats.org/officeDocument/2006/relationships/hyperlink" Target="https://unctad.org/page/data-protection-and-privacy-legislation-worldwide" TargetMode="External"/><Relationship Id="rId611" Type="http://schemas.openxmlformats.org/officeDocument/2006/relationships/hyperlink" Target="https://en.unesco.org/artificial-intelligence/observatory/policies?country=FR;%20https://www.unesco.org/ethics-ai/en/global-hub" TargetMode="External"/><Relationship Id="rId1034" Type="http://schemas.openxmlformats.org/officeDocument/2006/relationships/hyperlink" Target="https://unctad.org/page/data-protection-and-privacy-legislation-worldwide" TargetMode="External"/><Relationship Id="rId1241" Type="http://schemas.openxmlformats.org/officeDocument/2006/relationships/hyperlink" Target="https://en.unesco.org/artificial-intelligence/observatory/policies?country=NE;%20https://www.unesco.org/ethics-ai/en/global-hub" TargetMode="External"/><Relationship Id="rId1339" Type="http://schemas.openxmlformats.org/officeDocument/2006/relationships/hyperlink" Target="https://www.unicef.org/paraguay/" TargetMode="External"/><Relationship Id="rId1893" Type="http://schemas.openxmlformats.org/officeDocument/2006/relationships/hyperlink" Target="https://www.unicef.org/venezuela-bolivarian-republic-of/" TargetMode="External"/><Relationship Id="rId709" Type="http://schemas.openxmlformats.org/officeDocument/2006/relationships/hyperlink" Target="https://www.unicef.org/guinea/" TargetMode="External"/><Relationship Id="rId916" Type="http://schemas.openxmlformats.org/officeDocument/2006/relationships/hyperlink" Target="https://unctad.org/page/data-protection-and-privacy-legislation-worldwide" TargetMode="External"/><Relationship Id="rId1101" Type="http://schemas.openxmlformats.org/officeDocument/2006/relationships/hyperlink" Target="https://en.unesco.org/artificial-intelligence/observatory/policies?country=MX;%20https://www.unesco.org/ethics-ai/en/global-hub" TargetMode="External"/><Relationship Id="rId1546" Type="http://schemas.openxmlformats.org/officeDocument/2006/relationships/hyperlink" Target="https://unctad.org/page/data-protection-and-privacy-legislation-worldwide" TargetMode="External"/><Relationship Id="rId1753" Type="http://schemas.openxmlformats.org/officeDocument/2006/relationships/hyperlink" Target="https://www.unicef.org/tonga/" TargetMode="External"/><Relationship Id="rId45" Type="http://schemas.openxmlformats.org/officeDocument/2006/relationships/hyperlink" Target="https://unctad.org/page/data-protection-and-privacy-legislation-worldwide" TargetMode="External"/><Relationship Id="rId1406" Type="http://schemas.openxmlformats.org/officeDocument/2006/relationships/hyperlink" Target="https://unctad.org/page/data-protection-and-privacy-legislation-worldwide" TargetMode="External"/><Relationship Id="rId1613" Type="http://schemas.openxmlformats.org/officeDocument/2006/relationships/hyperlink" Target="https://www.unicef.org/south-sudan/" TargetMode="External"/><Relationship Id="rId182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94" Type="http://schemas.openxmlformats.org/officeDocument/2006/relationships/hyperlink" Target="https://unctad.org/page/data-protection-and-privacy-legislation-worldwide" TargetMode="External"/><Relationship Id="rId1918" Type="http://schemas.openxmlformats.org/officeDocument/2006/relationships/hyperlink" Target="https://ilga.org/ilga-world-maps/" TargetMode="External"/><Relationship Id="rId261" Type="http://schemas.openxmlformats.org/officeDocument/2006/relationships/hyperlink" Target="https://en.unesco.org/artificial-intelligence/observatory/policies?country=BF;%20https://www.unesco.org/ethics-ai/en/global-hub" TargetMode="External"/><Relationship Id="rId499" Type="http://schemas.openxmlformats.org/officeDocument/2006/relationships/hyperlink" Target="https://www.unicef.org/dominica/" TargetMode="External"/><Relationship Id="rId359" Type="http://schemas.openxmlformats.org/officeDocument/2006/relationships/hyperlink" Target="https://www.unicef.org/china/" TargetMode="External"/><Relationship Id="rId566" Type="http://schemas.openxmlformats.org/officeDocument/2006/relationships/hyperlink" Target="https://gdpr-info.eu/art-35-gdpr/" TargetMode="External"/><Relationship Id="rId773" Type="http://schemas.openxmlformats.org/officeDocument/2006/relationships/hyperlink" Target="https://unctad.org/page/data-protection-and-privacy-legislation-worldwide;%20https:/www.unicef.org/india/" TargetMode="External"/><Relationship Id="rId1196" Type="http://schemas.openxmlformats.org/officeDocument/2006/relationships/hyperlink" Target="https://unctad.org/page/data-protection-and-privacy-legislation-worldwide" TargetMode="External"/><Relationship Id="rId121" Type="http://schemas.openxmlformats.org/officeDocument/2006/relationships/hyperlink" Target="https://en.unesco.org/artificial-intelligence/observatory/policies?country=BH;%20https://www.unesco.org/ethics-ai/en/global-hub" TargetMode="External"/><Relationship Id="rId219" Type="http://schemas.openxmlformats.org/officeDocument/2006/relationships/hyperlink" Target="https://www.unicef.org/bosnia-and-herzegovina/" TargetMode="External"/><Relationship Id="rId426" Type="http://schemas.openxmlformats.org/officeDocument/2006/relationships/hyperlink" Target="https://gdpr-info.eu/art-35-gdpr/" TargetMode="External"/><Relationship Id="rId633" Type="http://schemas.openxmlformats.org/officeDocument/2006/relationships/hyperlink" Target="https://www.unicef.org/gambia/" TargetMode="External"/><Relationship Id="rId98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056" Type="http://schemas.openxmlformats.org/officeDocument/2006/relationships/hyperlink" Target="https://unctad.org/page/data-protection-and-privacy-legislation-worldwide" TargetMode="External"/><Relationship Id="rId1263" Type="http://schemas.openxmlformats.org/officeDocument/2006/relationships/hyperlink" Target="https://unctad.org/page/data-protection-and-privacy-legislation-worldwide;%20https:/www.unicef.org/north-macedonia/" TargetMode="External"/><Relationship Id="rId84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938" Type="http://schemas.openxmlformats.org/officeDocument/2006/relationships/hyperlink" Target="https://ilga.org/ilga-world-maps/" TargetMode="External"/><Relationship Id="rId1470" Type="http://schemas.openxmlformats.org/officeDocument/2006/relationships/hyperlink" Target="https://www.gsma.com/solutions-and-impact/connectivity-for-good/public-policy/mobile-policy-handbook/consumer-protection/mandatory-registration-of-prepaid-sims/" TargetMode="External"/><Relationship Id="rId1568" Type="http://schemas.openxmlformats.org/officeDocument/2006/relationships/hyperlink" Target="https://ilga.org/ilga-world-maps/" TargetMode="External"/><Relationship Id="rId1775" Type="http://schemas.openxmlformats.org/officeDocument/2006/relationships/hyperlink" Target="https://unctad.org/page/data-protection-and-privacy-legislation-worldwide" TargetMode="External"/><Relationship Id="rId67" Type="http://schemas.openxmlformats.org/officeDocument/2006/relationships/hyperlink" Target="https://www.humandignitytrust.org/country-profile/argentina/;%20https:/ilga.org/ilga-world-maps/" TargetMode="External"/><Relationship Id="rId700" Type="http://schemas.openxmlformats.org/officeDocument/2006/relationships/hyperlink" Target="https://www.gsma.com/solutions-and-impact/connectivity-for-good/public-policy/mobile-policy-handbook/consumer-protection/mandatory-registration-of-prepaid-sims/" TargetMode="External"/><Relationship Id="rId1123" Type="http://schemas.openxmlformats.org/officeDocument/2006/relationships/hyperlink" Target="https://unctad.org/page/data-protection-and-privacy-legislation-worldwide;%20https:/www.unicef.org/monaco/" TargetMode="External"/><Relationship Id="rId1330" Type="http://schemas.openxmlformats.org/officeDocument/2006/relationships/hyperlink" Target="https://www.gsma.com/solutions-and-impact/connectivity-for-good/public-policy/mobile-policy-handbook/consumer-protection/mandatory-registration-of-prepaid-sims/" TargetMode="External"/><Relationship Id="rId1428" Type="http://schemas.openxmlformats.org/officeDocument/2006/relationships/hyperlink" Target="https://ilga.org/ilga-world-maps/" TargetMode="External"/><Relationship Id="rId1635" Type="http://schemas.openxmlformats.org/officeDocument/2006/relationships/hyperlink" Target="https://unctad.org/page/data-protection-and-privacy-legislation-worldwide" TargetMode="External"/><Relationship Id="rId1842" Type="http://schemas.openxmlformats.org/officeDocument/2006/relationships/hyperlink" Target="https://unctad.org/page/data-protection-and-privacy-legislation-worldwide" TargetMode="External"/><Relationship Id="rId1702" Type="http://schemas.openxmlformats.org/officeDocument/2006/relationships/hyperlink" Target="https://unctad.org/page/data-protection-and-privacy-legislation-worldwide" TargetMode="External"/><Relationship Id="rId283" Type="http://schemas.openxmlformats.org/officeDocument/2006/relationships/hyperlink" Target="https://unctad.org/page/data-protection-and-privacy-legislation-worldwide;%20https:/www.unicef.org/cabo-verde/" TargetMode="External"/><Relationship Id="rId49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43" Type="http://schemas.openxmlformats.org/officeDocument/2006/relationships/hyperlink" Target="https://unctad.org/page/data-protection-and-privacy-legislation-worldwide;%20https:/www.unicef.org/barbados/" TargetMode="External"/><Relationship Id="rId35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588" Type="http://schemas.openxmlformats.org/officeDocument/2006/relationships/hyperlink" Target="https://ilga.org/ilga-world-maps/" TargetMode="External"/><Relationship Id="rId795" Type="http://schemas.openxmlformats.org/officeDocument/2006/relationships/hyperlink" Target="https://unctad.org/page/data-protection-and-privacy-legislation-worldwide" TargetMode="External"/><Relationship Id="rId9" Type="http://schemas.openxmlformats.org/officeDocument/2006/relationships/hyperlink" Target="https://www.unicef.org/afghanistan/reports/child-protection-afghanistan-2023" TargetMode="External"/><Relationship Id="rId21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448" Type="http://schemas.openxmlformats.org/officeDocument/2006/relationships/hyperlink" Target="https://ilga.org/ilga-world-maps/" TargetMode="External"/><Relationship Id="rId655" Type="http://schemas.openxmlformats.org/officeDocument/2006/relationships/hyperlink" Target="https://unctad.org/page/data-protection-and-privacy-legislation-worldwide" TargetMode="External"/><Relationship Id="rId862" Type="http://schemas.openxmlformats.org/officeDocument/2006/relationships/hyperlink" Target="https://unctad.org/page/data-protection-and-privacy-legislation-worldwide" TargetMode="External"/><Relationship Id="rId1078" Type="http://schemas.openxmlformats.org/officeDocument/2006/relationships/hyperlink" Target="https://ilga.org/ilga-world-maps/" TargetMode="External"/><Relationship Id="rId1285" Type="http://schemas.openxmlformats.org/officeDocument/2006/relationships/hyperlink" Target="https://unctad.org/page/data-protection-and-privacy-legislation-worldwide" TargetMode="External"/><Relationship Id="rId1492" Type="http://schemas.openxmlformats.org/officeDocument/2006/relationships/hyperlink" Target="https://unctad.org/page/data-protection-and-privacy-legislation-worldwide" TargetMode="External"/><Relationship Id="rId308" Type="http://schemas.openxmlformats.org/officeDocument/2006/relationships/hyperlink" Target="https://ilga.org/ilga-world-maps/" TargetMode="External"/><Relationship Id="rId515" Type="http://schemas.openxmlformats.org/officeDocument/2006/relationships/hyperlink" Target="https://unctad.org/page/data-protection-and-privacy-legislation-worldwide" TargetMode="External"/><Relationship Id="rId722" Type="http://schemas.openxmlformats.org/officeDocument/2006/relationships/hyperlink" Target="https://unctad.org/page/data-protection-and-privacy-legislation-worldwide" TargetMode="External"/><Relationship Id="rId1145" Type="http://schemas.openxmlformats.org/officeDocument/2006/relationships/hyperlink" Target="https://unctad.org/page/data-protection-and-privacy-legislation-worldwide" TargetMode="External"/><Relationship Id="rId1352" Type="http://schemas.openxmlformats.org/officeDocument/2006/relationships/hyperlink" Target="https://unctad.org/page/data-protection-and-privacy-legislation-worldwide" TargetMode="External"/><Relationship Id="rId1797" Type="http://schemas.openxmlformats.org/officeDocument/2006/relationships/hyperlink" Target="https://www.humandignitytrust.org/country-profile/turkmenistan/;%20https:/ilga.org/ilga-world-maps/" TargetMode="External"/><Relationship Id="rId89" Type="http://schemas.openxmlformats.org/officeDocument/2006/relationships/hyperlink" Target="https://www.unicef.org/australia/" TargetMode="External"/><Relationship Id="rId1005" Type="http://schemas.openxmlformats.org/officeDocument/2006/relationships/hyperlink" Target="https://unctad.org/page/data-protection-and-privacy-legislation-worldwide" TargetMode="External"/><Relationship Id="rId1212" Type="http://schemas.openxmlformats.org/officeDocument/2006/relationships/hyperlink" Target="https://unctad.org/page/data-protection-and-privacy-legislation-worldwide" TargetMode="External"/><Relationship Id="rId1657" Type="http://schemas.openxmlformats.org/officeDocument/2006/relationships/hyperlink" Target="https://www.humandignitytrust.org/country-profile/sudan/;%20https:/ilga.org/ilga-world-maps/" TargetMode="External"/><Relationship Id="rId1864" Type="http://schemas.openxmlformats.org/officeDocument/2006/relationships/hyperlink" Target="https://unctad.org/page/data-protection-and-privacy-legislation-worldwide" TargetMode="External"/><Relationship Id="rId1517" Type="http://schemas.openxmlformats.org/officeDocument/2006/relationships/hyperlink" Target="https://www.humandignitytrust.org/country-profile/senegal/;%20https:/ilga.org/ilga-world-maps/" TargetMode="External"/><Relationship Id="rId1724" Type="http://schemas.openxmlformats.org/officeDocument/2006/relationships/hyperlink" Target="https://unctad.org/page/data-protection-and-privacy-legislation-worldwide" TargetMode="External"/><Relationship Id="rId16" Type="http://schemas.openxmlformats.org/officeDocument/2006/relationships/hyperlink" Target="https://idp.al/wp-content/uploads/2018/11/Law_9887_2008_EN.pdf;%20https:/www.dataguidance.com/notes/albania-data-protection-overview" TargetMode="External"/><Relationship Id="rId1931" Type="http://schemas.openxmlformats.org/officeDocument/2006/relationships/hyperlink" Target="https://en.unesco.org/artificial-intelligence/observatory/policies?country=ZW;%20https://www.unesco.org/ethics-ai/en/global-hub" TargetMode="External"/><Relationship Id="rId165" Type="http://schemas.openxmlformats.org/officeDocument/2006/relationships/hyperlink" Target="https://unctad.org/page/data-protection-and-privacy-legislation-worldwide" TargetMode="External"/><Relationship Id="rId372" Type="http://schemas.openxmlformats.org/officeDocument/2006/relationships/hyperlink" Target="https://unctad.org/page/data-protection-and-privacy-legislation-worldwide" TargetMode="External"/><Relationship Id="rId677" Type="http://schemas.openxmlformats.org/officeDocument/2006/relationships/hyperlink" Target="https://www.humandignitytrust.org/country-profile/greece/;%20https:/ilga.org/ilga-world-maps/" TargetMode="External"/><Relationship Id="rId232" Type="http://schemas.openxmlformats.org/officeDocument/2006/relationships/hyperlink" Target="https://unctad.org/page/data-protection-and-privacy-legislation-worldwide" TargetMode="External"/><Relationship Id="rId884" Type="http://schemas.openxmlformats.org/officeDocument/2006/relationships/hyperlink" Target="https://unctad.org/page/data-protection-and-privacy-legislation-worldwide" TargetMode="External"/><Relationship Id="rId537" Type="http://schemas.openxmlformats.org/officeDocument/2006/relationships/hyperlink" Target="https://www.humandignitytrust.org/country-profile/el-salvador/;%20https:/ilga.org/ilga-world-maps/" TargetMode="External"/><Relationship Id="rId744" Type="http://schemas.openxmlformats.org/officeDocument/2006/relationships/hyperlink" Target="https://unctad.org/page/data-protection-and-privacy-legislation-worldwide" TargetMode="External"/><Relationship Id="rId951" Type="http://schemas.openxmlformats.org/officeDocument/2006/relationships/hyperlink" Target="https://en.unesco.org/artificial-intelligence/observatory/policies?country=LS;%20https://www.unesco.org/ethics-ai/en/global-hub" TargetMode="External"/><Relationship Id="rId1167" Type="http://schemas.openxmlformats.org/officeDocument/2006/relationships/hyperlink" Target="https://www.humandignitytrust.org/country-profile/mozambique/;%20https:/ilga.org/ilga-world-maps/" TargetMode="External"/><Relationship Id="rId1374" Type="http://schemas.openxmlformats.org/officeDocument/2006/relationships/hyperlink" Target="https://unctad.org/page/data-protection-and-privacy-legislation-worldwide" TargetMode="External"/><Relationship Id="rId1581" Type="http://schemas.openxmlformats.org/officeDocument/2006/relationships/hyperlink" Target="https://en.unesco.org/artificial-intelligence/observatory/policies?country=SB;%20https://www.unesco.org/ethics-ai/en/global-hub" TargetMode="External"/><Relationship Id="rId1679" Type="http://schemas.openxmlformats.org/officeDocument/2006/relationships/hyperlink" Target="https://www.unicef.org/sweden/" TargetMode="External"/><Relationship Id="rId8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604" Type="http://schemas.openxmlformats.org/officeDocument/2006/relationships/hyperlink" Target="https://unctad.org/page/data-protection-and-privacy-legislation-worldwide" TargetMode="External"/><Relationship Id="rId811" Type="http://schemas.openxmlformats.org/officeDocument/2006/relationships/hyperlink" Target="https://en.unesco.org/artificial-intelligence/observatory/policies?country=IE;%20https://www.unesco.org/ethics-ai/en/global-hub" TargetMode="External"/><Relationship Id="rId1027" Type="http://schemas.openxmlformats.org/officeDocument/2006/relationships/hyperlink" Target="https://www.humandignitytrust.org/country-profile/malawi/;%20https:/ilga.org/ilga-world-maps/" TargetMode="External"/><Relationship Id="rId1234" Type="http://schemas.openxmlformats.org/officeDocument/2006/relationships/hyperlink" Target="https://unctad.org/page/data-protection-and-privacy-legislation-worldwide" TargetMode="External"/><Relationship Id="rId1441" Type="http://schemas.openxmlformats.org/officeDocument/2006/relationships/hyperlink" Target="https://en.unesco.org/artificial-intelligence/observatory/policies?country=KN;%20https://www.unesco.org/ethics-ai/en/global-hub" TargetMode="External"/><Relationship Id="rId1886" Type="http://schemas.openxmlformats.org/officeDocument/2006/relationships/hyperlink" Target="https://unctad.org/page/data-protection-and-privacy-legislation-worldwide" TargetMode="External"/><Relationship Id="rId909" Type="http://schemas.openxmlformats.org/officeDocument/2006/relationships/hyperlink" Target="https://www.unicef.org/kuwait/" TargetMode="External"/><Relationship Id="rId1301" Type="http://schemas.openxmlformats.org/officeDocument/2006/relationships/hyperlink" Target="https://en.unesco.org/artificial-intelligence/observatory/policies?country=PW;%20https://www.unesco.org/ethics-ai/en/global-hub" TargetMode="External"/><Relationship Id="rId1539" Type="http://schemas.openxmlformats.org/officeDocument/2006/relationships/hyperlink" Target="https://www.unicef.org/seychelles/" TargetMode="External"/><Relationship Id="rId1746" Type="http://schemas.openxmlformats.org/officeDocument/2006/relationships/hyperlink" Target="https://unctad.org/page/data-protection-and-privacy-legislation-worldwide" TargetMode="External"/><Relationship Id="rId38" Type="http://schemas.openxmlformats.org/officeDocument/2006/relationships/hyperlink" Target="https://ilga.org/maps-sexual-orientation-laws" TargetMode="External"/><Relationship Id="rId1606" Type="http://schemas.openxmlformats.org/officeDocument/2006/relationships/hyperlink" Target="https://unctad.org/page/data-protection-and-privacy-legislation-worldwide" TargetMode="External"/><Relationship Id="rId1813" Type="http://schemas.openxmlformats.org/officeDocument/2006/relationships/hyperlink" Target="https://unctad.org/page/data-protection-and-privacy-legislation-worldwide;%20https:/www.unicef.org/uganda/" TargetMode="External"/><Relationship Id="rId187" Type="http://schemas.openxmlformats.org/officeDocument/2006/relationships/hyperlink" Target="https://www.humandignitytrust.org/country-profile/benin/;%20https:/ilga.org/ilga-world-maps/" TargetMode="External"/><Relationship Id="rId394" Type="http://schemas.openxmlformats.org/officeDocument/2006/relationships/hyperlink" Target="https://unctad.org/page/data-protection-and-privacy-legislation-worldwide" TargetMode="External"/><Relationship Id="rId254" Type="http://schemas.openxmlformats.org/officeDocument/2006/relationships/hyperlink" Target="https://unctad.org/page/data-protection-and-privacy-legislation-worldwide" TargetMode="External"/><Relationship Id="rId699" Type="http://schemas.openxmlformats.org/officeDocument/2006/relationships/hyperlink" Target="https://www.unicef.org/guatemala/" TargetMode="External"/><Relationship Id="rId1091" Type="http://schemas.openxmlformats.org/officeDocument/2006/relationships/hyperlink" Target="https://en.unesco.org/artificial-intelligence/observatory/policies?country=MU;%20https://www.unesco.org/ethics-ai/en/global-hub" TargetMode="External"/><Relationship Id="rId114" Type="http://schemas.openxmlformats.org/officeDocument/2006/relationships/hyperlink" Target="https://unctad.org/page/data-protection-and-privacy-legislation-worldwide" TargetMode="External"/><Relationship Id="rId461" Type="http://schemas.openxmlformats.org/officeDocument/2006/relationships/hyperlink" Target="https://www.unesco.org/ethics-ai/en/global-hub" TargetMode="External"/><Relationship Id="rId559" Type="http://schemas.openxmlformats.org/officeDocument/2006/relationships/hyperlink" Target="https://www.unicef.org/eritrea/" TargetMode="External"/><Relationship Id="rId766" Type="http://schemas.openxmlformats.org/officeDocument/2006/relationships/hyperlink" Target="https://unctad.org/page/data-protection-and-privacy-legislation-worldwide" TargetMode="External"/><Relationship Id="rId1189" Type="http://schemas.openxmlformats.org/officeDocument/2006/relationships/hyperlink" Target="https://www.unicef.org/namibia/" TargetMode="External"/><Relationship Id="rId1396" Type="http://schemas.openxmlformats.org/officeDocument/2006/relationships/hyperlink" Target="https://unctad.org/page/data-protection-and-privacy-legislation-worldwide" TargetMode="External"/><Relationship Id="rId321" Type="http://schemas.openxmlformats.org/officeDocument/2006/relationships/hyperlink" Target="https://en.unesco.org/artificial-intelligence/observatory/policies?country=CF;%20https://www.unesco.org/ethics-ai/en/global-hub" TargetMode="External"/><Relationship Id="rId419" Type="http://schemas.openxmlformats.org/officeDocument/2006/relationships/hyperlink" Target="https://www.unicef.org/cuba/" TargetMode="External"/><Relationship Id="rId626" Type="http://schemas.openxmlformats.org/officeDocument/2006/relationships/hyperlink" Target="https://unctad.org/page/data-protection-and-privacy-legislation-worldwide" TargetMode="External"/><Relationship Id="rId973" Type="http://schemas.openxmlformats.org/officeDocument/2006/relationships/hyperlink" Target="https://www.unicef.org/libya/" TargetMode="External"/><Relationship Id="rId1049" Type="http://schemas.openxmlformats.org/officeDocument/2006/relationships/hyperlink" Target="https://www.unicef.org/maldives/" TargetMode="External"/><Relationship Id="rId1256" Type="http://schemas.openxmlformats.org/officeDocument/2006/relationships/hyperlink" Target="https://unctad.org/page/data-protection-and-privacy-legislation-worldwide" TargetMode="External"/><Relationship Id="rId833" Type="http://schemas.openxmlformats.org/officeDocument/2006/relationships/hyperlink" Target="https://unctad.org/page/data-protection-and-privacy-legislation-worldwide;%20https:/www.unicef.org/italy/" TargetMode="External"/><Relationship Id="rId1116" Type="http://schemas.openxmlformats.org/officeDocument/2006/relationships/hyperlink" Target="https://unctad.org/page/data-protection-and-privacy-legislation-worldwide" TargetMode="External"/><Relationship Id="rId1463" Type="http://schemas.openxmlformats.org/officeDocument/2006/relationships/hyperlink" Target="https://www.unicef.org/saint-vincent-and-the-grenadines/" TargetMode="External"/><Relationship Id="rId1670" Type="http://schemas.openxmlformats.org/officeDocument/2006/relationships/hyperlink" Target="https://www.gsma.com/solutions-and-impact/connectivity-for-good/public-policy/mobile-policy-handbook/consumer-protection/mandatory-registration-of-prepaid-sims/" TargetMode="External"/><Relationship Id="rId1768" Type="http://schemas.openxmlformats.org/officeDocument/2006/relationships/hyperlink" Target="https://ilga.org/ilga-world-maps/" TargetMode="External"/><Relationship Id="rId900" Type="http://schemas.openxmlformats.org/officeDocument/2006/relationships/hyperlink" Target="https://www.gsma.com/solutions-and-impact/connectivity-for-good/public-policy/mobile-policy-handbook/consumer-protection/mandatory-registration-of-prepaid-sims/" TargetMode="External"/><Relationship Id="rId1323" Type="http://schemas.openxmlformats.org/officeDocument/2006/relationships/hyperlink" Target="https://www.unicef.org/papua-new-guinea/" TargetMode="External"/><Relationship Id="rId1530" Type="http://schemas.openxmlformats.org/officeDocument/2006/relationships/hyperlink" Target="https://www.gsma.com/solutions-and-impact/connectivity-for-good/public-policy/mobile-policy-handbook/consumer-protection/mandatory-registration-of-prepaid-sims/" TargetMode="External"/><Relationship Id="rId1628" Type="http://schemas.openxmlformats.org/officeDocument/2006/relationships/hyperlink" Target="https://ilga.org/ilga-world-maps/" TargetMode="External"/><Relationship Id="rId1835" Type="http://schemas.openxmlformats.org/officeDocument/2006/relationships/hyperlink" Target="https://unctad.org/page/data-protection-and-privacy-legislation-worldwide" TargetMode="External"/><Relationship Id="rId1902" Type="http://schemas.openxmlformats.org/officeDocument/2006/relationships/hyperlink" Target="https://unctad.org/page/data-protection-and-privacy-legislation-worldwide" TargetMode="External"/><Relationship Id="rId276" Type="http://schemas.openxmlformats.org/officeDocument/2006/relationships/hyperlink" Target="https://unctad.org/page/data-protection-and-privacy-legislation-worldwide" TargetMode="External"/><Relationship Id="rId483" Type="http://schemas.openxmlformats.org/officeDocument/2006/relationships/hyperlink" Target="https://www.unicef.org/djibouti/" TargetMode="External"/><Relationship Id="rId690" Type="http://schemas.openxmlformats.org/officeDocument/2006/relationships/hyperlink" Target="https://www.gsma.com/solutions-and-impact/connectivity-for-good/public-policy/mobile-policy-handbook/consumer-protection/mandatory-registration-of-prepaid-sims/" TargetMode="External"/><Relationship Id="rId136" Type="http://schemas.openxmlformats.org/officeDocument/2006/relationships/hyperlink" Target="https://unctad.org/page/data-protection-and-privacy-legislation-worldwide" TargetMode="External"/><Relationship Id="rId343" Type="http://schemas.openxmlformats.org/officeDocument/2006/relationships/hyperlink" Target="https://unctad.org/page/data-protection-and-privacy-legislation-worldwide;%20https:/www.unicef.org/chile/" TargetMode="External"/><Relationship Id="rId55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788" Type="http://schemas.openxmlformats.org/officeDocument/2006/relationships/hyperlink" Target="https://ilga.org/ilga-world-maps/" TargetMode="External"/><Relationship Id="rId995" Type="http://schemas.openxmlformats.org/officeDocument/2006/relationships/hyperlink" Target="https://unctad.org/page/data-protection-and-privacy-legislation-worldwide" TargetMode="External"/><Relationship Id="rId118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203" Type="http://schemas.openxmlformats.org/officeDocument/2006/relationships/hyperlink" Target="https://unctad.org/page/data-protection-and-privacy-legislation-worldwide;%20https:/www.unicef.org/bolivia-plurinational-state-of/" TargetMode="External"/><Relationship Id="rId648" Type="http://schemas.openxmlformats.org/officeDocument/2006/relationships/hyperlink" Target="https://ilga.org/ilga-world-maps/" TargetMode="External"/><Relationship Id="rId855" Type="http://schemas.openxmlformats.org/officeDocument/2006/relationships/hyperlink" Target="https://unctad.org/page/data-protection-and-privacy-legislation-worldwide" TargetMode="External"/><Relationship Id="rId104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278" Type="http://schemas.openxmlformats.org/officeDocument/2006/relationships/hyperlink" Target="https://ilga.org/ilga-world-maps/" TargetMode="External"/><Relationship Id="rId1485" Type="http://schemas.openxmlformats.org/officeDocument/2006/relationships/hyperlink" Target="https://unctad.org/page/data-protection-and-privacy-legislation-worldwide" TargetMode="External"/><Relationship Id="rId1692" Type="http://schemas.openxmlformats.org/officeDocument/2006/relationships/hyperlink" Target="https://unctad.org/page/data-protection-and-privacy-legislation-worldwide" TargetMode="External"/><Relationship Id="rId41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508" Type="http://schemas.openxmlformats.org/officeDocument/2006/relationships/hyperlink" Target="https://ilga.org/ilga-world-maps/" TargetMode="External"/><Relationship Id="rId715" Type="http://schemas.openxmlformats.org/officeDocument/2006/relationships/hyperlink" Target="https://unctad.org/page/data-protection-and-privacy-legislation-worldwide" TargetMode="External"/><Relationship Id="rId922" Type="http://schemas.openxmlformats.org/officeDocument/2006/relationships/hyperlink" Target="https://unctad.org/page/data-protection-and-privacy-legislation-worldwide" TargetMode="External"/><Relationship Id="rId1138" Type="http://schemas.openxmlformats.org/officeDocument/2006/relationships/hyperlink" Target="https://ilga.org/ilga-world-maps/" TargetMode="External"/><Relationship Id="rId1345" Type="http://schemas.openxmlformats.org/officeDocument/2006/relationships/hyperlink" Target="https://unctad.org/page/data-protection-and-privacy-legislation-worldwide" TargetMode="External"/><Relationship Id="rId1552" Type="http://schemas.openxmlformats.org/officeDocument/2006/relationships/hyperlink" Target="https://unctad.org/page/data-protection-and-privacy-legislation-worldwide" TargetMode="External"/><Relationship Id="rId1205" Type="http://schemas.openxmlformats.org/officeDocument/2006/relationships/hyperlink" Target="https://unctad.org/page/data-protection-and-privacy-legislation-worldwide" TargetMode="External"/><Relationship Id="rId1857" Type="http://schemas.openxmlformats.org/officeDocument/2006/relationships/hyperlink" Target="https://www.humandignitytrust.org/country-profile/united-states-of-america/;%20https:/ilga.org/ilga-world-maps/" TargetMode="External"/><Relationship Id="rId51" Type="http://schemas.openxmlformats.org/officeDocument/2006/relationships/hyperlink" Target="https://en.unesco.org/artificial-intelligence/observatory/policies?country=AG;%20https://www.unesco.org/ethics-ai/en/global-hub" TargetMode="External"/><Relationship Id="rId1412" Type="http://schemas.openxmlformats.org/officeDocument/2006/relationships/hyperlink" Target="https://unctad.org/page/data-protection-and-privacy-legislation-worldwide" TargetMode="External"/><Relationship Id="rId1717" Type="http://schemas.openxmlformats.org/officeDocument/2006/relationships/hyperlink" Target="https://www.humandignitytrust.org/country-profile/tanzania/;%20https:/ilga.org/ilga-world-maps/" TargetMode="External"/><Relationship Id="rId1924" Type="http://schemas.openxmlformats.org/officeDocument/2006/relationships/hyperlink" Target="https://unctad.org/page/data-protection-and-privacy-legislation-worldwide" TargetMode="External"/><Relationship Id="rId298" Type="http://schemas.openxmlformats.org/officeDocument/2006/relationships/hyperlink" Target="https://ilga.org/ilga-world-maps/" TargetMode="External"/><Relationship Id="rId158" Type="http://schemas.openxmlformats.org/officeDocument/2006/relationships/hyperlink" Target="https://ilga.org/ilga-world-maps/" TargetMode="External"/><Relationship Id="rId365" Type="http://schemas.openxmlformats.org/officeDocument/2006/relationships/hyperlink" Target="https://unctad.org/page/data-protection-and-privacy-legislation-worldwide" TargetMode="External"/><Relationship Id="rId572" Type="http://schemas.openxmlformats.org/officeDocument/2006/relationships/hyperlink" Target="https://unctad.org/page/data-protection-and-privacy-legislation-worldwide" TargetMode="External"/><Relationship Id="rId225" Type="http://schemas.openxmlformats.org/officeDocument/2006/relationships/hyperlink" Target="https://unctad.org/page/data-protection-and-privacy-legislation-worldwide" TargetMode="External"/><Relationship Id="rId432" Type="http://schemas.openxmlformats.org/officeDocument/2006/relationships/hyperlink" Target="https://unctad.org/page/data-protection-and-privacy-legislation-worldwide" TargetMode="External"/><Relationship Id="rId877" Type="http://schemas.openxmlformats.org/officeDocument/2006/relationships/hyperlink" Target="https://www.humandignitytrust.org/country-profile/kazakhstan/;%20https:/ilga.org/ilga-world-maps/" TargetMode="External"/><Relationship Id="rId1062" Type="http://schemas.openxmlformats.org/officeDocument/2006/relationships/hyperlink" Target="https://unctad.org/page/data-protection-and-privacy-legislation-worldwide" TargetMode="External"/><Relationship Id="rId737" Type="http://schemas.openxmlformats.org/officeDocument/2006/relationships/hyperlink" Target="https://www.humandignitytrust.org/country-profile/haiti/;%20https:/ilga.org/ilga-world-maps/" TargetMode="External"/><Relationship Id="rId944" Type="http://schemas.openxmlformats.org/officeDocument/2006/relationships/hyperlink" Target="https://unctad.org/page/data-protection-and-privacy-legislation-worldwide" TargetMode="External"/><Relationship Id="rId1367" Type="http://schemas.openxmlformats.org/officeDocument/2006/relationships/hyperlink" Target="https://www.humandignitytrust.org/country-profile/poland/;%20https:/ilga.org/ilga-world-maps/" TargetMode="External"/><Relationship Id="rId1574" Type="http://schemas.openxmlformats.org/officeDocument/2006/relationships/hyperlink" Target="https://unctad.org/page/data-protection-and-privacy-legislation-worldwide" TargetMode="External"/><Relationship Id="rId1781" Type="http://schemas.openxmlformats.org/officeDocument/2006/relationships/hyperlink" Target="https://www.unesco.org/ethics-ai/en/global-hub" TargetMode="External"/><Relationship Id="rId73" Type="http://schemas.openxmlformats.org/officeDocument/2006/relationships/hyperlink" Target="https://unctad.org/page/data-protection-and-privacy-legislation-worldwide;%20https:/www.unicef.org/armenia/" TargetMode="External"/><Relationship Id="rId804" Type="http://schemas.openxmlformats.org/officeDocument/2006/relationships/hyperlink" Target="https://unctad.org/page/data-protection-and-privacy-legislation-worldwide" TargetMode="External"/><Relationship Id="rId1227" Type="http://schemas.openxmlformats.org/officeDocument/2006/relationships/hyperlink" Target="https://www.humandignitytrust.org/country-profile/new-zealand/;%20https:/ilga.org/ilga-world-maps/" TargetMode="External"/><Relationship Id="rId1434" Type="http://schemas.openxmlformats.org/officeDocument/2006/relationships/hyperlink" Target="https://unctad.org/page/data-protection-and-privacy-legislation-worldwide" TargetMode="External"/><Relationship Id="rId1641" Type="http://schemas.openxmlformats.org/officeDocument/2006/relationships/hyperlink" Target="https://www.unesco.org/ethics-ai/en/global-hub" TargetMode="External"/><Relationship Id="rId1879" Type="http://schemas.openxmlformats.org/officeDocument/2006/relationships/hyperlink" Target="https://www.unicef.org/uzbekistan/" TargetMode="External"/><Relationship Id="rId1501" Type="http://schemas.openxmlformats.org/officeDocument/2006/relationships/hyperlink" Target="https://en.unesco.org/artificial-intelligence/observatory/policies?country=SA;%20https://www.unesco.org/ethics-ai/en/global-hub" TargetMode="External"/><Relationship Id="rId1739" Type="http://schemas.openxmlformats.org/officeDocument/2006/relationships/hyperlink" Target="https://www.unicef.org/timor-leste/" TargetMode="External"/><Relationship Id="rId1806" Type="http://schemas.openxmlformats.org/officeDocument/2006/relationships/hyperlink" Target="https://unctad.org/page/data-protection-and-privacy-legislation-worldwide" TargetMode="External"/><Relationship Id="rId387" Type="http://schemas.openxmlformats.org/officeDocument/2006/relationships/hyperlink" Target="https://www.humandignitytrust.org/country-profile/congo-republic-of-the/;%20https:/ilga.org/ilga-world-maps/" TargetMode="External"/><Relationship Id="rId594" Type="http://schemas.openxmlformats.org/officeDocument/2006/relationships/hyperlink" Target="https://unctad.org/page/data-protection-and-privacy-legislation-worldwide" TargetMode="External"/><Relationship Id="rId247" Type="http://schemas.openxmlformats.org/officeDocument/2006/relationships/hyperlink" Target="https://www.humandignitytrust.org/country-profile/brunei-darussalam/;%20https:/ilga.org/ilga-world-maps/" TargetMode="External"/><Relationship Id="rId899" Type="http://schemas.openxmlformats.org/officeDocument/2006/relationships/hyperlink" Target="https://www.unicef.org/kiribati/" TargetMode="External"/><Relationship Id="rId1084" Type="http://schemas.openxmlformats.org/officeDocument/2006/relationships/hyperlink" Target="https://unctad.org/page/data-protection-and-privacy-legislation-worldwide" TargetMode="External"/><Relationship Id="rId107" Type="http://schemas.openxmlformats.org/officeDocument/2006/relationships/hyperlink" Target="https://www.humandignitytrust.org/country-profile/azerbaijan/;%20https:/ilga.org/ilga-world-maps/" TargetMode="External"/><Relationship Id="rId454" Type="http://schemas.openxmlformats.org/officeDocument/2006/relationships/hyperlink" Target="https://unctad.org/page/data-protection-and-privacy-legislation-worldwide" TargetMode="External"/><Relationship Id="rId661" Type="http://schemas.openxmlformats.org/officeDocument/2006/relationships/hyperlink" Target="https://en.unesco.org/artificial-intelligence/observatory/policies?country=GH;%20https://www.unesco.org/ethics-ai/en/global-hub" TargetMode="External"/><Relationship Id="rId759" Type="http://schemas.openxmlformats.org/officeDocument/2006/relationships/hyperlink" Target="https://www.unicef.org/hungary/" TargetMode="External"/><Relationship Id="rId966" Type="http://schemas.openxmlformats.org/officeDocument/2006/relationships/hyperlink" Target="https://unctad.org/page/data-protection-and-privacy-legislation-worldwide" TargetMode="External"/><Relationship Id="rId1291" Type="http://schemas.openxmlformats.org/officeDocument/2006/relationships/hyperlink" Target="https://en.unesco.org/artificial-intelligence/observatory/policies?country=PK;%20https://www.unesco.org/ethics-ai/en/global-hub" TargetMode="External"/><Relationship Id="rId1389" Type="http://schemas.openxmlformats.org/officeDocument/2006/relationships/hyperlink" Target="https://www.unicef.org/qatar/" TargetMode="External"/><Relationship Id="rId1596" Type="http://schemas.openxmlformats.org/officeDocument/2006/relationships/hyperlink" Target="https://unctad.org/page/data-protection-and-privacy-legislation-worldwide" TargetMode="External"/><Relationship Id="rId314" Type="http://schemas.openxmlformats.org/officeDocument/2006/relationships/hyperlink" Target="https://unctad.org/page/data-protection-and-privacy-legislation-worldwide" TargetMode="External"/><Relationship Id="rId521" Type="http://schemas.openxmlformats.org/officeDocument/2006/relationships/hyperlink" Target="https://en.unesco.org/artificial-intelligence/observatory/policies?country=EG;%20https://www.unesco.org/ethics-ai/en/global-hub" TargetMode="External"/><Relationship Id="rId619" Type="http://schemas.openxmlformats.org/officeDocument/2006/relationships/hyperlink" Target="https://www.unicef.org/france/" TargetMode="External"/><Relationship Id="rId1151" Type="http://schemas.openxmlformats.org/officeDocument/2006/relationships/hyperlink" Target="https://en.unesco.org/artificial-intelligence/observatory/policies?country=MA;%20https://www.unesco.org/ethics-ai/en/global-hub" TargetMode="External"/><Relationship Id="rId1249" Type="http://schemas.openxmlformats.org/officeDocument/2006/relationships/hyperlink" Target="https://www.unicef.org/niger/" TargetMode="External"/><Relationship Id="rId95" Type="http://schemas.openxmlformats.org/officeDocument/2006/relationships/hyperlink" Target="https://unctad.org/page/data-protection-and-privacy-legislation-worldwide" TargetMode="External"/><Relationship Id="rId826" Type="http://schemas.openxmlformats.org/officeDocument/2006/relationships/hyperlink" Target="https://unctad.org/page/data-protection-and-privacy-legislation-worldwide" TargetMode="External"/><Relationship Id="rId1011" Type="http://schemas.openxmlformats.org/officeDocument/2006/relationships/hyperlink" Target="https://en.unesco.org/artificial-intelligence/observatory/policies?country=MG;%20https://www.unesco.org/ethics-ai/en/global-hub" TargetMode="External"/><Relationship Id="rId1109" Type="http://schemas.openxmlformats.org/officeDocument/2006/relationships/hyperlink" Target="https://www.unicef.org/mexico/" TargetMode="External"/><Relationship Id="rId1456" Type="http://schemas.openxmlformats.org/officeDocument/2006/relationships/hyperlink" Target="https://unctad.org/page/data-protection-and-privacy-legislation-worldwide" TargetMode="External"/><Relationship Id="rId1663" Type="http://schemas.openxmlformats.org/officeDocument/2006/relationships/hyperlink" Target="https://www.unicef.org/suriname/" TargetMode="External"/><Relationship Id="rId1870" Type="http://schemas.openxmlformats.org/officeDocument/2006/relationships/hyperlink" Target="https://www.gsma.com/solutions-and-impact/connectivity-for-good/public-policy/mobile-policy-handbook/consumer-protection/mandatory-registration-of-prepaid-sims/" TargetMode="External"/><Relationship Id="rId1316" Type="http://schemas.openxmlformats.org/officeDocument/2006/relationships/hyperlink" Target="https://unctad.org/page/data-protection-and-privacy-legislation-worldwide" TargetMode="External"/><Relationship Id="rId1523" Type="http://schemas.openxmlformats.org/officeDocument/2006/relationships/hyperlink" Target="https://unctad.org/page/data-protection-and-privacy-legislation-worldwide;%20https:/www.unicef.org/serbia/" TargetMode="External"/><Relationship Id="rId1730" Type="http://schemas.openxmlformats.org/officeDocument/2006/relationships/hyperlink" Target="https://www.gsma.com/solutions-and-impact/connectivity-for-good/public-policy/mobile-policy-handbook/consumer-protection/mandatory-registration-of-prepaid-sims/" TargetMode="External"/><Relationship Id="rId22" Type="http://schemas.openxmlformats.org/officeDocument/2006/relationships/hyperlink" Target="https://www.dlapiperdataprotection.com/index.html?t=law&amp;c=DZ;%20https://www.cnil.fr/en/data-protection-around-the-world" TargetMode="External"/><Relationship Id="rId1828" Type="http://schemas.openxmlformats.org/officeDocument/2006/relationships/hyperlink" Target="https://ilga.org/ilga-world-maps/" TargetMode="External"/><Relationship Id="rId171" Type="http://schemas.openxmlformats.org/officeDocument/2006/relationships/hyperlink" Target="https://en.unesco.org/artificial-intelligence/observatory/policies?country=BZ;%20https://www.unesco.org/ethics-ai/en/global-hub" TargetMode="External"/><Relationship Id="rId269" Type="http://schemas.openxmlformats.org/officeDocument/2006/relationships/hyperlink" Target="https://www.unicef.org/burkina-faso/" TargetMode="External"/><Relationship Id="rId476" Type="http://schemas.openxmlformats.org/officeDocument/2006/relationships/hyperlink" Target="https://gdpr-info.eu/art-35-gdpr/" TargetMode="External"/><Relationship Id="rId683" Type="http://schemas.openxmlformats.org/officeDocument/2006/relationships/hyperlink" Target="https://www.unicef.org/grenada/" TargetMode="External"/><Relationship Id="rId89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29" Type="http://schemas.openxmlformats.org/officeDocument/2006/relationships/hyperlink" Target="https://www.unicef.org/bahrain/" TargetMode="External"/><Relationship Id="rId336" Type="http://schemas.openxmlformats.org/officeDocument/2006/relationships/hyperlink" Target="https://unctad.org/page/data-protection-and-privacy-legislation-worldwide" TargetMode="External"/><Relationship Id="rId543" Type="http://schemas.openxmlformats.org/officeDocument/2006/relationships/hyperlink" Target="https://www.unicef.org/equatorial-guinea/" TargetMode="External"/><Relationship Id="rId988" Type="http://schemas.openxmlformats.org/officeDocument/2006/relationships/hyperlink" Target="https://ilga.org/ilga-world-maps/" TargetMode="External"/><Relationship Id="rId1173" Type="http://schemas.openxmlformats.org/officeDocument/2006/relationships/hyperlink" Target="https://www.unicef.org/myanmar/" TargetMode="External"/><Relationship Id="rId1380" Type="http://schemas.openxmlformats.org/officeDocument/2006/relationships/hyperlink" Target="https://www.gsma.com/solutions-and-impact/connectivity-for-good/public-policy/mobile-policy-handbook/consumer-protection/mandatory-registration-of-prepaid-sims/" TargetMode="External"/><Relationship Id="rId403" Type="http://schemas.openxmlformats.org/officeDocument/2006/relationships/hyperlink" Target="https://unctad.org/page/data-protection-and-privacy-legislation-worldwide;%20https:/www.unicef.org/croatia/" TargetMode="External"/><Relationship Id="rId750" Type="http://schemas.openxmlformats.org/officeDocument/2006/relationships/hyperlink" Target="https://www.gsma.com/solutions-and-impact/connectivity-for-good/public-policy/mobile-policy-handbook/consumer-protection/mandatory-registration-of-prepaid-sims/" TargetMode="External"/><Relationship Id="rId848" Type="http://schemas.openxmlformats.org/officeDocument/2006/relationships/hyperlink" Target="https://ilga.org/ilga-world-maps/" TargetMode="External"/><Relationship Id="rId1033" Type="http://schemas.openxmlformats.org/officeDocument/2006/relationships/hyperlink" Target="https://unctad.org/page/data-protection-and-privacy-legislation-worldwide;%20https:/www.unicef.org/malaysia/" TargetMode="External"/><Relationship Id="rId1478" Type="http://schemas.openxmlformats.org/officeDocument/2006/relationships/hyperlink" Target="https://ilga.org/ilga-world-maps/" TargetMode="External"/><Relationship Id="rId1685" Type="http://schemas.openxmlformats.org/officeDocument/2006/relationships/hyperlink" Target="https://unctad.org/page/data-protection-and-privacy-legislation-worldwide" TargetMode="External"/><Relationship Id="rId1892" Type="http://schemas.openxmlformats.org/officeDocument/2006/relationships/hyperlink" Target="https://unctad.org/page/data-protection-and-privacy-legislation-worldwide" TargetMode="External"/><Relationship Id="rId61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708" Type="http://schemas.openxmlformats.org/officeDocument/2006/relationships/hyperlink" Target="https://ilga.org/ilga-world-maps/" TargetMode="External"/><Relationship Id="rId915" Type="http://schemas.openxmlformats.org/officeDocument/2006/relationships/hyperlink" Target="https://unctad.org/page/data-protection-and-privacy-legislation-worldwide" TargetMode="External"/><Relationship Id="rId1240" Type="http://schemas.openxmlformats.org/officeDocument/2006/relationships/hyperlink" Target="https://www.gsma.com/solutions-and-impact/connectivity-for-good/public-policy/mobile-policy-handbook/consumer-protection/mandatory-registration-of-prepaid-sims/" TargetMode="External"/><Relationship Id="rId1338" Type="http://schemas.openxmlformats.org/officeDocument/2006/relationships/hyperlink" Target="https://ilga.org/ilga-world-maps/" TargetMode="External"/><Relationship Id="rId1545" Type="http://schemas.openxmlformats.org/officeDocument/2006/relationships/hyperlink" Target="https://unctad.org/page/data-protection-and-privacy-legislation-worldwide" TargetMode="External"/><Relationship Id="rId1100" Type="http://schemas.openxmlformats.org/officeDocument/2006/relationships/hyperlink" Target="https://www.gsma.com/solutions-and-impact/connectivity-for-good/public-policy/mobile-policy-handbook/consumer-protection/mandatory-registration-of-prepaid-sims/" TargetMode="External"/><Relationship Id="rId1405" Type="http://schemas.openxmlformats.org/officeDocument/2006/relationships/hyperlink" Target="https://unctad.org/page/data-protection-and-privacy-legislation-worldwide" TargetMode="External"/><Relationship Id="rId1752" Type="http://schemas.openxmlformats.org/officeDocument/2006/relationships/hyperlink" Target="https://unctad.org/page/data-protection-and-privacy-legislation-worldwide" TargetMode="External"/><Relationship Id="rId44" Type="http://schemas.openxmlformats.org/officeDocument/2006/relationships/hyperlink" Target="https://unctad.org/page/data-protection-and-privacy-legislation-worldwide" TargetMode="External"/><Relationship Id="rId1612" Type="http://schemas.openxmlformats.org/officeDocument/2006/relationships/hyperlink" Target="https://unctad.org/page/data-protection-and-privacy-legislation-worldwide" TargetMode="External"/><Relationship Id="rId1917" Type="http://schemas.openxmlformats.org/officeDocument/2006/relationships/hyperlink" Target="https://www.humandignitytrust.org/country-profile/yemen/;%20https:/ilga.org/ilga-world-maps/" TargetMode="External"/><Relationship Id="rId193" Type="http://schemas.openxmlformats.org/officeDocument/2006/relationships/hyperlink" Target="https://unctad.org/page/data-protection-and-privacy-legislation-worldwide;%20https:/www.unicef.org/bhutan/" TargetMode="External"/><Relationship Id="rId498" Type="http://schemas.openxmlformats.org/officeDocument/2006/relationships/hyperlink" Target="https://ilga.org/ilga-world-maps/" TargetMode="External"/><Relationship Id="rId26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2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358" Type="http://schemas.openxmlformats.org/officeDocument/2006/relationships/hyperlink" Target="https://ilga.org/ilga-world-maps/" TargetMode="External"/><Relationship Id="rId565" Type="http://schemas.openxmlformats.org/officeDocument/2006/relationships/hyperlink" Target="https://unctad.org/page/data-protection-and-privacy-legislation-worldwide" TargetMode="External"/><Relationship Id="rId772" Type="http://schemas.openxmlformats.org/officeDocument/2006/relationships/hyperlink" Target="https://unctad.org/page/data-protection-and-privacy-legislation-worldwide" TargetMode="External"/><Relationship Id="rId1195" Type="http://schemas.openxmlformats.org/officeDocument/2006/relationships/hyperlink" Target="https://unctad.org/page/data-protection-and-privacy-legislation-worldwide" TargetMode="External"/><Relationship Id="rId218" Type="http://schemas.openxmlformats.org/officeDocument/2006/relationships/hyperlink" Target="https://ilga.org/ilga-world-maps/" TargetMode="External"/><Relationship Id="rId425" Type="http://schemas.openxmlformats.org/officeDocument/2006/relationships/hyperlink" Target="https://unctad.org/page/data-protection-and-privacy-legislation-worldwide" TargetMode="External"/><Relationship Id="rId632" Type="http://schemas.openxmlformats.org/officeDocument/2006/relationships/hyperlink" Target="https://unctad.org/page/data-protection-and-privacy-legislation-worldwide" TargetMode="External"/><Relationship Id="rId1055" Type="http://schemas.openxmlformats.org/officeDocument/2006/relationships/hyperlink" Target="https://unctad.org/page/data-protection-and-privacy-legislation-worldwide" TargetMode="External"/><Relationship Id="rId1262" Type="http://schemas.openxmlformats.org/officeDocument/2006/relationships/hyperlink" Target="https://unctad.org/page/data-protection-and-privacy-legislation-worldwide" TargetMode="External"/><Relationship Id="rId937" Type="http://schemas.openxmlformats.org/officeDocument/2006/relationships/hyperlink" Target="https://www.humandignitytrust.org/country-profile/latvia/;%20https:/ilga.org/ilga-world-maps/" TargetMode="External"/><Relationship Id="rId1122" Type="http://schemas.openxmlformats.org/officeDocument/2006/relationships/hyperlink" Target="https://unctad.org/page/data-protection-and-privacy-legislation-worldwide" TargetMode="External"/><Relationship Id="rId1567" Type="http://schemas.openxmlformats.org/officeDocument/2006/relationships/hyperlink" Target="https://www.humandignitytrust.org/country-profile/slovakia/;%20https:/ilga.org/ilga-world-maps/" TargetMode="External"/><Relationship Id="rId1774" Type="http://schemas.openxmlformats.org/officeDocument/2006/relationships/hyperlink" Target="https://unctad.org/page/data-protection-and-privacy-legislation-worldwide" TargetMode="External"/><Relationship Id="rId66" Type="http://schemas.openxmlformats.org/officeDocument/2006/relationships/hyperlink" Target="https://unctad.org/page/data-protection-and-privacy-legislation-worldwide" TargetMode="External"/><Relationship Id="rId1427" Type="http://schemas.openxmlformats.org/officeDocument/2006/relationships/hyperlink" Target="https://www.humandignitytrust.org/country-profile/russian-federation/;%20https:/ilga.org/ilga-world-maps/" TargetMode="External"/><Relationship Id="rId1634" Type="http://schemas.openxmlformats.org/officeDocument/2006/relationships/hyperlink" Target="https://unctad.org/page/data-protection-and-privacy-legislation-worldwide" TargetMode="External"/><Relationship Id="rId1841" Type="http://schemas.openxmlformats.org/officeDocument/2006/relationships/hyperlink" Target="https://en.unesco.org/artificial-intelligence/observatory/policies?country=GB;%20https://www.unesco.org/ethics-ai/en/global-hub" TargetMode="External"/><Relationship Id="rId1939" Type="http://schemas.openxmlformats.org/officeDocument/2006/relationships/hyperlink" Target="https://www.unicef.org/zimbabwe/" TargetMode="External"/><Relationship Id="rId1701" Type="http://schemas.openxmlformats.org/officeDocument/2006/relationships/hyperlink" Target="https://en.unesco.org/artificial-intelligence/observatory/policies?country=TJ;%20https://www.unesco.org/ethics-ai/en/global-hub" TargetMode="External"/><Relationship Id="rId282" Type="http://schemas.openxmlformats.org/officeDocument/2006/relationships/hyperlink" Target="https://unctad.org/page/data-protection-and-privacy-legislation-worldwide" TargetMode="External"/><Relationship Id="rId587" Type="http://schemas.openxmlformats.org/officeDocument/2006/relationships/hyperlink" Target="https://www.humandignitytrust.org/country-profile/ethiopia/;%20https:/ilga.org/ilga-world-maps/" TargetMode="External"/><Relationship Id="rId8" Type="http://schemas.openxmlformats.org/officeDocument/2006/relationships/hyperlink" Target="https://www.hrw.org/news/2023/08/30/afghanistan-lgbt-afghans-face-persecution;%20https:/ilga.org/maps-sexual-orientation-laws" TargetMode="External"/><Relationship Id="rId142" Type="http://schemas.openxmlformats.org/officeDocument/2006/relationships/hyperlink" Target="https://unctad.org/page/data-protection-and-privacy-legislation-worldwide" TargetMode="External"/><Relationship Id="rId447" Type="http://schemas.openxmlformats.org/officeDocument/2006/relationships/hyperlink" Target="https://www.humandignitytrust.org/country-profile/cote-divoire/;%20https:/ilga.org/ilga-world-maps/" TargetMode="External"/><Relationship Id="rId794" Type="http://schemas.openxmlformats.org/officeDocument/2006/relationships/hyperlink" Target="https://unctad.org/page/data-protection-and-privacy-legislation-worldwide" TargetMode="External"/><Relationship Id="rId1077" Type="http://schemas.openxmlformats.org/officeDocument/2006/relationships/hyperlink" Target="https://www.humandignitytrust.org/country-profile/marshall-islands/;%20https:/ilga.org/ilga-world-maps/" TargetMode="External"/><Relationship Id="rId654" Type="http://schemas.openxmlformats.org/officeDocument/2006/relationships/hyperlink" Target="https://unctad.org/page/data-protection-and-privacy-legislation-worldwide" TargetMode="External"/><Relationship Id="rId861" Type="http://schemas.openxmlformats.org/officeDocument/2006/relationships/hyperlink" Target="https://en.unesco.org/artificial-intelligence/observatory/policies?country=JO;%20https://www.unesco.org/ethics-ai/en/global-hub" TargetMode="External"/><Relationship Id="rId959" Type="http://schemas.openxmlformats.org/officeDocument/2006/relationships/hyperlink" Target="https://www.unicef.org/lesotho/" TargetMode="External"/><Relationship Id="rId1284" Type="http://schemas.openxmlformats.org/officeDocument/2006/relationships/hyperlink" Target="https://unctad.org/page/data-protection-and-privacy-legislation-worldwide" TargetMode="External"/><Relationship Id="rId1491" Type="http://schemas.openxmlformats.org/officeDocument/2006/relationships/hyperlink" Target="https://en.unesco.org/artificial-intelligence/observatory/policies?country=ST;%20https://www.unesco.org/ethics-ai/en/global-hub" TargetMode="External"/><Relationship Id="rId1589" Type="http://schemas.openxmlformats.org/officeDocument/2006/relationships/hyperlink" Target="https://www.unicef.org/solomon-islands/" TargetMode="External"/><Relationship Id="rId307" Type="http://schemas.openxmlformats.org/officeDocument/2006/relationships/hyperlink" Target="https://www.humandignitytrust.org/country-profile/cameroon/;%20https:/ilga.org/ilga-world-maps/" TargetMode="External"/><Relationship Id="rId514" Type="http://schemas.openxmlformats.org/officeDocument/2006/relationships/hyperlink" Target="https://unctad.org/page/data-protection-and-privacy-legislation-worldwide" TargetMode="External"/><Relationship Id="rId721" Type="http://schemas.openxmlformats.org/officeDocument/2006/relationships/hyperlink" Target="https://en.unesco.org/artificial-intelligence/observatory/policies?country=GY;%20https://www.unesco.org/ethics-ai/en/global-hub" TargetMode="External"/><Relationship Id="rId1144" Type="http://schemas.openxmlformats.org/officeDocument/2006/relationships/hyperlink" Target="https://unctad.org/page/data-protection-and-privacy-legislation-worldwide" TargetMode="External"/><Relationship Id="rId1351" Type="http://schemas.openxmlformats.org/officeDocument/2006/relationships/hyperlink" Target="https://en.unesco.org/artificial-intelligence/observatory/policies?country=PH;%20https://www.unesco.org/ethics-ai/en/global-hub" TargetMode="External"/><Relationship Id="rId1449" Type="http://schemas.openxmlformats.org/officeDocument/2006/relationships/hyperlink" Target="https://www.unicef.org/saint-kitts-and-nevis/" TargetMode="External"/><Relationship Id="rId1796" Type="http://schemas.openxmlformats.org/officeDocument/2006/relationships/hyperlink" Target="https://unctad.org/page/data-protection-and-privacy-legislation-worldwide" TargetMode="External"/><Relationship Id="rId88" Type="http://schemas.openxmlformats.org/officeDocument/2006/relationships/hyperlink" Target="https://ilga.org/ilga-world-maps/" TargetMode="External"/><Relationship Id="rId819" Type="http://schemas.openxmlformats.org/officeDocument/2006/relationships/hyperlink" Target="https://www.unicef.org/ireland/" TargetMode="External"/><Relationship Id="rId1004" Type="http://schemas.openxmlformats.org/officeDocument/2006/relationships/hyperlink" Target="https://unctad.org/page/data-protection-and-privacy-legislation-worldwide" TargetMode="External"/><Relationship Id="rId1211" Type="http://schemas.openxmlformats.org/officeDocument/2006/relationships/hyperlink" Target="https://en.unesco.org/artificial-intelligence/observatory/policies?country=NL;%20https://www.unesco.org/ethics-ai/en/global-hub" TargetMode="External"/><Relationship Id="rId1656" Type="http://schemas.openxmlformats.org/officeDocument/2006/relationships/hyperlink" Target="https://unctad.org/page/data-protection-and-privacy-legislation-worldwide" TargetMode="External"/><Relationship Id="rId1863" Type="http://schemas.openxmlformats.org/officeDocument/2006/relationships/hyperlink" Target="https://unctad.org/page/data-protection-and-privacy-legislation-worldwide;%20https:/www.unicef.org/uruguay/" TargetMode="External"/><Relationship Id="rId1309" Type="http://schemas.openxmlformats.org/officeDocument/2006/relationships/hyperlink" Target="https://www.unicef.org/palau/" TargetMode="External"/><Relationship Id="rId1516" Type="http://schemas.openxmlformats.org/officeDocument/2006/relationships/hyperlink" Target="https://unctad.org/page/data-protection-and-privacy-legislation-worldwide" TargetMode="External"/><Relationship Id="rId1723" Type="http://schemas.openxmlformats.org/officeDocument/2006/relationships/hyperlink" Target="https://unctad.org/page/data-protection-and-privacy-legislation-worldwide;%20https:/www.unicef.org/thailand/" TargetMode="External"/><Relationship Id="rId1930" Type="http://schemas.openxmlformats.org/officeDocument/2006/relationships/hyperlink" Target="https://www.gsma.com/solutions-and-impact/connectivity-for-good/public-policy/mobile-policy-handbook/consumer-protection/mandatory-registration-of-prepaid-sims/" TargetMode="External"/><Relationship Id="rId15" Type="http://schemas.openxmlformats.org/officeDocument/2006/relationships/hyperlink" Target="https://idp.al/en/;%20https:/www.dataguidance.com/notes/albania-data-protection-overview" TargetMode="External"/><Relationship Id="rId164" Type="http://schemas.openxmlformats.org/officeDocument/2006/relationships/hyperlink" Target="https://unctad.org/page/data-protection-and-privacy-legislation-worldwide" TargetMode="External"/><Relationship Id="rId371" Type="http://schemas.openxmlformats.org/officeDocument/2006/relationships/hyperlink" Target="https://en.unesco.org/artificial-intelligence/observatory/policies?country=KM;%20https://www.unesco.org/ethics-ai/en/global-hub" TargetMode="External"/><Relationship Id="rId469" Type="http://schemas.openxmlformats.org/officeDocument/2006/relationships/hyperlink" Target="https://www.unicef.org/democratic-republic-of-the-congo/" TargetMode="External"/><Relationship Id="rId676" Type="http://schemas.openxmlformats.org/officeDocument/2006/relationships/hyperlink" Target="https://gdpr-info.eu/art-35-gdpr/" TargetMode="External"/><Relationship Id="rId883" Type="http://schemas.openxmlformats.org/officeDocument/2006/relationships/hyperlink" Target="https://unctad.org/page/data-protection-and-privacy-legislation-worldwide;%20https:/www.unicef.org/kenya/" TargetMode="External"/><Relationship Id="rId1099" Type="http://schemas.openxmlformats.org/officeDocument/2006/relationships/hyperlink" Target="https://www.unicef.org/mauritius/" TargetMode="External"/><Relationship Id="rId231" Type="http://schemas.openxmlformats.org/officeDocument/2006/relationships/hyperlink" Target="https://en.unesco.org/artificial-intelligence/observatory/policies?country=BR;%20https://www.unesco.org/ethics-ai/en/global-hub" TargetMode="External"/><Relationship Id="rId329" Type="http://schemas.openxmlformats.org/officeDocument/2006/relationships/hyperlink" Target="https://www.unicef.org/central-african-republic/" TargetMode="External"/><Relationship Id="rId536" Type="http://schemas.openxmlformats.org/officeDocument/2006/relationships/hyperlink" Target="https://unctad.org/page/data-protection-and-privacy-legislation-worldwide" TargetMode="External"/><Relationship Id="rId1166" Type="http://schemas.openxmlformats.org/officeDocument/2006/relationships/hyperlink" Target="https://unctad.org/page/data-protection-and-privacy-legislation-worldwide" TargetMode="External"/><Relationship Id="rId1373" Type="http://schemas.openxmlformats.org/officeDocument/2006/relationships/hyperlink" Target="https://unctad.org/page/data-protection-and-privacy-legislation-worldwide;%20https:/www.unicef.org/portugal/" TargetMode="External"/><Relationship Id="rId743" Type="http://schemas.openxmlformats.org/officeDocument/2006/relationships/hyperlink" Target="https://www.unicef.org/honduras/" TargetMode="External"/><Relationship Id="rId950" Type="http://schemas.openxmlformats.org/officeDocument/2006/relationships/hyperlink" Target="https://www.gsma.com/solutions-and-impact/connectivity-for-good/public-policy/mobile-policy-handbook/consumer-protection/mandatory-registration-of-prepaid-sims/" TargetMode="External"/><Relationship Id="rId1026" Type="http://schemas.openxmlformats.org/officeDocument/2006/relationships/hyperlink" Target="https://unctad.org/page/data-protection-and-privacy-legislation-worldwide" TargetMode="External"/><Relationship Id="rId1580" Type="http://schemas.openxmlformats.org/officeDocument/2006/relationships/hyperlink" Target="https://www.gsma.com/solutions-and-impact/connectivity-for-good/public-policy/mobile-policy-handbook/consumer-protection/mandatory-registration-of-prepaid-sims/" TargetMode="External"/><Relationship Id="rId1678" Type="http://schemas.openxmlformats.org/officeDocument/2006/relationships/hyperlink" Target="https://ilga.org/ilga-world-maps/" TargetMode="External"/><Relationship Id="rId1885" Type="http://schemas.openxmlformats.org/officeDocument/2006/relationships/hyperlink" Target="https://unctad.org/page/data-protection-and-privacy-legislation-worldwide" TargetMode="External"/><Relationship Id="rId603" Type="http://schemas.openxmlformats.org/officeDocument/2006/relationships/hyperlink" Target="https://unctad.org/page/data-protection-and-privacy-legislation-worldwide;%20https:/www.unicef.org/finland/" TargetMode="External"/><Relationship Id="rId81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908" Type="http://schemas.openxmlformats.org/officeDocument/2006/relationships/hyperlink" Target="https://ilga.org/ilga-world-maps/" TargetMode="External"/><Relationship Id="rId1233" Type="http://schemas.openxmlformats.org/officeDocument/2006/relationships/hyperlink" Target="https://www.unicef.org/nicaragua/" TargetMode="External"/><Relationship Id="rId1440" Type="http://schemas.openxmlformats.org/officeDocument/2006/relationships/hyperlink" Target="https://www.gsma.com/solutions-and-impact/connectivity-for-good/public-policy/mobile-policy-handbook/consumer-protection/mandatory-registration-of-prepaid-sims/" TargetMode="External"/><Relationship Id="rId1538" Type="http://schemas.openxmlformats.org/officeDocument/2006/relationships/hyperlink" Target="https://ilga.org/ilga-world-maps/" TargetMode="External"/><Relationship Id="rId130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745" Type="http://schemas.openxmlformats.org/officeDocument/2006/relationships/hyperlink" Target="https://unctad.org/page/data-protection-and-privacy-legislation-worldwide" TargetMode="External"/><Relationship Id="rId37" Type="http://schemas.openxmlformats.org/officeDocument/2006/relationships/hyperlink" Target="https://www.humandignitytrust.org/country-profile/andorra/;%20https:/www.reuters.com/world/europe/andorra-approves-same-sex-marriage-law-2022-07-22/" TargetMode="External"/><Relationship Id="rId1605" Type="http://schemas.openxmlformats.org/officeDocument/2006/relationships/hyperlink" Target="https://unctad.org/page/data-protection-and-privacy-legislation-worldwide" TargetMode="External"/><Relationship Id="rId1812" Type="http://schemas.openxmlformats.org/officeDocument/2006/relationships/hyperlink" Target="https://unctad.org/page/data-protection-and-privacy-legislation-worldwide"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humandignitytrust.org/country-profile/tanzania/;%20https:/ilga.org/ilga-world-maps/" TargetMode="External"/><Relationship Id="rId21" Type="http://schemas.openxmlformats.org/officeDocument/2006/relationships/hyperlink" Target="https://www.unesco.org/ethics-ai/en/global-hub" TargetMode="External"/><Relationship Id="rId42" Type="http://schemas.openxmlformats.org/officeDocument/2006/relationships/hyperlink" Target="https://unctad.org/page/data-protection-and-privacy-legislation-worldwide" TargetMode="External"/><Relationship Id="rId63" Type="http://schemas.openxmlformats.org/officeDocument/2006/relationships/hyperlink" Target="https://unctad.org/page/data-protection-and-privacy-legislation-worldwide;%20https:/www.unicef.org/mauritius/" TargetMode="External"/><Relationship Id="rId84" Type="http://schemas.openxmlformats.org/officeDocument/2006/relationships/hyperlink" Target="https://unctad.org/page/data-protection-and-privacy-legislation-worldwide" TargetMode="External"/><Relationship Id="rId138" Type="http://schemas.openxmlformats.org/officeDocument/2006/relationships/hyperlink" Target="https://ilga.org/ilga-world-maps/" TargetMode="External"/><Relationship Id="rId159" Type="http://schemas.openxmlformats.org/officeDocument/2006/relationships/hyperlink" Target="https://unctad.org/page/data-protection-and-privacy-legislation-worldwide" TargetMode="External"/><Relationship Id="rId107" Type="http://schemas.openxmlformats.org/officeDocument/2006/relationships/hyperlink" Target="https://www.humandignitytrust.org/country-profile/south-africa/;%20https:/ilga.org/ilga-world-maps/" TargetMode="External"/><Relationship Id="rId11" Type="http://schemas.openxmlformats.org/officeDocument/2006/relationships/hyperlink" Target="https://en.unesco.org/artificial-intelligence/observatory/policies?country=KM;%20https://www.unesco.org/ethics-ai/en/global-hub" TargetMode="External"/><Relationship Id="rId32" Type="http://schemas.openxmlformats.org/officeDocument/2006/relationships/hyperlink" Target="https://unctad.org/page/data-protection-and-privacy-legislation-worldwide" TargetMode="External"/><Relationship Id="rId53" Type="http://schemas.openxmlformats.org/officeDocument/2006/relationships/hyperlink" Target="https://unctad.org/page/data-protection-and-privacy-legislation-worldwide;%20https:/www.unicef.org/malawi/" TargetMode="External"/><Relationship Id="rId74" Type="http://schemas.openxmlformats.org/officeDocument/2006/relationships/hyperlink" Target="https://unctad.org/page/data-protection-and-privacy-legislation-worldwide" TargetMode="External"/><Relationship Id="rId128" Type="http://schemas.openxmlformats.org/officeDocument/2006/relationships/hyperlink" Target="https://ilga.org/ilga-world-maps/" TargetMode="External"/><Relationship Id="rId149" Type="http://schemas.openxmlformats.org/officeDocument/2006/relationships/hyperlink" Target="https://unctad.org/page/data-protection-and-privacy-legislation-worldwide" TargetMode="External"/><Relationship Id="rId5" Type="http://schemas.openxmlformats.org/officeDocument/2006/relationships/hyperlink" Target="https://unctad.org/page/data-protection-and-privacy-legislation-worldwide" TargetMode="External"/><Relationship Id="rId95" Type="http://schemas.openxmlformats.org/officeDocument/2006/relationships/hyperlink" Target="https://unctad.org/page/data-protection-and-privacy-legislation-worldwide" TargetMode="External"/><Relationship Id="rId160" Type="http://schemas.openxmlformats.org/officeDocument/2006/relationships/hyperlink" Target="https://www.humandignitytrust.org/country-profile/angola/;%20https:/ilga.org/ilga-world-maps/" TargetMode="External"/><Relationship Id="rId22" Type="http://schemas.openxmlformats.org/officeDocument/2006/relationships/hyperlink" Target="https://unctad.org/page/data-protection-and-privacy-legislation-worldwide" TargetMode="External"/><Relationship Id="rId43" Type="http://schemas.openxmlformats.org/officeDocument/2006/relationships/hyperlink" Target="https://www.unicef.org/madagascar/" TargetMode="External"/><Relationship Id="rId64" Type="http://schemas.openxmlformats.org/officeDocument/2006/relationships/hyperlink" Target="https://unctad.org/page/data-protection-and-privacy-legislation-worldwide" TargetMode="External"/><Relationship Id="rId118" Type="http://schemas.openxmlformats.org/officeDocument/2006/relationships/hyperlink" Target="https://ilga.org/ilga-world-maps/" TargetMode="External"/><Relationship Id="rId139" Type="http://schemas.openxmlformats.org/officeDocument/2006/relationships/hyperlink" Target="https://www.unicef.org/zimbabwe/" TargetMode="External"/><Relationship Id="rId8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85" Type="http://schemas.openxmlformats.org/officeDocument/2006/relationships/hyperlink" Target="https://unctad.org/page/data-protection-and-privacy-legislation-worldwide" TargetMode="External"/><Relationship Id="rId150" Type="http://schemas.openxmlformats.org/officeDocument/2006/relationships/hyperlink" Target="https://unctad.org/page/data-protection-and-privacy-legislation-worldwide" TargetMode="External"/><Relationship Id="rId155" Type="http://schemas.openxmlformats.org/officeDocument/2006/relationships/hyperlink" Target="https://unctad.org/page/data-protection-and-privacy-legislation-worldwide" TargetMode="External"/><Relationship Id="rId12" Type="http://schemas.openxmlformats.org/officeDocument/2006/relationships/hyperlink" Target="https://unctad.org/page/data-protection-and-privacy-legislation-worldwide" TargetMode="External"/><Relationship Id="rId17" Type="http://schemas.openxmlformats.org/officeDocument/2006/relationships/hyperlink" Target="https://www.humandignitytrust.org/country-profile/comoros/;%20https:/ilga.org/ilga-world-maps/" TargetMode="External"/><Relationship Id="rId33" Type="http://schemas.openxmlformats.org/officeDocument/2006/relationships/hyperlink" Target="https://unctad.org/page/data-protection-and-privacy-legislation-worldwide;%20https:/www.unicef.org/lesotho/" TargetMode="External"/><Relationship Id="rId38" Type="http://schemas.openxmlformats.org/officeDocument/2006/relationships/hyperlink" Target="https://ilga.org/ilga-world-maps/" TargetMode="External"/><Relationship Id="rId59" Type="http://schemas.openxmlformats.org/officeDocument/2006/relationships/hyperlink" Target="https://www.unicef.org/malawi/" TargetMode="External"/><Relationship Id="rId103" Type="http://schemas.openxmlformats.org/officeDocument/2006/relationships/hyperlink" Target="https://unctad.org/page/data-protection-and-privacy-legislation-worldwide;%20https:/www.unicef.org/south-africa/" TargetMode="External"/><Relationship Id="rId108" Type="http://schemas.openxmlformats.org/officeDocument/2006/relationships/hyperlink" Target="https://ilga.org/ilga-world-maps/" TargetMode="External"/><Relationship Id="rId124" Type="http://schemas.openxmlformats.org/officeDocument/2006/relationships/hyperlink" Target="https://unctad.org/page/data-protection-and-privacy-legislation-worldwide" TargetMode="External"/><Relationship Id="rId129" Type="http://schemas.openxmlformats.org/officeDocument/2006/relationships/hyperlink" Target="https://www.unicef.org/zambia/" TargetMode="External"/><Relationship Id="rId54" Type="http://schemas.openxmlformats.org/officeDocument/2006/relationships/hyperlink" Target="https://unctad.org/page/data-protection-and-privacy-legislation-worldwide" TargetMode="External"/><Relationship Id="rId70" Type="http://schemas.openxmlformats.org/officeDocument/2006/relationships/hyperlink" Target="https://www.gsma.com/solutions-and-impact/connectivity-for-good/public-policy/mobile-policy-handbook/consumer-protection/mandatory-registration-of-prepaid-sims/" TargetMode="External"/><Relationship Id="rId75" Type="http://schemas.openxmlformats.org/officeDocument/2006/relationships/hyperlink" Target="https://unctad.org/page/data-protection-and-privacy-legislation-worldwide" TargetMode="External"/><Relationship Id="rId91" Type="http://schemas.openxmlformats.org/officeDocument/2006/relationships/hyperlink" Target="https://en.unesco.org/artificial-intelligence/observatory/policies?country=SC;%20https://www.unesco.org/ethics-ai/en/global-hub" TargetMode="External"/><Relationship Id="rId96" Type="http://schemas.openxmlformats.org/officeDocument/2006/relationships/hyperlink" Target="https://unctad.org/page/data-protection-and-privacy-legislation-worldwide" TargetMode="External"/><Relationship Id="rId140" Type="http://schemas.openxmlformats.org/officeDocument/2006/relationships/hyperlink" Target="https://www.gsma.com/solutions-and-impact/connectivity-for-good/public-policy/mobile-policy-handbook/consumer-protection/mandatory-registration-of-prepaid-sims/" TargetMode="External"/><Relationship Id="rId145" Type="http://schemas.openxmlformats.org/officeDocument/2006/relationships/hyperlink" Target="https://www.unicef.org/eswatini/" TargetMode="External"/><Relationship Id="rId1" Type="http://schemas.openxmlformats.org/officeDocument/2006/relationships/hyperlink" Target="https://en.unesco.org/artificial-intelligence/observatory/policies?country=BW;%20https://www.unesco.org/ethics-ai/en/global-hub" TargetMode="External"/><Relationship Id="rId6" Type="http://schemas.openxmlformats.org/officeDocument/2006/relationships/hyperlink" Target="https://unctad.org/page/data-protection-and-privacy-legislation-worldwide" TargetMode="External"/><Relationship Id="rId23" Type="http://schemas.openxmlformats.org/officeDocument/2006/relationships/hyperlink" Target="https://unctad.org/page/data-protection-and-privacy-legislation-worldwide;%20https:/www.unicef.org/democratic-republic-of-the-congo/" TargetMode="External"/><Relationship Id="rId28" Type="http://schemas.openxmlformats.org/officeDocument/2006/relationships/hyperlink" Target="https://ilga.org/ilga-world-maps/" TargetMode="External"/><Relationship Id="rId49" Type="http://schemas.openxmlformats.org/officeDocument/2006/relationships/hyperlink" Target="https://www.unicef.org/madagascar/" TargetMode="External"/><Relationship Id="rId114" Type="http://schemas.openxmlformats.org/officeDocument/2006/relationships/hyperlink" Target="https://unctad.org/page/data-protection-and-privacy-legislation-worldwide" TargetMode="External"/><Relationship Id="rId119" Type="http://schemas.openxmlformats.org/officeDocument/2006/relationships/hyperlink" Target="https://www.unicef.org/tanzania/" TargetMode="External"/><Relationship Id="rId44" Type="http://schemas.openxmlformats.org/officeDocument/2006/relationships/hyperlink" Target="https://unctad.org/page/data-protection-and-privacy-legislation-worldwide" TargetMode="External"/><Relationship Id="rId6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65" Type="http://schemas.openxmlformats.org/officeDocument/2006/relationships/hyperlink" Target="https://unctad.org/page/data-protection-and-privacy-legislation-worldwide" TargetMode="External"/><Relationship Id="rId81" Type="http://schemas.openxmlformats.org/officeDocument/2006/relationships/hyperlink" Target="https://en.unesco.org/artificial-intelligence/observatory/policies?country=NA;%20https://www.unesco.org/ethics-ai/en/global-hub" TargetMode="External"/><Relationship Id="rId86" Type="http://schemas.openxmlformats.org/officeDocument/2006/relationships/hyperlink" Target="https://unctad.org/page/data-protection-and-privacy-legislation-worldwide" TargetMode="External"/><Relationship Id="rId130" Type="http://schemas.openxmlformats.org/officeDocument/2006/relationships/hyperlink" Target="https://www.gsma.com/solutions-and-impact/connectivity-for-good/public-policy/mobile-policy-handbook/consumer-protection/mandatory-registration-of-prepaid-sims/" TargetMode="External"/><Relationship Id="rId135" Type="http://schemas.openxmlformats.org/officeDocument/2006/relationships/hyperlink" Target="https://unctad.org/page/data-protection-and-privacy-legislation-worldwide" TargetMode="External"/><Relationship Id="rId151" Type="http://schemas.openxmlformats.org/officeDocument/2006/relationships/hyperlink" Target="https://www.unicef.org/eswatini/" TargetMode="External"/><Relationship Id="rId156" Type="http://schemas.openxmlformats.org/officeDocument/2006/relationships/hyperlink" Target="https://unctad.org/page/data-protection-and-privacy-legislation-worldwide;%20https:/www.unicef.org/angola/" TargetMode="External"/><Relationship Id="rId13" Type="http://schemas.openxmlformats.org/officeDocument/2006/relationships/hyperlink" Target="https://unctad.org/page/data-protection-and-privacy-legislation-worldwide;%20https:/www.unicef.org/comoros/" TargetMode="External"/><Relationship Id="rId18" Type="http://schemas.openxmlformats.org/officeDocument/2006/relationships/hyperlink" Target="https://ilga.org/ilga-world-maps/" TargetMode="External"/><Relationship Id="rId39" Type="http://schemas.openxmlformats.org/officeDocument/2006/relationships/hyperlink" Target="https://www.unicef.org/lesotho/" TargetMode="External"/><Relationship Id="rId109" Type="http://schemas.openxmlformats.org/officeDocument/2006/relationships/hyperlink" Target="https://www.unicef.org/south-africa/" TargetMode="External"/><Relationship Id="rId34" Type="http://schemas.openxmlformats.org/officeDocument/2006/relationships/hyperlink" Target="https://unctad.org/page/data-protection-and-privacy-legislation-worldwide" TargetMode="External"/><Relationship Id="rId50" Type="http://schemas.openxmlformats.org/officeDocument/2006/relationships/hyperlink" Target="https://www.gsma.com/solutions-and-impact/connectivity-for-good/public-policy/mobile-policy-handbook/consumer-protection/mandatory-registration-of-prepaid-sims/" TargetMode="External"/><Relationship Id="rId55" Type="http://schemas.openxmlformats.org/officeDocument/2006/relationships/hyperlink" Target="https://unctad.org/page/data-protection-and-privacy-legislation-worldwide" TargetMode="External"/><Relationship Id="rId76" Type="http://schemas.openxmlformats.org/officeDocument/2006/relationships/hyperlink" Target="https://unctad.org/page/data-protection-and-privacy-legislation-worldwide" TargetMode="External"/><Relationship Id="rId97" Type="http://schemas.openxmlformats.org/officeDocument/2006/relationships/hyperlink" Target="https://www.humandignitytrust.org/country-profile/seychelles/;%20https:/ilga.org/ilga-world-maps/" TargetMode="External"/><Relationship Id="rId104" Type="http://schemas.openxmlformats.org/officeDocument/2006/relationships/hyperlink" Target="https://unctad.org/page/data-protection-and-privacy-legislation-worldwide" TargetMode="External"/><Relationship Id="rId12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25" Type="http://schemas.openxmlformats.org/officeDocument/2006/relationships/hyperlink" Target="https://unctad.org/page/data-protection-and-privacy-legislation-worldwide" TargetMode="External"/><Relationship Id="rId141" Type="http://schemas.openxmlformats.org/officeDocument/2006/relationships/hyperlink" Target="https://www.gsma.com/solutions-and-impact/connectivity-for-good/public-policy/mobile-policy-handbook/consumer-protection/mandatory-registration-of-prepaid-sims/" TargetMode="External"/><Relationship Id="rId146" Type="http://schemas.openxmlformats.org/officeDocument/2006/relationships/hyperlink" Target="https://ilga.org/ilga-world-maps/" TargetMode="External"/><Relationship Id="rId7" Type="http://schemas.openxmlformats.org/officeDocument/2006/relationships/hyperlink" Target="https://www.humandignitytrust.org/country-profile/botswana/;%20https:/ilga.org/ilga-world-maps/" TargetMode="External"/><Relationship Id="rId71" Type="http://schemas.openxmlformats.org/officeDocument/2006/relationships/hyperlink" Target="https://en.unesco.org/artificial-intelligence/observatory/policies?country=MZ;%20https://www.unesco.org/ethics-ai/en/global-hub" TargetMode="External"/><Relationship Id="rId92" Type="http://schemas.openxmlformats.org/officeDocument/2006/relationships/hyperlink" Target="https://unctad.org/page/data-protection-and-privacy-legislation-worldwide" TargetMode="External"/><Relationship Id="rId2" Type="http://schemas.openxmlformats.org/officeDocument/2006/relationships/hyperlink" Target="https://unctad.org/page/data-protection-and-privacy-legislation-worldwide" TargetMode="External"/><Relationship Id="rId29" Type="http://schemas.openxmlformats.org/officeDocument/2006/relationships/hyperlink" Target="https://www.unicef.org/democratic-republic-of-the-congo/" TargetMode="External"/><Relationship Id="rId24" Type="http://schemas.openxmlformats.org/officeDocument/2006/relationships/hyperlink" Target="https://unctad.org/page/data-protection-and-privacy-legislation-worldwide" TargetMode="External"/><Relationship Id="rId40" Type="http://schemas.openxmlformats.org/officeDocument/2006/relationships/hyperlink" Target="https://www.gsma.com/solutions-and-impact/connectivity-for-good/public-policy/mobile-policy-handbook/consumer-protection/mandatory-registration-of-prepaid-sims/" TargetMode="External"/><Relationship Id="rId45" Type="http://schemas.openxmlformats.org/officeDocument/2006/relationships/hyperlink" Target="https://unctad.org/page/data-protection-and-privacy-legislation-worldwide" TargetMode="External"/><Relationship Id="rId66" Type="http://schemas.openxmlformats.org/officeDocument/2006/relationships/hyperlink" Target="https://unctad.org/page/data-protection-and-privacy-legislation-worldwide" TargetMode="External"/><Relationship Id="rId87" Type="http://schemas.openxmlformats.org/officeDocument/2006/relationships/hyperlink" Target="https://www.humandignitytrust.org/country-profile/namibia/;%20https:/ilga.org/ilga-world-maps/" TargetMode="External"/><Relationship Id="rId110" Type="http://schemas.openxmlformats.org/officeDocument/2006/relationships/hyperlink" Target="https://www.gsma.com/solutions-and-impact/connectivity-for-good/public-policy/mobile-policy-handbook/consumer-protection/mandatory-registration-of-prepaid-sims/" TargetMode="External"/><Relationship Id="rId115" Type="http://schemas.openxmlformats.org/officeDocument/2006/relationships/hyperlink" Target="https://unctad.org/page/data-protection-and-privacy-legislation-worldwide" TargetMode="External"/><Relationship Id="rId131" Type="http://schemas.openxmlformats.org/officeDocument/2006/relationships/hyperlink" Target="https://en.unesco.org/artificial-intelligence/observatory/policies?country=ZW;%20https://www.unesco.org/ethics-ai/en/global-hub" TargetMode="External"/><Relationship Id="rId136" Type="http://schemas.openxmlformats.org/officeDocument/2006/relationships/hyperlink" Target="https://unctad.org/page/data-protection-and-privacy-legislation-worldwide" TargetMode="External"/><Relationship Id="rId157" Type="http://schemas.openxmlformats.org/officeDocument/2006/relationships/hyperlink" Target="https://unctad.org/page/data-protection-and-privacy-legislation-worldwide" TargetMode="External"/><Relationship Id="rId61" Type="http://schemas.openxmlformats.org/officeDocument/2006/relationships/hyperlink" Target="https://en.unesco.org/artificial-intelligence/observatory/policies?country=MU;%20https://www.unesco.org/ethics-ai/en/global-hub" TargetMode="External"/><Relationship Id="rId82" Type="http://schemas.openxmlformats.org/officeDocument/2006/relationships/hyperlink" Target="https://unctad.org/page/data-protection-and-privacy-legislation-worldwide" TargetMode="External"/><Relationship Id="rId152" Type="http://schemas.openxmlformats.org/officeDocument/2006/relationships/hyperlink" Target="https://unctad.org/page/data-protection-and-privacy-legislation-worldwide" TargetMode="External"/><Relationship Id="rId19" Type="http://schemas.openxmlformats.org/officeDocument/2006/relationships/hyperlink" Target="https://www.unicef.org/comoros/" TargetMode="External"/><Relationship Id="rId14" Type="http://schemas.openxmlformats.org/officeDocument/2006/relationships/hyperlink" Target="https://unctad.org/page/data-protection-and-privacy-legislation-worldwide" TargetMode="External"/><Relationship Id="rId3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35" Type="http://schemas.openxmlformats.org/officeDocument/2006/relationships/hyperlink" Target="https://unctad.org/page/data-protection-and-privacy-legislation-worldwide" TargetMode="External"/><Relationship Id="rId56" Type="http://schemas.openxmlformats.org/officeDocument/2006/relationships/hyperlink" Target="https://unctad.org/page/data-protection-and-privacy-legislation-worldwide" TargetMode="External"/><Relationship Id="rId77" Type="http://schemas.openxmlformats.org/officeDocument/2006/relationships/hyperlink" Target="https://www.humandignitytrust.org/country-profile/mozambique/;%20https:/ilga.org/ilga-world-maps/" TargetMode="External"/><Relationship Id="rId100" Type="http://schemas.openxmlformats.org/officeDocument/2006/relationships/hyperlink" Target="https://www.gsma.com/solutions-and-impact/connectivity-for-good/public-policy/mobile-policy-handbook/consumer-protection/mandatory-registration-of-prepaid-sims/" TargetMode="External"/><Relationship Id="rId105" Type="http://schemas.openxmlformats.org/officeDocument/2006/relationships/hyperlink" Target="https://unctad.org/page/data-protection-and-privacy-legislation-worldwide" TargetMode="External"/><Relationship Id="rId126" Type="http://schemas.openxmlformats.org/officeDocument/2006/relationships/hyperlink" Target="https://unctad.org/page/data-protection-and-privacy-legislation-worldwide" TargetMode="External"/><Relationship Id="rId147" Type="http://schemas.openxmlformats.org/officeDocument/2006/relationships/hyperlink" Target="https://www.humandignitytrust.org/country-profile/eswatini/;%20https:/ilga.org/ilga-world-maps/" TargetMode="External"/><Relationship Id="rId8" Type="http://schemas.openxmlformats.org/officeDocument/2006/relationships/hyperlink" Target="https://ilga.org/ilga-world-maps/" TargetMode="External"/><Relationship Id="rId51" Type="http://schemas.openxmlformats.org/officeDocument/2006/relationships/hyperlink" Target="https://en.unesco.org/artificial-intelligence/observatory/policies?country=MW;%20https://www.unesco.org/ethics-ai/en/global-hub" TargetMode="External"/><Relationship Id="rId72" Type="http://schemas.openxmlformats.org/officeDocument/2006/relationships/hyperlink" Target="https://unctad.org/page/data-protection-and-privacy-legislation-worldwide" TargetMode="External"/><Relationship Id="rId93" Type="http://schemas.openxmlformats.org/officeDocument/2006/relationships/hyperlink" Target="https://www.unicef.org/seychelles/" TargetMode="External"/><Relationship Id="rId98" Type="http://schemas.openxmlformats.org/officeDocument/2006/relationships/hyperlink" Target="https://ilga.org/ilga-world-maps/" TargetMode="External"/><Relationship Id="rId121" Type="http://schemas.openxmlformats.org/officeDocument/2006/relationships/hyperlink" Target="https://en.unesco.org/artificial-intelligence/observatory/policies?country=ZM;%20https://www.unesco.org/ethics-ai/en/global-hub" TargetMode="External"/><Relationship Id="rId142" Type="http://schemas.openxmlformats.org/officeDocument/2006/relationships/hyperlink" Target="https://www.unicef.org/angola/" TargetMode="External"/><Relationship Id="rId3" Type="http://schemas.openxmlformats.org/officeDocument/2006/relationships/hyperlink" Target="https://unctad.org/page/data-protection-and-privacy-legislation-worldwide;%20https:/www.unicef.org/botswana/" TargetMode="External"/><Relationship Id="rId25" Type="http://schemas.openxmlformats.org/officeDocument/2006/relationships/hyperlink" Target="https://unctad.org/page/data-protection-and-privacy-legislation-worldwide" TargetMode="External"/><Relationship Id="rId46" Type="http://schemas.openxmlformats.org/officeDocument/2006/relationships/hyperlink" Target="https://unctad.org/page/data-protection-and-privacy-legislation-worldwide" TargetMode="External"/><Relationship Id="rId67" Type="http://schemas.openxmlformats.org/officeDocument/2006/relationships/hyperlink" Target="https://www.humandignitytrust.org/country-profile/mauritius/;%20https:/ilga.org/ilga-world-maps/" TargetMode="External"/><Relationship Id="rId116" Type="http://schemas.openxmlformats.org/officeDocument/2006/relationships/hyperlink" Target="https://unctad.org/page/data-protection-and-privacy-legislation-worldwide" TargetMode="External"/><Relationship Id="rId137" Type="http://schemas.openxmlformats.org/officeDocument/2006/relationships/hyperlink" Target="https://www.humandignitytrust.org/country-profile/zimbabwe/;%20https:/ilga.org/ilga-world-maps/" TargetMode="External"/><Relationship Id="rId158" Type="http://schemas.openxmlformats.org/officeDocument/2006/relationships/hyperlink" Target="https://unctad.org/page/data-protection-and-privacy-legislation-worldwide" TargetMode="External"/><Relationship Id="rId2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41" Type="http://schemas.openxmlformats.org/officeDocument/2006/relationships/hyperlink" Target="https://en.unesco.org/artificial-intelligence/observatory/policies?country=MG;%20https://www.unesco.org/ethics-ai/en/global-hub" TargetMode="External"/><Relationship Id="rId62" Type="http://schemas.openxmlformats.org/officeDocument/2006/relationships/hyperlink" Target="https://unctad.org/page/data-protection-and-privacy-legislation-worldwide" TargetMode="External"/><Relationship Id="rId83" Type="http://schemas.openxmlformats.org/officeDocument/2006/relationships/hyperlink" Target="https://www.unicef.org/namibia/" TargetMode="External"/><Relationship Id="rId88" Type="http://schemas.openxmlformats.org/officeDocument/2006/relationships/hyperlink" Target="https://ilga.org/ilga-world-maps/" TargetMode="External"/><Relationship Id="rId111" Type="http://schemas.openxmlformats.org/officeDocument/2006/relationships/hyperlink" Target="https://en.unesco.org/artificial-intelligence/observatory/policies?country=TZ;%20https://www.unesco.org/ethics-ai/en/global-hub" TargetMode="External"/><Relationship Id="rId132" Type="http://schemas.openxmlformats.org/officeDocument/2006/relationships/hyperlink" Target="https://unctad.org/page/data-protection-and-privacy-legislation-worldwide" TargetMode="External"/><Relationship Id="rId153" Type="http://schemas.openxmlformats.org/officeDocument/2006/relationships/hyperlink" Target="https://en.unesco.org/artificial-intelligence/observatory/policies?country=SZ;%20https://www.unesco.org/ethics-ai/en/global-hub" TargetMode="External"/><Relationship Id="rId15" Type="http://schemas.openxmlformats.org/officeDocument/2006/relationships/hyperlink" Target="https://unctad.org/page/data-protection-and-privacy-legislation-worldwide" TargetMode="External"/><Relationship Id="rId36" Type="http://schemas.openxmlformats.org/officeDocument/2006/relationships/hyperlink" Target="https://unctad.org/page/data-protection-and-privacy-legislation-worldwide" TargetMode="External"/><Relationship Id="rId57" Type="http://schemas.openxmlformats.org/officeDocument/2006/relationships/hyperlink" Target="https://www.humandignitytrust.org/country-profile/malawi/;%20https:/ilga.org/ilga-world-maps/" TargetMode="External"/><Relationship Id="rId106" Type="http://schemas.openxmlformats.org/officeDocument/2006/relationships/hyperlink" Target="https://unctad.org/page/data-protection-and-privacy-legislation-worldwide" TargetMode="External"/><Relationship Id="rId127" Type="http://schemas.openxmlformats.org/officeDocument/2006/relationships/hyperlink" Target="https://www.humandignitytrust.org/country-profile/zambia/;%20https:/ilga.org/ilga-world-maps/" TargetMode="External"/><Relationship Id="rId1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31" Type="http://schemas.openxmlformats.org/officeDocument/2006/relationships/hyperlink" Target="https://en.unesco.org/artificial-intelligence/observatory/policies?country=LS;%20https://www.unesco.org/ethics-ai/en/global-hub" TargetMode="External"/><Relationship Id="rId52" Type="http://schemas.openxmlformats.org/officeDocument/2006/relationships/hyperlink" Target="https://unctad.org/page/data-protection-and-privacy-legislation-worldwide" TargetMode="External"/><Relationship Id="rId73" Type="http://schemas.openxmlformats.org/officeDocument/2006/relationships/hyperlink" Target="https://www.unicef.org/mozambique/" TargetMode="External"/><Relationship Id="rId78" Type="http://schemas.openxmlformats.org/officeDocument/2006/relationships/hyperlink" Target="https://ilga.org/ilga-world-maps/" TargetMode="External"/><Relationship Id="rId94" Type="http://schemas.openxmlformats.org/officeDocument/2006/relationships/hyperlink" Target="https://unctad.org/page/data-protection-and-privacy-legislation-worldwide" TargetMode="External"/><Relationship Id="rId99" Type="http://schemas.openxmlformats.org/officeDocument/2006/relationships/hyperlink" Target="https://www.unicef.org/seychelles/" TargetMode="External"/><Relationship Id="rId101" Type="http://schemas.openxmlformats.org/officeDocument/2006/relationships/hyperlink" Target="https://en.unesco.org/artificial-intelligence/observatory/policies?country=ZA;%20https://www.unesco.org/ethics-ai/en/global-hub" TargetMode="External"/><Relationship Id="rId122" Type="http://schemas.openxmlformats.org/officeDocument/2006/relationships/hyperlink" Target="https://unctad.org/page/data-protection-and-privacy-legislation-worldwide" TargetMode="External"/><Relationship Id="rId143" Type="http://schemas.openxmlformats.org/officeDocument/2006/relationships/hyperlink" Target="https://ilga.org/ilga-world-maps/" TargetMode="External"/><Relationship Id="rId148" Type="http://schemas.openxmlformats.org/officeDocument/2006/relationships/hyperlink" Target="https://unctad.org/page/data-protection-and-privacy-legislation-worldwide" TargetMode="External"/><Relationship Id="rId4" Type="http://schemas.openxmlformats.org/officeDocument/2006/relationships/hyperlink" Target="https://unctad.org/page/data-protection-and-privacy-legislation-worldwide" TargetMode="External"/><Relationship Id="rId9" Type="http://schemas.openxmlformats.org/officeDocument/2006/relationships/hyperlink" Target="https://www.unicef.org/botswana/" TargetMode="External"/><Relationship Id="rId26" Type="http://schemas.openxmlformats.org/officeDocument/2006/relationships/hyperlink" Target="https://unctad.org/page/data-protection-and-privacy-legislation-worldwide" TargetMode="External"/><Relationship Id="rId47" Type="http://schemas.openxmlformats.org/officeDocument/2006/relationships/hyperlink" Target="https://www.humandignitytrust.org/country-profile/madagascar/;%20https:/ilga.org/ilga-world-maps/" TargetMode="External"/><Relationship Id="rId68" Type="http://schemas.openxmlformats.org/officeDocument/2006/relationships/hyperlink" Target="https://ilga.org/ilga-world-maps/" TargetMode="External"/><Relationship Id="rId89" Type="http://schemas.openxmlformats.org/officeDocument/2006/relationships/hyperlink" Target="https://www.unicef.org/namibia/" TargetMode="External"/><Relationship Id="rId112" Type="http://schemas.openxmlformats.org/officeDocument/2006/relationships/hyperlink" Target="https://unctad.org/page/data-protection-and-privacy-legislation-worldwide" TargetMode="External"/><Relationship Id="rId133" Type="http://schemas.openxmlformats.org/officeDocument/2006/relationships/hyperlink" Target="https://www.unicef.org/zimbabwe/" TargetMode="External"/><Relationship Id="rId154" Type="http://schemas.openxmlformats.org/officeDocument/2006/relationships/hyperlink" Target="https://en.unesco.org/artificial-intelligence/observatory/policies?country=AO;%20https://www.unesco.org/ethics-ai/en/global-hub" TargetMode="External"/><Relationship Id="rId16" Type="http://schemas.openxmlformats.org/officeDocument/2006/relationships/hyperlink" Target="https://unctad.org/page/data-protection-and-privacy-legislation-worldwide" TargetMode="External"/><Relationship Id="rId37" Type="http://schemas.openxmlformats.org/officeDocument/2006/relationships/hyperlink" Target="https://www.humandignitytrust.org/country-profile/lesotho/;%20https:/ilga.org/ilga-world-maps/" TargetMode="External"/><Relationship Id="rId58" Type="http://schemas.openxmlformats.org/officeDocument/2006/relationships/hyperlink" Target="https://ilga.org/ilga-world-maps/" TargetMode="External"/><Relationship Id="rId79" Type="http://schemas.openxmlformats.org/officeDocument/2006/relationships/hyperlink" Target="https://www.unicef.org/mozambique/" TargetMode="External"/><Relationship Id="rId102" Type="http://schemas.openxmlformats.org/officeDocument/2006/relationships/hyperlink" Target="https://unctad.org/page/data-protection-and-privacy-legislation-worldwide" TargetMode="External"/><Relationship Id="rId123" Type="http://schemas.openxmlformats.org/officeDocument/2006/relationships/hyperlink" Target="https://unctad.org/page/data-protection-and-privacy-legislation-worldwide;%20https:/www.unicef.org/zambia/" TargetMode="External"/><Relationship Id="rId144"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90" Type="http://schemas.openxmlformats.org/officeDocument/2006/relationships/hyperlink" Target="https://www.gsma.com/solutions-and-impact/connectivity-for-good/public-policy/mobile-policy-handbook/consumer-protection/mandatory-registration-of-prepaid-sims/" TargetMode="External"/><Relationship Id="rId27" Type="http://schemas.openxmlformats.org/officeDocument/2006/relationships/hyperlink" Target="https://www.humandignitytrust.org/country-profile/democratic-republic-of-the-congo/;%20https:/ilga.org/ilga-world-maps/" TargetMode="External"/><Relationship Id="rId48" Type="http://schemas.openxmlformats.org/officeDocument/2006/relationships/hyperlink" Target="https://ilga.org/ilga-world-maps/" TargetMode="External"/><Relationship Id="rId69" Type="http://schemas.openxmlformats.org/officeDocument/2006/relationships/hyperlink" Target="https://www.unicef.org/mauritius/" TargetMode="External"/><Relationship Id="rId113" Type="http://schemas.openxmlformats.org/officeDocument/2006/relationships/hyperlink" Target="https://www.unicef.org/tanzania/" TargetMode="External"/><Relationship Id="rId134" Type="http://schemas.openxmlformats.org/officeDocument/2006/relationships/hyperlink" Target="https://unctad.org/page/data-protection-and-privacy-legislation-worldwide"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humandignitytrust.org/country-profile/sierra-leone/;%20https:/ilga.org/ilga-world-maps/" TargetMode="External"/><Relationship Id="rId21" Type="http://schemas.openxmlformats.org/officeDocument/2006/relationships/hyperlink" Target="https://en.unesco.org/artificial-intelligence/observatory/policies?country=CV;%20https://www.unesco.org/ethics-ai/en/global-hub" TargetMode="External"/><Relationship Id="rId42" Type="http://schemas.openxmlformats.org/officeDocument/2006/relationships/hyperlink" Target="https://unctad.org/page/data-protection-and-privacy-legislation-worldwide" TargetMode="External"/><Relationship Id="rId47" Type="http://schemas.openxmlformats.org/officeDocument/2006/relationships/hyperlink" Target="https://www.humandignitytrust.org/country-profile/gambia/;%20https:/ilga.org/ilga-world-maps/" TargetMode="External"/><Relationship Id="rId63" Type="http://schemas.openxmlformats.org/officeDocument/2006/relationships/hyperlink" Target="https://unctad.org/page/data-protection-and-privacy-legislation-worldwide;%20https:/www.unicef.org/guinea/" TargetMode="External"/><Relationship Id="rId68" Type="http://schemas.openxmlformats.org/officeDocument/2006/relationships/hyperlink" Target="https://ilga.org/ilga-world-maps/" TargetMode="External"/><Relationship Id="rId84" Type="http://schemas.openxmlformats.org/officeDocument/2006/relationships/hyperlink" Target="https://unctad.org/page/data-protection-and-privacy-legislation-worldwide" TargetMode="External"/><Relationship Id="rId89" Type="http://schemas.openxmlformats.org/officeDocument/2006/relationships/hyperlink" Target="https://www.unicef.org/liberia/" TargetMode="External"/><Relationship Id="rId112" Type="http://schemas.openxmlformats.org/officeDocument/2006/relationships/hyperlink" Target="https://unctad.org/page/data-protection-and-privacy-legislation-worldwide" TargetMode="External"/><Relationship Id="rId16" Type="http://schemas.openxmlformats.org/officeDocument/2006/relationships/hyperlink" Target="https://unctad.org/page/data-protection-and-privacy-legislation-worldwide" TargetMode="External"/><Relationship Id="rId107" Type="http://schemas.openxmlformats.org/officeDocument/2006/relationships/hyperlink" Target="https://www.humandignitytrust.org/country-profile/senegal/;%20https:/ilga.org/ilga-world-maps/" TargetMode="External"/><Relationship Id="rId11" Type="http://schemas.openxmlformats.org/officeDocument/2006/relationships/hyperlink" Target="https://en.unesco.org/artificial-intelligence/observatory/policies?country=BF;%20https://www.unesco.org/ethics-ai/en/global-hub" TargetMode="External"/><Relationship Id="rId32" Type="http://schemas.openxmlformats.org/officeDocument/2006/relationships/hyperlink" Target="https://unctad.org/page/data-protection-and-privacy-legislation-worldwide" TargetMode="External"/><Relationship Id="rId37" Type="http://schemas.openxmlformats.org/officeDocument/2006/relationships/hyperlink" Target="https://www.humandignitytrust.org/country-profile/cote-divoire/;%20https:/ilga.org/ilga-world-maps/" TargetMode="External"/><Relationship Id="rId53" Type="http://schemas.openxmlformats.org/officeDocument/2006/relationships/hyperlink" Target="https://unctad.org/page/data-protection-and-privacy-legislation-worldwide;%20https:/www.unicef.org/ghana/" TargetMode="External"/><Relationship Id="rId58" Type="http://schemas.openxmlformats.org/officeDocument/2006/relationships/hyperlink" Target="https://ilga.org/ilga-world-maps/" TargetMode="External"/><Relationship Id="rId74" Type="http://schemas.openxmlformats.org/officeDocument/2006/relationships/hyperlink" Target="https://unctad.org/page/data-protection-and-privacy-legislation-worldwide" TargetMode="External"/><Relationship Id="rId79" Type="http://schemas.openxmlformats.org/officeDocument/2006/relationships/hyperlink" Target="https://www.unicef.org/guinea-bissau/" TargetMode="External"/><Relationship Id="rId102" Type="http://schemas.openxmlformats.org/officeDocument/2006/relationships/hyperlink" Target="https://unctad.org/page/data-protection-and-privacy-legislation-worldwide" TargetMode="External"/><Relationship Id="rId123" Type="http://schemas.openxmlformats.org/officeDocument/2006/relationships/hyperlink" Target="https://unctad.org/page/data-protection-and-privacy-legislation-worldwide;%20https:/www.unicef.org/togo/" TargetMode="External"/><Relationship Id="rId128" Type="http://schemas.openxmlformats.org/officeDocument/2006/relationships/hyperlink" Target="https://ilga.org/ilga-world-maps/" TargetMode="External"/><Relationship Id="rId5" Type="http://schemas.openxmlformats.org/officeDocument/2006/relationships/hyperlink" Target="https://unctad.org/page/data-protection-and-privacy-legislation-worldwide" TargetMode="External"/><Relationship Id="rId90" Type="http://schemas.openxmlformats.org/officeDocument/2006/relationships/hyperlink" Target="https://www.gsma.com/solutions-and-impact/connectivity-for-good/public-policy/mobile-policy-handbook/consumer-protection/mandatory-registration-of-prepaid-sims/" TargetMode="External"/><Relationship Id="rId95" Type="http://schemas.openxmlformats.org/officeDocument/2006/relationships/hyperlink" Target="https://unctad.org/page/data-protection-and-privacy-legislation-worldwide" TargetMode="External"/><Relationship Id="rId22" Type="http://schemas.openxmlformats.org/officeDocument/2006/relationships/hyperlink" Target="https://unctad.org/page/data-protection-and-privacy-legislation-worldwide" TargetMode="External"/><Relationship Id="rId27" Type="http://schemas.openxmlformats.org/officeDocument/2006/relationships/hyperlink" Target="https://www.humandignitytrust.org/country-profile/cabo-verde/;%20https:/ilga.org/ilga-world-maps/" TargetMode="External"/><Relationship Id="rId43" Type="http://schemas.openxmlformats.org/officeDocument/2006/relationships/hyperlink" Target="https://www.unicef.org/gambia/" TargetMode="External"/><Relationship Id="rId48" Type="http://schemas.openxmlformats.org/officeDocument/2006/relationships/hyperlink" Target="https://ilga.org/ilga-world-maps/" TargetMode="External"/><Relationship Id="rId64" Type="http://schemas.openxmlformats.org/officeDocument/2006/relationships/hyperlink" Target="https://unctad.org/page/data-protection-and-privacy-legislation-worldwide" TargetMode="External"/><Relationship Id="rId69" Type="http://schemas.openxmlformats.org/officeDocument/2006/relationships/hyperlink" Target="https://www.unicef.org/guinea/" TargetMode="External"/><Relationship Id="rId113" Type="http://schemas.openxmlformats.org/officeDocument/2006/relationships/hyperlink" Target="https://unctad.org/page/data-protection-and-privacy-legislation-worldwide;%20https:/www.unicef.org/sierra-leone/" TargetMode="External"/><Relationship Id="rId118" Type="http://schemas.openxmlformats.org/officeDocument/2006/relationships/hyperlink" Target="https://ilga.org/ilga-world-maps/" TargetMode="External"/><Relationship Id="rId80" Type="http://schemas.openxmlformats.org/officeDocument/2006/relationships/hyperlink" Target="https://www.gsma.com/solutions-and-impact/connectivity-for-good/public-policy/mobile-policy-handbook/consumer-protection/mandatory-registration-of-prepaid-sims/" TargetMode="External"/><Relationship Id="rId85" Type="http://schemas.openxmlformats.org/officeDocument/2006/relationships/hyperlink" Target="https://unctad.org/page/data-protection-and-privacy-legislation-worldwide" TargetMode="External"/><Relationship Id="rId12" Type="http://schemas.openxmlformats.org/officeDocument/2006/relationships/hyperlink" Target="https://unctad.org/page/data-protection-and-privacy-legislation-worldwide" TargetMode="External"/><Relationship Id="rId17" Type="http://schemas.openxmlformats.org/officeDocument/2006/relationships/hyperlink" Target="https://www.humandignitytrust.org/country-profile/burkina-faso/;%20https:/ilga.org/ilga-world-maps/" TargetMode="External"/><Relationship Id="rId33" Type="http://schemas.openxmlformats.org/officeDocument/2006/relationships/hyperlink" Target="https://unctad.org/page/data-protection-and-privacy-legislation-worldwide;%20https:/www.unicef.org/cote-divoire/" TargetMode="External"/><Relationship Id="rId38" Type="http://schemas.openxmlformats.org/officeDocument/2006/relationships/hyperlink" Target="https://ilga.org/ilga-world-maps/" TargetMode="External"/><Relationship Id="rId59" Type="http://schemas.openxmlformats.org/officeDocument/2006/relationships/hyperlink" Target="https://www.unicef.org/ghana/" TargetMode="External"/><Relationship Id="rId103" Type="http://schemas.openxmlformats.org/officeDocument/2006/relationships/hyperlink" Target="https://unctad.org/page/data-protection-and-privacy-legislation-worldwide;%20https:/www.unicef.org/senegal/" TargetMode="External"/><Relationship Id="rId108" Type="http://schemas.openxmlformats.org/officeDocument/2006/relationships/hyperlink" Target="https://ilga.org/ilga-world-maps/" TargetMode="External"/><Relationship Id="rId124" Type="http://schemas.openxmlformats.org/officeDocument/2006/relationships/hyperlink" Target="https://unctad.org/page/data-protection-and-privacy-legislation-worldwide" TargetMode="External"/><Relationship Id="rId129" Type="http://schemas.openxmlformats.org/officeDocument/2006/relationships/hyperlink" Target="https://www.unicef.org/togo/" TargetMode="External"/><Relationship Id="rId54" Type="http://schemas.openxmlformats.org/officeDocument/2006/relationships/hyperlink" Target="https://unctad.org/page/data-protection-and-privacy-legislation-worldwide" TargetMode="External"/><Relationship Id="rId7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75" Type="http://schemas.openxmlformats.org/officeDocument/2006/relationships/hyperlink" Target="https://unctad.org/page/data-protection-and-privacy-legislation-worldwide" TargetMode="External"/><Relationship Id="rId91" Type="http://schemas.openxmlformats.org/officeDocument/2006/relationships/hyperlink" Target="https://en.unesco.org/artificial-intelligence/observatory/policies?country=NG;%20https://www.unesco.org/ethics-ai/en/global-hub" TargetMode="External"/><Relationship Id="rId96" Type="http://schemas.openxmlformats.org/officeDocument/2006/relationships/hyperlink" Target="https://unctad.org/page/data-protection-and-privacy-legislation-worldwide" TargetMode="External"/><Relationship Id="rId1" Type="http://schemas.openxmlformats.org/officeDocument/2006/relationships/hyperlink" Target="https://en.unesco.org/artificial-intelligence/observatory/policies?country=BJ;%20https://www.unesco.org/ethics-ai/en/global-hub" TargetMode="External"/><Relationship Id="rId6" Type="http://schemas.openxmlformats.org/officeDocument/2006/relationships/hyperlink" Target="https://unctad.org/page/data-protection-and-privacy-legislation-worldwide" TargetMode="External"/><Relationship Id="rId23" Type="http://schemas.openxmlformats.org/officeDocument/2006/relationships/hyperlink" Target="https://unctad.org/page/data-protection-and-privacy-legislation-worldwide;%20https:/www.unicef.org/cabo-verde/" TargetMode="External"/><Relationship Id="rId28" Type="http://schemas.openxmlformats.org/officeDocument/2006/relationships/hyperlink" Target="https://ilga.org/ilga-world-maps/" TargetMode="External"/><Relationship Id="rId49" Type="http://schemas.openxmlformats.org/officeDocument/2006/relationships/hyperlink" Target="https://www.unicef.org/gambia/" TargetMode="External"/><Relationship Id="rId114" Type="http://schemas.openxmlformats.org/officeDocument/2006/relationships/hyperlink" Target="https://unctad.org/page/data-protection-and-privacy-legislation-worldwide" TargetMode="External"/><Relationship Id="rId119" Type="http://schemas.openxmlformats.org/officeDocument/2006/relationships/hyperlink" Target="https://www.unicef.org/sierra-leone/" TargetMode="External"/><Relationship Id="rId44" Type="http://schemas.openxmlformats.org/officeDocument/2006/relationships/hyperlink" Target="https://unctad.org/page/data-protection-and-privacy-legislation-worldwide" TargetMode="External"/><Relationship Id="rId6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65" Type="http://schemas.openxmlformats.org/officeDocument/2006/relationships/hyperlink" Target="https://unctad.org/page/data-protection-and-privacy-legislation-worldwide" TargetMode="External"/><Relationship Id="rId81" Type="http://schemas.openxmlformats.org/officeDocument/2006/relationships/hyperlink" Target="https://en.unesco.org/artificial-intelligence/observatory/policies?country=LR;%20https://www.unesco.org/ethics-ai/en/global-hub" TargetMode="External"/><Relationship Id="rId86" Type="http://schemas.openxmlformats.org/officeDocument/2006/relationships/hyperlink" Target="https://unctad.org/page/data-protection-and-privacy-legislation-worldwide" TargetMode="External"/><Relationship Id="rId130" Type="http://schemas.openxmlformats.org/officeDocument/2006/relationships/hyperlink" Target="https://www.gsma.com/solutions-and-impact/connectivity-for-good/public-policy/mobile-policy-handbook/consumer-protection/mandatory-registration-of-prepaid-sims/" TargetMode="External"/><Relationship Id="rId13" Type="http://schemas.openxmlformats.org/officeDocument/2006/relationships/hyperlink" Target="https://unctad.org/page/data-protection-and-privacy-legislation-worldwide;%20https:/www.unicef.org/burkina-faso/" TargetMode="External"/><Relationship Id="rId18" Type="http://schemas.openxmlformats.org/officeDocument/2006/relationships/hyperlink" Target="https://ilga.org/ilga-world-maps/" TargetMode="External"/><Relationship Id="rId39" Type="http://schemas.openxmlformats.org/officeDocument/2006/relationships/hyperlink" Target="https://www.unicef.org/cote-divoire/" TargetMode="External"/><Relationship Id="rId109" Type="http://schemas.openxmlformats.org/officeDocument/2006/relationships/hyperlink" Target="https://www.unicef.org/senegal/" TargetMode="External"/><Relationship Id="rId34" Type="http://schemas.openxmlformats.org/officeDocument/2006/relationships/hyperlink" Target="https://unctad.org/page/data-protection-and-privacy-legislation-worldwide" TargetMode="External"/><Relationship Id="rId5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55" Type="http://schemas.openxmlformats.org/officeDocument/2006/relationships/hyperlink" Target="https://unctad.org/page/data-protection-and-privacy-legislation-worldwide" TargetMode="External"/><Relationship Id="rId76" Type="http://schemas.openxmlformats.org/officeDocument/2006/relationships/hyperlink" Target="https://unctad.org/page/data-protection-and-privacy-legislation-worldwide" TargetMode="External"/><Relationship Id="rId97" Type="http://schemas.openxmlformats.org/officeDocument/2006/relationships/hyperlink" Target="https://www.humandignitytrust.org/country-profile/nigeria/;%20https:/ilga.org/ilga-world-maps/" TargetMode="External"/><Relationship Id="rId104" Type="http://schemas.openxmlformats.org/officeDocument/2006/relationships/hyperlink" Target="https://unctad.org/page/data-protection-and-privacy-legislation-worldwide" TargetMode="External"/><Relationship Id="rId120" Type="http://schemas.openxmlformats.org/officeDocument/2006/relationships/hyperlink" Target="https://www.gsma.com/solutions-and-impact/connectivity-for-good/public-policy/mobile-policy-handbook/consumer-protection/mandatory-registration-of-prepaid-sims/" TargetMode="External"/><Relationship Id="rId125" Type="http://schemas.openxmlformats.org/officeDocument/2006/relationships/hyperlink" Target="https://unctad.org/page/data-protection-and-privacy-legislation-worldwide" TargetMode="External"/><Relationship Id="rId7" Type="http://schemas.openxmlformats.org/officeDocument/2006/relationships/hyperlink" Target="https://www.humandignitytrust.org/country-profile/benin/;%20https:/ilga.org/ilga-world-maps/" TargetMode="External"/><Relationship Id="rId71" Type="http://schemas.openxmlformats.org/officeDocument/2006/relationships/hyperlink" Target="https://en.unesco.org/artificial-intelligence/observatory/policies?country=GW;%20https://www.unesco.org/ethics-ai/en/global-hub" TargetMode="External"/><Relationship Id="rId92" Type="http://schemas.openxmlformats.org/officeDocument/2006/relationships/hyperlink" Target="https://unctad.org/page/data-protection-and-privacy-legislation-worldwide" TargetMode="External"/><Relationship Id="rId2" Type="http://schemas.openxmlformats.org/officeDocument/2006/relationships/hyperlink" Target="https://unctad.org/page/data-protection-and-privacy-legislation-worldwide" TargetMode="External"/><Relationship Id="rId29" Type="http://schemas.openxmlformats.org/officeDocument/2006/relationships/hyperlink" Target="https://www.unicef.org/cabo-verde/" TargetMode="External"/><Relationship Id="rId24" Type="http://schemas.openxmlformats.org/officeDocument/2006/relationships/hyperlink" Target="https://unctad.org/page/data-protection-and-privacy-legislation-worldwide" TargetMode="External"/><Relationship Id="rId4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45" Type="http://schemas.openxmlformats.org/officeDocument/2006/relationships/hyperlink" Target="https://unctad.org/page/data-protection-and-privacy-legislation-worldwide" TargetMode="External"/><Relationship Id="rId66" Type="http://schemas.openxmlformats.org/officeDocument/2006/relationships/hyperlink" Target="https://unctad.org/page/data-protection-and-privacy-legislation-worldwide" TargetMode="External"/><Relationship Id="rId87" Type="http://schemas.openxmlformats.org/officeDocument/2006/relationships/hyperlink" Target="https://www.humandignitytrust.org/country-profile/liberia/;%20https:/ilga.org/ilga-world-maps/" TargetMode="External"/><Relationship Id="rId110" Type="http://schemas.openxmlformats.org/officeDocument/2006/relationships/hyperlink" Target="https://www.gsma.com/solutions-and-impact/connectivity-for-good/public-policy/mobile-policy-handbook/consumer-protection/mandatory-registration-of-prepaid-sims/" TargetMode="External"/><Relationship Id="rId115" Type="http://schemas.openxmlformats.org/officeDocument/2006/relationships/hyperlink" Target="https://unctad.org/page/data-protection-and-privacy-legislation-worldwide" TargetMode="External"/><Relationship Id="rId61" Type="http://schemas.openxmlformats.org/officeDocument/2006/relationships/hyperlink" Target="https://en.unesco.org/artificial-intelligence/observatory/policies?country=GN;%20https://www.unesco.org/ethics-ai/en/global-hub" TargetMode="External"/><Relationship Id="rId82" Type="http://schemas.openxmlformats.org/officeDocument/2006/relationships/hyperlink" Target="https://unctad.org/page/data-protection-and-privacy-legislation-worldwide" TargetMode="External"/><Relationship Id="rId19" Type="http://schemas.openxmlformats.org/officeDocument/2006/relationships/hyperlink" Target="https://www.unicef.org/burkina-faso/" TargetMode="External"/><Relationship Id="rId14" Type="http://schemas.openxmlformats.org/officeDocument/2006/relationships/hyperlink" Target="https://unctad.org/page/data-protection-and-privacy-legislation-worldwide" TargetMode="External"/><Relationship Id="rId3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35" Type="http://schemas.openxmlformats.org/officeDocument/2006/relationships/hyperlink" Target="https://unctad.org/page/data-protection-and-privacy-legislation-worldwide" TargetMode="External"/><Relationship Id="rId56" Type="http://schemas.openxmlformats.org/officeDocument/2006/relationships/hyperlink" Target="https://unctad.org/page/data-protection-and-privacy-legislation-worldwide" TargetMode="External"/><Relationship Id="rId77" Type="http://schemas.openxmlformats.org/officeDocument/2006/relationships/hyperlink" Target="https://www.humandignitytrust.org/country-profile/guinea-bissau/;%20https:/ilga.org/ilga-world-maps/" TargetMode="External"/><Relationship Id="rId10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105" Type="http://schemas.openxmlformats.org/officeDocument/2006/relationships/hyperlink" Target="https://unctad.org/page/data-protection-and-privacy-legislation-worldwide" TargetMode="External"/><Relationship Id="rId126" Type="http://schemas.openxmlformats.org/officeDocument/2006/relationships/hyperlink" Target="https://unctad.org/page/data-protection-and-privacy-legislation-worldwide" TargetMode="External"/><Relationship Id="rId8" Type="http://schemas.openxmlformats.org/officeDocument/2006/relationships/hyperlink" Target="https://ilga.org/ilga-world-maps/" TargetMode="External"/><Relationship Id="rId51" Type="http://schemas.openxmlformats.org/officeDocument/2006/relationships/hyperlink" Target="https://en.unesco.org/artificial-intelligence/observatory/policies?country=GH;%20https://www.unesco.org/ethics-ai/en/global-hub" TargetMode="External"/><Relationship Id="rId72" Type="http://schemas.openxmlformats.org/officeDocument/2006/relationships/hyperlink" Target="https://unctad.org/page/data-protection-and-privacy-legislation-worldwide" TargetMode="External"/><Relationship Id="rId93" Type="http://schemas.openxmlformats.org/officeDocument/2006/relationships/hyperlink" Target="https://unctad.org/page/data-protection-and-privacy-legislation-worldwide;%20https:/www.unicef.org/nigeria/" TargetMode="External"/><Relationship Id="rId98" Type="http://schemas.openxmlformats.org/officeDocument/2006/relationships/hyperlink" Target="https://ilga.org/ilga-world-maps/" TargetMode="External"/><Relationship Id="rId121" Type="http://schemas.openxmlformats.org/officeDocument/2006/relationships/hyperlink" Target="https://en.unesco.org/artificial-intelligence/observatory/policies?country=TG;%20https://www.unesco.org/ethics-ai/en/global-hub" TargetMode="External"/><Relationship Id="rId3" Type="http://schemas.openxmlformats.org/officeDocument/2006/relationships/hyperlink" Target="https://unctad.org/page/data-protection-and-privacy-legislation-worldwide;%20https:/www.unicef.org/benin/" TargetMode="External"/><Relationship Id="rId25" Type="http://schemas.openxmlformats.org/officeDocument/2006/relationships/hyperlink" Target="https://unctad.org/page/data-protection-and-privacy-legislation-worldwide" TargetMode="External"/><Relationship Id="rId46" Type="http://schemas.openxmlformats.org/officeDocument/2006/relationships/hyperlink" Target="https://unctad.org/page/data-protection-and-privacy-legislation-worldwide" TargetMode="External"/><Relationship Id="rId67" Type="http://schemas.openxmlformats.org/officeDocument/2006/relationships/hyperlink" Target="https://www.humandignitytrust.org/country-profile/guinea/;%20https:/ilga.org/ilga-world-maps/" TargetMode="External"/><Relationship Id="rId116" Type="http://schemas.openxmlformats.org/officeDocument/2006/relationships/hyperlink" Target="https://unctad.org/page/data-protection-and-privacy-legislation-worldwide" TargetMode="External"/><Relationship Id="rId2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41" Type="http://schemas.openxmlformats.org/officeDocument/2006/relationships/hyperlink" Target="https://en.unesco.org/artificial-intelligence/observatory/policies?country=GM;%20https://www.unesco.org/ethics-ai/en/global-hub" TargetMode="External"/><Relationship Id="rId62" Type="http://schemas.openxmlformats.org/officeDocument/2006/relationships/hyperlink" Target="https://unctad.org/page/data-protection-and-privacy-legislation-worldwide" TargetMode="External"/><Relationship Id="rId83" Type="http://schemas.openxmlformats.org/officeDocument/2006/relationships/hyperlink" Target="https://www.unicef.org/liberia/" TargetMode="External"/><Relationship Id="rId88" Type="http://schemas.openxmlformats.org/officeDocument/2006/relationships/hyperlink" Target="https://ilga.org/ilga-world-maps/" TargetMode="External"/><Relationship Id="rId111" Type="http://schemas.openxmlformats.org/officeDocument/2006/relationships/hyperlink" Target="https://en.unesco.org/artificial-intelligence/observatory/policies?country=SL;%20https://www.unesco.org/ethics-ai/en/global-hub" TargetMode="External"/><Relationship Id="rId15" Type="http://schemas.openxmlformats.org/officeDocument/2006/relationships/hyperlink" Target="https://unctad.org/page/data-protection-and-privacy-legislation-worldwide" TargetMode="External"/><Relationship Id="rId36" Type="http://schemas.openxmlformats.org/officeDocument/2006/relationships/hyperlink" Target="https://unctad.org/page/data-protection-and-privacy-legislation-worldwide" TargetMode="External"/><Relationship Id="rId57" Type="http://schemas.openxmlformats.org/officeDocument/2006/relationships/hyperlink" Target="https://www.humandignitytrust.org/country-profile/ghana/;%20https:/ilga.org/ilga-world-maps/" TargetMode="External"/><Relationship Id="rId106" Type="http://schemas.openxmlformats.org/officeDocument/2006/relationships/hyperlink" Target="https://unctad.org/page/data-protection-and-privacy-legislation-worldwide" TargetMode="External"/><Relationship Id="rId127" Type="http://schemas.openxmlformats.org/officeDocument/2006/relationships/hyperlink" Target="https://www.humandignitytrust.org/country-profile/togo/;%20https:/ilga.org/ilga-world-maps/" TargetMode="External"/><Relationship Id="rId10" Type="http://schemas.openxmlformats.org/officeDocument/2006/relationships/hyperlink" Target="https://www.gsma.com/solutions-and-impact/connectivity-for-good/public-policy/mobile-policy-handbook/consumer-protection/mandatory-registration-of-prepaid-sims/;%20https:/privacyinternational.org/learn/sim-card-registration" TargetMode="External"/><Relationship Id="rId31" Type="http://schemas.openxmlformats.org/officeDocument/2006/relationships/hyperlink" Target="https://www.unesco.org/ethics-ai/en/global-hub" TargetMode="External"/><Relationship Id="rId52" Type="http://schemas.openxmlformats.org/officeDocument/2006/relationships/hyperlink" Target="https://unctad.org/page/data-protection-and-privacy-legislation-worldwide" TargetMode="External"/><Relationship Id="rId73" Type="http://schemas.openxmlformats.org/officeDocument/2006/relationships/hyperlink" Target="https://www.unicef.org/guinea-bissau/" TargetMode="External"/><Relationship Id="rId78" Type="http://schemas.openxmlformats.org/officeDocument/2006/relationships/hyperlink" Target="https://ilga.org/ilga-world-maps/" TargetMode="External"/><Relationship Id="rId94" Type="http://schemas.openxmlformats.org/officeDocument/2006/relationships/hyperlink" Target="https://unctad.org/page/data-protection-and-privacy-legislation-worldwide" TargetMode="External"/><Relationship Id="rId99" Type="http://schemas.openxmlformats.org/officeDocument/2006/relationships/hyperlink" Target="https://www.unicef.org/nigeria/" TargetMode="External"/><Relationship Id="rId101" Type="http://schemas.openxmlformats.org/officeDocument/2006/relationships/hyperlink" Target="https://en.unesco.org/artificial-intelligence/observatory/policies?country=SN;%20https://www.unesco.org/ethics-ai/en/global-hub" TargetMode="External"/><Relationship Id="rId122" Type="http://schemas.openxmlformats.org/officeDocument/2006/relationships/hyperlink" Target="https://unctad.org/page/data-protection-and-privacy-legislation-worldwide" TargetMode="External"/><Relationship Id="rId4" Type="http://schemas.openxmlformats.org/officeDocument/2006/relationships/hyperlink" Target="https://unctad.org/page/data-protection-and-privacy-legislation-worldwide" TargetMode="External"/><Relationship Id="rId9" Type="http://schemas.openxmlformats.org/officeDocument/2006/relationships/hyperlink" Target="https://www.unicef.org/benin/" TargetMode="External"/><Relationship Id="rId26" Type="http://schemas.openxmlformats.org/officeDocument/2006/relationships/hyperlink" Target="https://unctad.org/page/data-protection-and-privacy-legislation-worldwide"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en.unesco.org/artificial-intelligence/observatory/policies?country=MZ;%20https://www.unesco.org/ethics-ai/en/global-hub" TargetMode="External"/><Relationship Id="rId21" Type="http://schemas.openxmlformats.org/officeDocument/2006/relationships/hyperlink" Target="https://www.unesco.org/ethics-ai/en/global-hub" TargetMode="External"/><Relationship Id="rId42" Type="http://schemas.openxmlformats.org/officeDocument/2006/relationships/hyperlink" Target="https://en.unesco.org/artificial-intelligence/observatory/policies?country=CU;%20https://www.unesco.org/ethics-ai/en/global-hub" TargetMode="External"/><Relationship Id="rId63" Type="http://schemas.openxmlformats.org/officeDocument/2006/relationships/hyperlink" Target="https://en.unesco.org/artificial-intelligence/observatory/policies?country=GA;%20https://www.unesco.org/ethics-ai/en/global-hub" TargetMode="External"/><Relationship Id="rId84" Type="http://schemas.openxmlformats.org/officeDocument/2006/relationships/hyperlink" Target="https://en.unesco.org/artificial-intelligence/observatory/policies?country=IT;%20https://www.unesco.org/ethics-ai/en/global-hub" TargetMode="External"/><Relationship Id="rId138" Type="http://schemas.openxmlformats.org/officeDocument/2006/relationships/hyperlink" Target="https://en.unesco.org/artificial-intelligence/observatory/policies?country=PT;%20https://www.unesco.org/ethics-ai/en/global-hub" TargetMode="External"/><Relationship Id="rId159" Type="http://schemas.openxmlformats.org/officeDocument/2006/relationships/hyperlink" Target="https://en.unesco.org/artificial-intelligence/observatory/policies?country=SB;%20https://www.unesco.org/ethics-ai/en/global-hub" TargetMode="External"/><Relationship Id="rId170" Type="http://schemas.openxmlformats.org/officeDocument/2006/relationships/hyperlink" Target="https://en.unesco.org/artificial-intelligence/observatory/policies?country=SY;%20https://www.unesco.org/ethics-ai/en/global-hub" TargetMode="External"/><Relationship Id="rId191" Type="http://schemas.openxmlformats.org/officeDocument/2006/relationships/hyperlink" Target="https://en.unesco.org/artificial-intelligence/observatory/policies?country=VN;%20https://www.unesco.org/ethics-ai/en/global-hub" TargetMode="External"/><Relationship Id="rId107" Type="http://schemas.openxmlformats.org/officeDocument/2006/relationships/hyperlink" Target="https://en.unesco.org/artificial-intelligence/observatory/policies?country=MT;%20https://www.unesco.org/ethics-ai/en/global-hub" TargetMode="External"/><Relationship Id="rId11" Type="http://schemas.openxmlformats.org/officeDocument/2006/relationships/hyperlink" Target="https://en.unesco.org/artificial-intelligence/observatory/policies?country=AZ;%20https://www.unesco.org/ethics-ai/en/global-hub" TargetMode="External"/><Relationship Id="rId32" Type="http://schemas.openxmlformats.org/officeDocument/2006/relationships/hyperlink" Target="https://en.unesco.org/artificial-intelligence/observatory/policies?country=CA;%20https://www.unesco.org/ethics-ai/en/global-hub" TargetMode="External"/><Relationship Id="rId53" Type="http://schemas.openxmlformats.org/officeDocument/2006/relationships/hyperlink" Target="https://en.unesco.org/artificial-intelligence/observatory/policies?country=EG;%20https://www.unesco.org/ethics-ai/en/global-hub" TargetMode="External"/><Relationship Id="rId74" Type="http://schemas.openxmlformats.org/officeDocument/2006/relationships/hyperlink" Target="https://en.unesco.org/artificial-intelligence/observatory/policies?country=HT;%20https://www.unesco.org/ethics-ai/en/global-hub" TargetMode="External"/><Relationship Id="rId128" Type="http://schemas.openxmlformats.org/officeDocument/2006/relationships/hyperlink" Target="https://en.unesco.org/artificial-intelligence/observatory/policies?country=NO;%20https://www.unesco.org/ethics-ai/en/global-hub" TargetMode="External"/><Relationship Id="rId149" Type="http://schemas.openxmlformats.org/officeDocument/2006/relationships/hyperlink" Target="https://en.unesco.org/artificial-intelligence/observatory/policies?country=SM;%20https://www.unesco.org/ethics-ai/en/global-hub" TargetMode="External"/><Relationship Id="rId5" Type="http://schemas.openxmlformats.org/officeDocument/2006/relationships/hyperlink" Target="https://en.unesco.org/artificial-intelligence/observatory/policies?country=AO;%20https://www.unesco.org/ethics-ai/en/global-hub" TargetMode="External"/><Relationship Id="rId95" Type="http://schemas.openxmlformats.org/officeDocument/2006/relationships/hyperlink" Target="https://en.unesco.org/artificial-intelligence/observatory/policies?country=LB;%20https://www.unesco.org/ethics-ai/en/global-hub" TargetMode="External"/><Relationship Id="rId160" Type="http://schemas.openxmlformats.org/officeDocument/2006/relationships/hyperlink" Target="https://en.unesco.org/artificial-intelligence/observatory/policies?country=SO;%20https://www.unesco.org/ethics-ai/en/global-hub" TargetMode="External"/><Relationship Id="rId181" Type="http://schemas.openxmlformats.org/officeDocument/2006/relationships/hyperlink" Target="https://en.unesco.org/artificial-intelligence/observatory/policies?country=TV;%20https://www.unesco.org/ethics-ai/en/global-hub" TargetMode="External"/><Relationship Id="rId22" Type="http://schemas.openxmlformats.org/officeDocument/2006/relationships/hyperlink" Target="https://en.unesco.org/artificial-intelligence/observatory/policies?country=BA;%20https://www.unesco.org/ethics-ai/en/global-hub" TargetMode="External"/><Relationship Id="rId43" Type="http://schemas.openxmlformats.org/officeDocument/2006/relationships/hyperlink" Target="https://en.unesco.org/artificial-intelligence/observatory/policies?country=CY;%20https://www.unesco.org/ethics-ai/en/global-hub" TargetMode="External"/><Relationship Id="rId64" Type="http://schemas.openxmlformats.org/officeDocument/2006/relationships/hyperlink" Target="https://en.unesco.org/artificial-intelligence/observatory/policies?country=GM;%20https://www.unesco.org/ethics-ai/en/global-hub" TargetMode="External"/><Relationship Id="rId118" Type="http://schemas.openxmlformats.org/officeDocument/2006/relationships/hyperlink" Target="https://en.unesco.org/artificial-intelligence/observatory/policies?country=MM;%20https://www.unesco.org/ethics-ai/en/global-hub" TargetMode="External"/><Relationship Id="rId139" Type="http://schemas.openxmlformats.org/officeDocument/2006/relationships/hyperlink" Target="https://en.unesco.org/artificial-intelligence/observatory/policies?country=QA;%20https://www.unesco.org/ethics-ai/en/global-hub" TargetMode="External"/><Relationship Id="rId85" Type="http://schemas.openxmlformats.org/officeDocument/2006/relationships/hyperlink" Target="https://en.unesco.org/artificial-intelligence/observatory/policies?country=JM;%20https://www.unesco.org/ethics-ai/en/global-hub" TargetMode="External"/><Relationship Id="rId150" Type="http://schemas.openxmlformats.org/officeDocument/2006/relationships/hyperlink" Target="https://en.unesco.org/artificial-intelligence/observatory/policies?country=ST;%20https://www.unesco.org/ethics-ai/en/global-hub" TargetMode="External"/><Relationship Id="rId171" Type="http://schemas.openxmlformats.org/officeDocument/2006/relationships/hyperlink" Target="https://en.unesco.org/artificial-intelligence/observatory/policies?country=TJ;%20https://www.unesco.org/ethics-ai/en/global-hub" TargetMode="External"/><Relationship Id="rId192" Type="http://schemas.openxmlformats.org/officeDocument/2006/relationships/hyperlink" Target="https://en.unesco.org/artificial-intelligence/observatory/policies?country=YE;%20https://www.unesco.org/ethics-ai/en/global-hub" TargetMode="External"/><Relationship Id="rId12" Type="http://schemas.openxmlformats.org/officeDocument/2006/relationships/hyperlink" Target="https://en.unesco.org/artificial-intelligence/observatory/policies?country=BS;%20https://www.unesco.org/ethics-ai/en/global-hub" TargetMode="External"/><Relationship Id="rId33" Type="http://schemas.openxmlformats.org/officeDocument/2006/relationships/hyperlink" Target="https://en.unesco.org/artificial-intelligence/observatory/policies?country=CF;%20https://www.unesco.org/ethics-ai/en/global-hub" TargetMode="External"/><Relationship Id="rId108" Type="http://schemas.openxmlformats.org/officeDocument/2006/relationships/hyperlink" Target="https://en.unesco.org/artificial-intelligence/observatory/policies?country=MH;%20https://www.unesco.org/ethics-ai/en/global-hub" TargetMode="External"/><Relationship Id="rId129" Type="http://schemas.openxmlformats.org/officeDocument/2006/relationships/hyperlink" Target="https://en.unesco.org/artificial-intelligence/observatory/policies?country=OM;%20https://www.unesco.org/ethics-ai/en/global-hub" TargetMode="External"/><Relationship Id="rId54" Type="http://schemas.openxmlformats.org/officeDocument/2006/relationships/hyperlink" Target="https://en.unesco.org/artificial-intelligence/observatory/policies?country=SV;%20https://www.unesco.org/ethics-ai/en/global-hub" TargetMode="External"/><Relationship Id="rId75" Type="http://schemas.openxmlformats.org/officeDocument/2006/relationships/hyperlink" Target="https://en.unesco.org/artificial-intelligence/observatory/policies?country=HN;%20https://www.unesco.org/ethics-ai/en/global-hub" TargetMode="External"/><Relationship Id="rId96" Type="http://schemas.openxmlformats.org/officeDocument/2006/relationships/hyperlink" Target="https://en.unesco.org/artificial-intelligence/observatory/policies?country=LS;%20https://www.unesco.org/ethics-ai/en/global-hub" TargetMode="External"/><Relationship Id="rId140" Type="http://schemas.openxmlformats.org/officeDocument/2006/relationships/hyperlink" Target="https://www.unesco.org/ethics-ai/en/global-hub" TargetMode="External"/><Relationship Id="rId161" Type="http://schemas.openxmlformats.org/officeDocument/2006/relationships/hyperlink" Target="https://en.unesco.org/artificial-intelligence/observatory/policies?country=ZA;%20https://www.unesco.org/ethics-ai/en/global-hub" TargetMode="External"/><Relationship Id="rId182" Type="http://schemas.openxmlformats.org/officeDocument/2006/relationships/hyperlink" Target="https://en.unesco.org/artificial-intelligence/observatory/policies?country=UG;%20https://www.unesco.org/ethics-ai/en/global-hub" TargetMode="External"/><Relationship Id="rId6" Type="http://schemas.openxmlformats.org/officeDocument/2006/relationships/hyperlink" Target="https://en.unesco.org/artificial-intelligence/observatory/policies?country=AG;%20https://www.unesco.org/ethics-ai/en/global-hub" TargetMode="External"/><Relationship Id="rId23" Type="http://schemas.openxmlformats.org/officeDocument/2006/relationships/hyperlink" Target="https://en.unesco.org/artificial-intelligence/observatory/policies?country=BW;%20https://www.unesco.org/ethics-ai/en/global-hub" TargetMode="External"/><Relationship Id="rId119" Type="http://schemas.openxmlformats.org/officeDocument/2006/relationships/hyperlink" Target="https://en.unesco.org/artificial-intelligence/observatory/policies?country=NA;%20https://www.unesco.org/ethics-ai/en/global-hub" TargetMode="External"/><Relationship Id="rId44" Type="http://schemas.openxmlformats.org/officeDocument/2006/relationships/hyperlink" Target="https://en.unesco.org/artificial-intelligence/observatory/policies?country=CZ;%20https://www.unesco.org/ethics-ai/en/global-hub" TargetMode="External"/><Relationship Id="rId65" Type="http://schemas.openxmlformats.org/officeDocument/2006/relationships/hyperlink" Target="https://en.unesco.org/artificial-intelligence/observatory/policies?country=GE;%20https://www.unesco.org/ethics-ai/en/global-hub" TargetMode="External"/><Relationship Id="rId86" Type="http://schemas.openxmlformats.org/officeDocument/2006/relationships/hyperlink" Target="https://en.unesco.org/artificial-intelligence/observatory/policies?country=JP;%20https://www.unesco.org/ethics-ai/en/global-hub" TargetMode="External"/><Relationship Id="rId130" Type="http://schemas.openxmlformats.org/officeDocument/2006/relationships/hyperlink" Target="https://en.unesco.org/artificial-intelligence/observatory/policies?country=PK;%20https://www.unesco.org/ethics-ai/en/global-hub" TargetMode="External"/><Relationship Id="rId151" Type="http://schemas.openxmlformats.org/officeDocument/2006/relationships/hyperlink" Target="https://en.unesco.org/artificial-intelligence/observatory/policies?country=SA;%20https://www.unesco.org/ethics-ai/en/global-hub" TargetMode="External"/><Relationship Id="rId172" Type="http://schemas.openxmlformats.org/officeDocument/2006/relationships/hyperlink" Target="https://en.unesco.org/artificial-intelligence/observatory/policies?country=TZ;%20https://www.unesco.org/ethics-ai/en/global-hub" TargetMode="External"/><Relationship Id="rId193" Type="http://schemas.openxmlformats.org/officeDocument/2006/relationships/hyperlink" Target="https://en.unesco.org/artificial-intelligence/observatory/policies?country=ZM;%20https://www.unesco.org/ethics-ai/en/global-hub" TargetMode="External"/><Relationship Id="rId13" Type="http://schemas.openxmlformats.org/officeDocument/2006/relationships/hyperlink" Target="https://en.unesco.org/artificial-intelligence/observatory/policies?country=BH;%20https://www.unesco.org/ethics-ai/en/global-hub" TargetMode="External"/><Relationship Id="rId109" Type="http://schemas.openxmlformats.org/officeDocument/2006/relationships/hyperlink" Target="https://en.unesco.org/artificial-intelligence/observatory/policies?country=MR;%20https://www.unesco.org/ethics-ai/en/global-hub" TargetMode="External"/><Relationship Id="rId34" Type="http://schemas.openxmlformats.org/officeDocument/2006/relationships/hyperlink" Target="https://en.unesco.org/artificial-intelligence/observatory/policies?country=TD;%20https://www.unesco.org/ethics-ai/en/global-hub" TargetMode="External"/><Relationship Id="rId50" Type="http://schemas.openxmlformats.org/officeDocument/2006/relationships/hyperlink" Target="https://en.unesco.org/artificial-intelligence/observatory/policies?country=DM;%20https://www.unesco.org/ethics-ai/en/global-hub" TargetMode="External"/><Relationship Id="rId55" Type="http://schemas.openxmlformats.org/officeDocument/2006/relationships/hyperlink" Target="https://en.unesco.org/artificial-intelligence/observatory/policies?country=GQ;%20https://www.unesco.org/ethics-ai/en/global-hub" TargetMode="External"/><Relationship Id="rId76" Type="http://schemas.openxmlformats.org/officeDocument/2006/relationships/hyperlink" Target="https://en.unesco.org/artificial-intelligence/observatory/policies?country=HU;%20https://www.unesco.org/ethics-ai/en/global-hub" TargetMode="External"/><Relationship Id="rId97" Type="http://schemas.openxmlformats.org/officeDocument/2006/relationships/hyperlink" Target="https://en.unesco.org/artificial-intelligence/observatory/policies?country=LR;%20https://www.unesco.org/ethics-ai/en/global-hub" TargetMode="External"/><Relationship Id="rId104" Type="http://schemas.openxmlformats.org/officeDocument/2006/relationships/hyperlink" Target="https://en.unesco.org/artificial-intelligence/observatory/policies?country=MY;%20https://www.unesco.org/ethics-ai/en/global-hub" TargetMode="External"/><Relationship Id="rId120" Type="http://schemas.openxmlformats.org/officeDocument/2006/relationships/hyperlink" Target="https://en.unesco.org/artificial-intelligence/observatory/policies?country=NR;%20https://www.unesco.org/ethics-ai/en/global-hub" TargetMode="External"/><Relationship Id="rId125" Type="http://schemas.openxmlformats.org/officeDocument/2006/relationships/hyperlink" Target="https://en.unesco.org/artificial-intelligence/observatory/policies?country=NE;%20https://www.unesco.org/ethics-ai/en/global-hub" TargetMode="External"/><Relationship Id="rId141" Type="http://schemas.openxmlformats.org/officeDocument/2006/relationships/hyperlink" Target="https://en.unesco.org/artificial-intelligence/observatory/policies?country=MD;%20https://www.unesco.org/ethics-ai/en/global-hub" TargetMode="External"/><Relationship Id="rId146" Type="http://schemas.openxmlformats.org/officeDocument/2006/relationships/hyperlink" Target="https://en.unesco.org/artificial-intelligence/observatory/policies?country=LC;%20https://www.unesco.org/ethics-ai/en/global-hub" TargetMode="External"/><Relationship Id="rId167" Type="http://schemas.openxmlformats.org/officeDocument/2006/relationships/hyperlink" Target="https://en.unesco.org/artificial-intelligence/observatory/policies?country=SR;%20https://www.unesco.org/ethics-ai/en/global-hub" TargetMode="External"/><Relationship Id="rId188" Type="http://schemas.openxmlformats.org/officeDocument/2006/relationships/hyperlink" Target="https://en.unesco.org/artificial-intelligence/observatory/policies?country=UZ;%20https://www.unesco.org/ethics-ai/en/global-hub" TargetMode="External"/><Relationship Id="rId7" Type="http://schemas.openxmlformats.org/officeDocument/2006/relationships/hyperlink" Target="https://en.unesco.org/artificial-intelligence/observatory/policies?country=AR;%20https://www.unesco.org/ethics-ai/en/global-hub" TargetMode="External"/><Relationship Id="rId71" Type="http://schemas.openxmlformats.org/officeDocument/2006/relationships/hyperlink" Target="https://en.unesco.org/artificial-intelligence/observatory/policies?country=GN;%20https://www.unesco.org/ethics-ai/en/global-hub" TargetMode="External"/><Relationship Id="rId92" Type="http://schemas.openxmlformats.org/officeDocument/2006/relationships/hyperlink" Target="https://en.unesco.org/artificial-intelligence/observatory/policies?country=KG;%20https://www.unesco.org/ethics-ai/en/global-hub" TargetMode="External"/><Relationship Id="rId162" Type="http://schemas.openxmlformats.org/officeDocument/2006/relationships/hyperlink" Target="https://en.unesco.org/artificial-intelligence/observatory/policies?country=SS;%20https://www.unesco.org/ethics-ai/en/global-hub" TargetMode="External"/><Relationship Id="rId183" Type="http://schemas.openxmlformats.org/officeDocument/2006/relationships/hyperlink" Target="https://en.unesco.org/artificial-intelligence/observatory/policies?country=UA;%20https://www.unesco.org/ethics-ai/en/global-hub" TargetMode="External"/><Relationship Id="rId2" Type="http://schemas.openxmlformats.org/officeDocument/2006/relationships/hyperlink" Target="https://www.digitalagenda.al/wp-content/uploads/2022/03/Digital-Agenda-Strategy-2022-2026-EN.pdf" TargetMode="External"/><Relationship Id="rId29" Type="http://schemas.openxmlformats.org/officeDocument/2006/relationships/hyperlink" Target="https://en.unesco.org/artificial-intelligence/observatory/policies?country=CV;%20https://www.unesco.org/ethics-ai/en/global-hub" TargetMode="External"/><Relationship Id="rId24" Type="http://schemas.openxmlformats.org/officeDocument/2006/relationships/hyperlink" Target="https://en.unesco.org/artificial-intelligence/observatory/policies?country=BR;%20https://www.unesco.org/ethics-ai/en/global-hub" TargetMode="External"/><Relationship Id="rId40" Type="http://schemas.openxmlformats.org/officeDocument/2006/relationships/hyperlink" Target="https://en.unesco.org/artificial-intelligence/observatory/policies?country=CR;%20https://www.unesco.org/ethics-ai/en/global-hub" TargetMode="External"/><Relationship Id="rId45" Type="http://schemas.openxmlformats.org/officeDocument/2006/relationships/hyperlink" Target="https://www.unesco.org/ethics-ai/en/global-hub" TargetMode="External"/><Relationship Id="rId66" Type="http://schemas.openxmlformats.org/officeDocument/2006/relationships/hyperlink" Target="https://en.unesco.org/artificial-intelligence/observatory/policies?country=DE;%20https://www.unesco.org/ethics-ai/en/global-hub" TargetMode="External"/><Relationship Id="rId87" Type="http://schemas.openxmlformats.org/officeDocument/2006/relationships/hyperlink" Target="https://en.unesco.org/artificial-intelligence/observatory/policies?country=JO;%20https://www.unesco.org/ethics-ai/en/global-hub" TargetMode="External"/><Relationship Id="rId110" Type="http://schemas.openxmlformats.org/officeDocument/2006/relationships/hyperlink" Target="https://en.unesco.org/artificial-intelligence/observatory/policies?country=MU;%20https://www.unesco.org/ethics-ai/en/global-hub" TargetMode="External"/><Relationship Id="rId115" Type="http://schemas.openxmlformats.org/officeDocument/2006/relationships/hyperlink" Target="https://en.unesco.org/artificial-intelligence/observatory/policies?country=ME;%20https://www.unesco.org/ethics-ai/en/global-hub" TargetMode="External"/><Relationship Id="rId131" Type="http://schemas.openxmlformats.org/officeDocument/2006/relationships/hyperlink" Target="https://en.unesco.org/artificial-intelligence/observatory/policies?country=PW;%20https://www.unesco.org/ethics-ai/en/global-hub" TargetMode="External"/><Relationship Id="rId136" Type="http://schemas.openxmlformats.org/officeDocument/2006/relationships/hyperlink" Target="https://en.unesco.org/artificial-intelligence/observatory/policies?country=PH;%20https://www.unesco.org/ethics-ai/en/global-hub" TargetMode="External"/><Relationship Id="rId157" Type="http://schemas.openxmlformats.org/officeDocument/2006/relationships/hyperlink" Target="https://en.unesco.org/artificial-intelligence/observatory/policies?country=SK;%20https://www.unesco.org/ethics-ai/en/global-hub" TargetMode="External"/><Relationship Id="rId178" Type="http://schemas.openxmlformats.org/officeDocument/2006/relationships/hyperlink" Target="https://en.unesco.org/artificial-intelligence/observatory/policies?country=TN;%20https://www.unesco.org/ethics-ai/en/global-hub" TargetMode="External"/><Relationship Id="rId61" Type="http://schemas.openxmlformats.org/officeDocument/2006/relationships/hyperlink" Target="https://en.unesco.org/artificial-intelligence/observatory/policies?country=FI;%20https://www.unesco.org/ethics-ai/en/global-hub" TargetMode="External"/><Relationship Id="rId82" Type="http://schemas.openxmlformats.org/officeDocument/2006/relationships/hyperlink" Target="https://en.unesco.org/artificial-intelligence/observatory/policies?country=IE;%20https://www.unesco.org/ethics-ai/en/global-hub" TargetMode="External"/><Relationship Id="rId152" Type="http://schemas.openxmlformats.org/officeDocument/2006/relationships/hyperlink" Target="https://en.unesco.org/artificial-intelligence/observatory/policies?country=SN;%20https://www.unesco.org/ethics-ai/en/global-hub" TargetMode="External"/><Relationship Id="rId173" Type="http://schemas.openxmlformats.org/officeDocument/2006/relationships/hyperlink" Target="https://en.unesco.org/artificial-intelligence/observatory/policies?country=TH;%20https://www.unesco.org/ethics-ai/en/global-hub" TargetMode="External"/><Relationship Id="rId194" Type="http://schemas.openxmlformats.org/officeDocument/2006/relationships/hyperlink" Target="https://en.unesco.org/artificial-intelligence/observatory/policies?country=ZW;%20https://www.unesco.org/ethics-ai/en/global-hub" TargetMode="External"/><Relationship Id="rId19" Type="http://schemas.openxmlformats.org/officeDocument/2006/relationships/hyperlink" Target="https://en.unesco.org/artificial-intelligence/observatory/policies?country=BJ;%20https://www.unesco.org/ethics-ai/en/global-hub" TargetMode="External"/><Relationship Id="rId14" Type="http://schemas.openxmlformats.org/officeDocument/2006/relationships/hyperlink" Target="https://en.unesco.org/artificial-intelligence/observatory/policies?country=BD;%20https://www.unesco.org/ethics-ai/en/global-hub" TargetMode="External"/><Relationship Id="rId30" Type="http://schemas.openxmlformats.org/officeDocument/2006/relationships/hyperlink" Target="https://en.unesco.org/artificial-intelligence/observatory/policies?country=KH;%20https://www.unesco.org/ethics-ai/en/global-hub" TargetMode="External"/><Relationship Id="rId35" Type="http://schemas.openxmlformats.org/officeDocument/2006/relationships/hyperlink" Target="https://en.unesco.org/artificial-intelligence/observatory/policies?country=CL;%20https://www.unesco.org/ethics-ai/en/global-hub" TargetMode="External"/><Relationship Id="rId56" Type="http://schemas.openxmlformats.org/officeDocument/2006/relationships/hyperlink" Target="https://en.unesco.org/artificial-intelligence/observatory/policies?country=ER;%20https://www.unesco.org/ethics-ai/en/global-hub" TargetMode="External"/><Relationship Id="rId77" Type="http://schemas.openxmlformats.org/officeDocument/2006/relationships/hyperlink" Target="https://en.unesco.org/artificial-intelligence/observatory/policies?country=IS;%20https://www.unesco.org/ethics-ai/en/global-hub" TargetMode="External"/><Relationship Id="rId100" Type="http://schemas.openxmlformats.org/officeDocument/2006/relationships/hyperlink" Target="https://en.unesco.org/artificial-intelligence/observatory/policies?country=LT;%20https://www.unesco.org/ethics-ai/en/global-hub" TargetMode="External"/><Relationship Id="rId105" Type="http://schemas.openxmlformats.org/officeDocument/2006/relationships/hyperlink" Target="https://en.unesco.org/artificial-intelligence/observatory/policies?country=MV;%20https://www.unesco.org/ethics-ai/en/global-hub" TargetMode="External"/><Relationship Id="rId126" Type="http://schemas.openxmlformats.org/officeDocument/2006/relationships/hyperlink" Target="https://en.unesco.org/artificial-intelligence/observatory/policies?country=NG;%20https://www.unesco.org/ethics-ai/en/global-hub" TargetMode="External"/><Relationship Id="rId147" Type="http://schemas.openxmlformats.org/officeDocument/2006/relationships/hyperlink" Target="https://en.unesco.org/artificial-intelligence/observatory/policies?country=VC;%20https://www.unesco.org/ethics-ai/en/global-hub" TargetMode="External"/><Relationship Id="rId168" Type="http://schemas.openxmlformats.org/officeDocument/2006/relationships/hyperlink" Target="https://en.unesco.org/artificial-intelligence/observatory/policies?country=SE;%20https://www.unesco.org/ethics-ai/en/global-hub" TargetMode="External"/><Relationship Id="rId8" Type="http://schemas.openxmlformats.org/officeDocument/2006/relationships/hyperlink" Target="https://en.unesco.org/artificial-intelligence/observatory/policies?country=AM;%20https://www.unesco.org/ethics-ai/en/global-hub" TargetMode="External"/><Relationship Id="rId51" Type="http://schemas.openxmlformats.org/officeDocument/2006/relationships/hyperlink" Target="https://en.unesco.org/artificial-intelligence/observatory/policies?country=DO;%20https://www.unesco.org/ethics-ai/en/global-hub" TargetMode="External"/><Relationship Id="rId72" Type="http://schemas.openxmlformats.org/officeDocument/2006/relationships/hyperlink" Target="https://en.unesco.org/artificial-intelligence/observatory/policies?country=GW;%20https://www.unesco.org/ethics-ai/en/global-hub" TargetMode="External"/><Relationship Id="rId93" Type="http://schemas.openxmlformats.org/officeDocument/2006/relationships/hyperlink" Target="https://en.unesco.org/artificial-intelligence/observatory/policies?country=LA;%20https://www.unesco.org/ethics-ai/en/global-hub" TargetMode="External"/><Relationship Id="rId98" Type="http://schemas.openxmlformats.org/officeDocument/2006/relationships/hyperlink" Target="https://en.unesco.org/artificial-intelligence/observatory/policies?country=LY;%20https://www.unesco.org/ethics-ai/en/global-hub" TargetMode="External"/><Relationship Id="rId121" Type="http://schemas.openxmlformats.org/officeDocument/2006/relationships/hyperlink" Target="https://en.unesco.org/artificial-intelligence/observatory/policies?country=NP;%20https://www.unesco.org/ethics-ai/en/global-hub" TargetMode="External"/><Relationship Id="rId142" Type="http://schemas.openxmlformats.org/officeDocument/2006/relationships/hyperlink" Target="https://en.unesco.org/artificial-intelligence/observatory/policies?country=RO;%20https://www.unesco.org/ethics-ai/en/global-hub" TargetMode="External"/><Relationship Id="rId163" Type="http://schemas.openxmlformats.org/officeDocument/2006/relationships/hyperlink" Target="https://en.unesco.org/artificial-intelligence/observatory/policies?country=ES;%20https://www.unesco.org/ethics-ai/en/global-hub" TargetMode="External"/><Relationship Id="rId184" Type="http://schemas.openxmlformats.org/officeDocument/2006/relationships/hyperlink" Target="https://en.unesco.org/artificial-intelligence/observatory/policies?country=AE;%20https://www.unesco.org/ethics-ai/en/global-hub" TargetMode="External"/><Relationship Id="rId189" Type="http://schemas.openxmlformats.org/officeDocument/2006/relationships/hyperlink" Target="https://en.unesco.org/artificial-intelligence/observatory/policies?country=VU;%20https://www.unesco.org/ethics-ai/en/global-hub" TargetMode="External"/><Relationship Id="rId3" Type="http://schemas.openxmlformats.org/officeDocument/2006/relationships/hyperlink" Target="https://www.itu.int/en/ITU-D/ICT-Applications/Pages/artificial-intelligence-policy-algeria.aspx" TargetMode="External"/><Relationship Id="rId25" Type="http://schemas.openxmlformats.org/officeDocument/2006/relationships/hyperlink" Target="https://en.unesco.org/artificial-intelligence/observatory/policies?country=BN;%20https://www.unesco.org/ethics-ai/en/global-hub" TargetMode="External"/><Relationship Id="rId46" Type="http://schemas.openxmlformats.org/officeDocument/2006/relationships/hyperlink" Target="https://en.unesco.org/artificial-intelligence/observatory/policies?country=KP;%20https://www.unesco.org/ethics-ai/en/global-hub" TargetMode="External"/><Relationship Id="rId67" Type="http://schemas.openxmlformats.org/officeDocument/2006/relationships/hyperlink" Target="https://en.unesco.org/artificial-intelligence/observatory/policies?country=GH;%20https://www.unesco.org/ethics-ai/en/global-hub" TargetMode="External"/><Relationship Id="rId116" Type="http://schemas.openxmlformats.org/officeDocument/2006/relationships/hyperlink" Target="https://en.unesco.org/artificial-intelligence/observatory/policies?country=MA;%20https://www.unesco.org/ethics-ai/en/global-hub" TargetMode="External"/><Relationship Id="rId137" Type="http://schemas.openxmlformats.org/officeDocument/2006/relationships/hyperlink" Target="https://en.unesco.org/artificial-intelligence/observatory/policies?country=PL;%20https://www.unesco.org/ethics-ai/en/global-hub" TargetMode="External"/><Relationship Id="rId158" Type="http://schemas.openxmlformats.org/officeDocument/2006/relationships/hyperlink" Target="https://en.unesco.org/artificial-intelligence/observatory/policies?country=SI;%20https://www.unesco.org/ethics-ai/en/global-hub" TargetMode="External"/><Relationship Id="rId20" Type="http://schemas.openxmlformats.org/officeDocument/2006/relationships/hyperlink" Target="https://en.unesco.org/artificial-intelligence/observatory/policies?country=BT;%20https://www.unesco.org/ethics-ai/en/global-hub" TargetMode="External"/><Relationship Id="rId41" Type="http://schemas.openxmlformats.org/officeDocument/2006/relationships/hyperlink" Target="https://en.unesco.org/artificial-intelligence/observatory/policies?country=HR;%20https://www.unesco.org/ethics-ai/en/global-hub" TargetMode="External"/><Relationship Id="rId62" Type="http://schemas.openxmlformats.org/officeDocument/2006/relationships/hyperlink" Target="https://en.unesco.org/artificial-intelligence/observatory/policies?country=FR;%20https://www.unesco.org/ethics-ai/en/global-hub" TargetMode="External"/><Relationship Id="rId83" Type="http://schemas.openxmlformats.org/officeDocument/2006/relationships/hyperlink" Target="https://en.unesco.org/artificial-intelligence/observatory/policies?country=IL;%20https://www.unesco.org/ethics-ai/en/global-hub" TargetMode="External"/><Relationship Id="rId88" Type="http://schemas.openxmlformats.org/officeDocument/2006/relationships/hyperlink" Target="https://en.unesco.org/artificial-intelligence/observatory/policies?country=KZ;%20https://www.unesco.org/ethics-ai/en/global-hub" TargetMode="External"/><Relationship Id="rId111" Type="http://schemas.openxmlformats.org/officeDocument/2006/relationships/hyperlink" Target="https://en.unesco.org/artificial-intelligence/observatory/policies?country=MX;%20https://www.unesco.org/ethics-ai/en/global-hub" TargetMode="External"/><Relationship Id="rId132" Type="http://schemas.openxmlformats.org/officeDocument/2006/relationships/hyperlink" Target="https://en.unesco.org/artificial-intelligence/observatory/policies?country=PA;%20https://www.unesco.org/ethics-ai/en/global-hub" TargetMode="External"/><Relationship Id="rId153" Type="http://schemas.openxmlformats.org/officeDocument/2006/relationships/hyperlink" Target="https://en.unesco.org/artificial-intelligence/observatory/policies?country=RS;%20https://www.unesco.org/ethics-ai/en/global-hub" TargetMode="External"/><Relationship Id="rId174" Type="http://schemas.openxmlformats.org/officeDocument/2006/relationships/hyperlink" Target="https://en.unesco.org/artificial-intelligence/observatory/policies?country=TL;%20https://www.unesco.org/ethics-ai/en/global-hub" TargetMode="External"/><Relationship Id="rId179" Type="http://schemas.openxmlformats.org/officeDocument/2006/relationships/hyperlink" Target="https://www.unesco.org/ethics-ai/en/global-hub" TargetMode="External"/><Relationship Id="rId190" Type="http://schemas.openxmlformats.org/officeDocument/2006/relationships/hyperlink" Target="https://www.unesco.org/ethics-ai/en/global-hub" TargetMode="External"/><Relationship Id="rId15" Type="http://schemas.openxmlformats.org/officeDocument/2006/relationships/hyperlink" Target="https://en.unesco.org/artificial-intelligence/observatory/policies?country=BB;%20https://www.unesco.org/ethics-ai/en/global-hub" TargetMode="External"/><Relationship Id="rId36" Type="http://schemas.openxmlformats.org/officeDocument/2006/relationships/hyperlink" Target="https://en.unesco.org/artificial-intelligence/observatory/policies?country=CN;%20https://www.unesco.org/ethics-ai/en/global-hub" TargetMode="External"/><Relationship Id="rId57" Type="http://schemas.openxmlformats.org/officeDocument/2006/relationships/hyperlink" Target="https://en.unesco.org/artificial-intelligence/observatory/policies?country=EE;%20https://www.unesco.org/ethics-ai/en/global-hub" TargetMode="External"/><Relationship Id="rId106" Type="http://schemas.openxmlformats.org/officeDocument/2006/relationships/hyperlink" Target="https://en.unesco.org/artificial-intelligence/observatory/policies?country=ML;%20https://www.unesco.org/ethics-ai/en/global-hub" TargetMode="External"/><Relationship Id="rId127" Type="http://schemas.openxmlformats.org/officeDocument/2006/relationships/hyperlink" Target="https://en.unesco.org/artificial-intelligence/observatory/policies?country=MK;%20https://www.unesco.org/ethics-ai/en/global-hub" TargetMode="External"/><Relationship Id="rId10" Type="http://schemas.openxmlformats.org/officeDocument/2006/relationships/hyperlink" Target="https://en.unesco.org/artificial-intelligence/observatory/policies?country=AT;%20https://www.unesco.org/ethics-ai/en/global-hub" TargetMode="External"/><Relationship Id="rId31" Type="http://schemas.openxmlformats.org/officeDocument/2006/relationships/hyperlink" Target="https://en.unesco.org/artificial-intelligence/observatory/policies?country=CM;%20https://www.unesco.org/ethics-ai/en/global-hub" TargetMode="External"/><Relationship Id="rId52" Type="http://schemas.openxmlformats.org/officeDocument/2006/relationships/hyperlink" Target="https://en.unesco.org/artificial-intelligence/observatory/policies?country=EC;%20https://www.unesco.org/ethics-ai/en/global-hub" TargetMode="External"/><Relationship Id="rId73" Type="http://schemas.openxmlformats.org/officeDocument/2006/relationships/hyperlink" Target="https://en.unesco.org/artificial-intelligence/observatory/policies?country=GY;%20https://www.unesco.org/ethics-ai/en/global-hub" TargetMode="External"/><Relationship Id="rId78" Type="http://schemas.openxmlformats.org/officeDocument/2006/relationships/hyperlink" Target="https://en.unesco.org/artificial-intelligence/observatory/policies?country=IN;%20https://www.unesco.org/ethics-ai/en/global-hub" TargetMode="External"/><Relationship Id="rId94" Type="http://schemas.openxmlformats.org/officeDocument/2006/relationships/hyperlink" Target="https://en.unesco.org/artificial-intelligence/observatory/policies?country=LV;%20https://www.unesco.org/ethics-ai/en/global-hub" TargetMode="External"/><Relationship Id="rId99" Type="http://schemas.openxmlformats.org/officeDocument/2006/relationships/hyperlink" Target="https://en.unesco.org/artificial-intelligence/observatory/policies?country=LI;%20https://www.unesco.org/ethics-ai/en/global-hub" TargetMode="External"/><Relationship Id="rId101" Type="http://schemas.openxmlformats.org/officeDocument/2006/relationships/hyperlink" Target="https://en.unesco.org/artificial-intelligence/observatory/policies?country=LU;%20https://www.unesco.org/ethics-ai/en/global-hub" TargetMode="External"/><Relationship Id="rId122" Type="http://schemas.openxmlformats.org/officeDocument/2006/relationships/hyperlink" Target="https://en.unesco.org/artificial-intelligence/observatory/policies?country=NL;%20https://www.unesco.org/ethics-ai/en/global-hub" TargetMode="External"/><Relationship Id="rId143" Type="http://schemas.openxmlformats.org/officeDocument/2006/relationships/hyperlink" Target="https://en.unesco.org/artificial-intelligence/observatory/policies?country=RU;%20https://www.unesco.org/ethics-ai/en/global-hub" TargetMode="External"/><Relationship Id="rId148" Type="http://schemas.openxmlformats.org/officeDocument/2006/relationships/hyperlink" Target="https://en.unesco.org/artificial-intelligence/observatory/policies?country=WS;%20https://www.unesco.org/ethics-ai/en/global-hub" TargetMode="External"/><Relationship Id="rId164" Type="http://schemas.openxmlformats.org/officeDocument/2006/relationships/hyperlink" Target="https://en.unesco.org/artificial-intelligence/observatory/policies?country=LK;%20https://www.unesco.org/ethics-ai/en/global-hub" TargetMode="External"/><Relationship Id="rId169" Type="http://schemas.openxmlformats.org/officeDocument/2006/relationships/hyperlink" Target="https://en.unesco.org/artificial-intelligence/observatory/policies?country=CH;%20https://www.unesco.org/ethics-ai/en/global-hub" TargetMode="External"/><Relationship Id="rId185" Type="http://schemas.openxmlformats.org/officeDocument/2006/relationships/hyperlink" Target="https://en.unesco.org/artificial-intelligence/observatory/policies?country=GB;%20https://www.unesco.org/ethics-ai/en/global-hub" TargetMode="External"/><Relationship Id="rId4" Type="http://schemas.openxmlformats.org/officeDocument/2006/relationships/hyperlink" Target="https://www.govern.ad/comunicats/item/12363-andorra-presenta-la-seva-estrategia-nacional-de-transformacio-digital" TargetMode="External"/><Relationship Id="rId9" Type="http://schemas.openxmlformats.org/officeDocument/2006/relationships/hyperlink" Target="https://en.unesco.org/artificial-intelligence/observatory/policies?country=AU;%20https://www.unesco.org/ethics-ai/en/global-hub" TargetMode="External"/><Relationship Id="rId180" Type="http://schemas.openxmlformats.org/officeDocument/2006/relationships/hyperlink" Target="https://en.unesco.org/artificial-intelligence/observatory/policies?country=TM;%20https://www.unesco.org/ethics-ai/en/global-hub" TargetMode="External"/><Relationship Id="rId26" Type="http://schemas.openxmlformats.org/officeDocument/2006/relationships/hyperlink" Target="https://en.unesco.org/artificial-intelligence/observatory/policies?country=BG;%20https://www.unesco.org/ethics-ai/en/global-hub" TargetMode="External"/><Relationship Id="rId47" Type="http://schemas.openxmlformats.org/officeDocument/2006/relationships/hyperlink" Target="https://www.unesco.org/ethics-ai/en/global-hub" TargetMode="External"/><Relationship Id="rId68" Type="http://schemas.openxmlformats.org/officeDocument/2006/relationships/hyperlink" Target="https://en.unesco.org/artificial-intelligence/observatory/policies?country=GR;%20https://www.unesco.org/ethics-ai/en/global-hub" TargetMode="External"/><Relationship Id="rId89" Type="http://schemas.openxmlformats.org/officeDocument/2006/relationships/hyperlink" Target="https://en.unesco.org/artificial-intelligence/observatory/policies?country=KE;%20https://www.unesco.org/ethics-ai/en/global-hub" TargetMode="External"/><Relationship Id="rId112" Type="http://schemas.openxmlformats.org/officeDocument/2006/relationships/hyperlink" Target="https://www.unesco.org/ethics-ai/en/global-hub" TargetMode="External"/><Relationship Id="rId133" Type="http://schemas.openxmlformats.org/officeDocument/2006/relationships/hyperlink" Target="https://en.unesco.org/artificial-intelligence/observatory/policies?country=PG;%20https://www.unesco.org/ethics-ai/en/global-hub" TargetMode="External"/><Relationship Id="rId154" Type="http://schemas.openxmlformats.org/officeDocument/2006/relationships/hyperlink" Target="https://en.unesco.org/artificial-intelligence/observatory/policies?country=SC;%20https://www.unesco.org/ethics-ai/en/global-hub" TargetMode="External"/><Relationship Id="rId175" Type="http://schemas.openxmlformats.org/officeDocument/2006/relationships/hyperlink" Target="https://en.unesco.org/artificial-intelligence/observatory/policies?country=TG;%20https://www.unesco.org/ethics-ai/en/global-hub" TargetMode="External"/><Relationship Id="rId16" Type="http://schemas.openxmlformats.org/officeDocument/2006/relationships/hyperlink" Target="https://en.unesco.org/artificial-intelligence/observatory/policies?country=BY;%20https://www.unesco.org/ethics-ai/en/global-hub" TargetMode="External"/><Relationship Id="rId37" Type="http://schemas.openxmlformats.org/officeDocument/2006/relationships/hyperlink" Target="https://en.unesco.org/artificial-intelligence/observatory/policies?country=CO;%20https://www.unesco.org/ethics-ai/en/global-hub" TargetMode="External"/><Relationship Id="rId58" Type="http://schemas.openxmlformats.org/officeDocument/2006/relationships/hyperlink" Target="https://en.unesco.org/artificial-intelligence/observatory/policies?country=SZ;%20https://www.unesco.org/ethics-ai/en/global-hub" TargetMode="External"/><Relationship Id="rId79" Type="http://schemas.openxmlformats.org/officeDocument/2006/relationships/hyperlink" Target="https://en.unesco.org/artificial-intelligence/observatory/policies?country=ID;%20https://www.unesco.org/ethics-ai/en/global-hub" TargetMode="External"/><Relationship Id="rId102" Type="http://schemas.openxmlformats.org/officeDocument/2006/relationships/hyperlink" Target="https://en.unesco.org/artificial-intelligence/observatory/policies?country=MG;%20https://www.unesco.org/ethics-ai/en/global-hub" TargetMode="External"/><Relationship Id="rId123" Type="http://schemas.openxmlformats.org/officeDocument/2006/relationships/hyperlink" Target="https://en.unesco.org/artificial-intelligence/observatory/policies?country=NZ;%20https://www.unesco.org/ethics-ai/en/global-hub" TargetMode="External"/><Relationship Id="rId144" Type="http://schemas.openxmlformats.org/officeDocument/2006/relationships/hyperlink" Target="https://en.unesco.org/artificial-intelligence/observatory/policies?country=RW;%20https://www.unesco.org/ethics-ai/en/global-hub" TargetMode="External"/><Relationship Id="rId90" Type="http://schemas.openxmlformats.org/officeDocument/2006/relationships/hyperlink" Target="https://en.unesco.org/artificial-intelligence/observatory/policies?country=KI;%20https://www.unesco.org/ethics-ai/en/global-hub" TargetMode="External"/><Relationship Id="rId165" Type="http://schemas.openxmlformats.org/officeDocument/2006/relationships/hyperlink" Target="https://www.unesco.org/ethics-ai/en/global-hub" TargetMode="External"/><Relationship Id="rId186" Type="http://schemas.openxmlformats.org/officeDocument/2006/relationships/hyperlink" Target="https://en.unesco.org/artificial-intelligence/observatory/policies?country=US;%20https://www.unesco.org/ethics-ai/en/global-hub" TargetMode="External"/><Relationship Id="rId27" Type="http://schemas.openxmlformats.org/officeDocument/2006/relationships/hyperlink" Target="https://en.unesco.org/artificial-intelligence/observatory/policies?country=BF;%20https://www.unesco.org/ethics-ai/en/global-hub" TargetMode="External"/><Relationship Id="rId48" Type="http://schemas.openxmlformats.org/officeDocument/2006/relationships/hyperlink" Target="https://en.unesco.org/artificial-intelligence/observatory/policies?country=DK;%20https://www.unesco.org/ethics-ai/en/global-hub" TargetMode="External"/><Relationship Id="rId69" Type="http://schemas.openxmlformats.org/officeDocument/2006/relationships/hyperlink" Target="https://en.unesco.org/artificial-intelligence/observatory/policies?country=GD;%20https://www.unesco.org/ethics-ai/en/global-hub" TargetMode="External"/><Relationship Id="rId113" Type="http://schemas.openxmlformats.org/officeDocument/2006/relationships/hyperlink" Target="https://en.unesco.org/artificial-intelligence/observatory/policies?country=MC;%20https://www.unesco.org/ethics-ai/en/global-hub" TargetMode="External"/><Relationship Id="rId134" Type="http://schemas.openxmlformats.org/officeDocument/2006/relationships/hyperlink" Target="https://en.unesco.org/artificial-intelligence/observatory/policies?country=PY;%20https://www.unesco.org/ethics-ai/en/global-hub" TargetMode="External"/><Relationship Id="rId80" Type="http://schemas.openxmlformats.org/officeDocument/2006/relationships/hyperlink" Target="https://www.unesco.org/ethics-ai/en/global-hub" TargetMode="External"/><Relationship Id="rId155" Type="http://schemas.openxmlformats.org/officeDocument/2006/relationships/hyperlink" Target="https://en.unesco.org/artificial-intelligence/observatory/policies?country=SL;%20https://www.unesco.org/ethics-ai/en/global-hub" TargetMode="External"/><Relationship Id="rId176" Type="http://schemas.openxmlformats.org/officeDocument/2006/relationships/hyperlink" Target="https://en.unesco.org/artificial-intelligence/observatory/policies?country=TO;%20https://www.unesco.org/ethics-ai/en/global-hub" TargetMode="External"/><Relationship Id="rId17" Type="http://schemas.openxmlformats.org/officeDocument/2006/relationships/hyperlink" Target="https://en.unesco.org/artificial-intelligence/observatory/policies?country=BE;%20https://www.unesco.org/ethics-ai/en/global-hub" TargetMode="External"/><Relationship Id="rId38" Type="http://schemas.openxmlformats.org/officeDocument/2006/relationships/hyperlink" Target="https://en.unesco.org/artificial-intelligence/observatory/policies?country=KM;%20https://www.unesco.org/ethics-ai/en/global-hub" TargetMode="External"/><Relationship Id="rId59" Type="http://schemas.openxmlformats.org/officeDocument/2006/relationships/hyperlink" Target="https://en.unesco.org/artificial-intelligence/observatory/policies?country=ET;%20https://www.unesco.org/ethics-ai/en/global-hub" TargetMode="External"/><Relationship Id="rId103" Type="http://schemas.openxmlformats.org/officeDocument/2006/relationships/hyperlink" Target="https://en.unesco.org/artificial-intelligence/observatory/policies?country=MW;%20https://www.unesco.org/ethics-ai/en/global-hub" TargetMode="External"/><Relationship Id="rId124" Type="http://schemas.openxmlformats.org/officeDocument/2006/relationships/hyperlink" Target="https://en.unesco.org/artificial-intelligence/observatory/policies?country=NI;%20https://www.unesco.org/ethics-ai/en/global-hub" TargetMode="External"/><Relationship Id="rId70" Type="http://schemas.openxmlformats.org/officeDocument/2006/relationships/hyperlink" Target="https://en.unesco.org/artificial-intelligence/observatory/policies?country=GT;%20https://www.unesco.org/ethics-ai/en/global-hub" TargetMode="External"/><Relationship Id="rId91" Type="http://schemas.openxmlformats.org/officeDocument/2006/relationships/hyperlink" Target="https://en.unesco.org/artificial-intelligence/observatory/policies?country=KW;%20https://www.unesco.org/ethics-ai/en/global-hub" TargetMode="External"/><Relationship Id="rId145" Type="http://schemas.openxmlformats.org/officeDocument/2006/relationships/hyperlink" Target="https://en.unesco.org/artificial-intelligence/observatory/policies?country=KN;%20https://www.unesco.org/ethics-ai/en/global-hub" TargetMode="External"/><Relationship Id="rId166" Type="http://schemas.openxmlformats.org/officeDocument/2006/relationships/hyperlink" Target="https://en.unesco.org/artificial-intelligence/observatory/policies?country=SD;%20https://www.unesco.org/ethics-ai/en/global-hub" TargetMode="External"/><Relationship Id="rId187" Type="http://schemas.openxmlformats.org/officeDocument/2006/relationships/hyperlink" Target="https://en.unesco.org/artificial-intelligence/observatory/policies?country=UY;%20https://www.unesco.org/ethics-ai/en/global-hub" TargetMode="External"/><Relationship Id="rId1" Type="http://schemas.openxmlformats.org/officeDocument/2006/relationships/hyperlink" Target="https://en.unesco.org/artificial-intelligence/observatory/policies?country=AF" TargetMode="External"/><Relationship Id="rId28" Type="http://schemas.openxmlformats.org/officeDocument/2006/relationships/hyperlink" Target="https://en.unesco.org/artificial-intelligence/observatory/policies?country=BI;%20https://www.unesco.org/ethics-ai/en/global-hub" TargetMode="External"/><Relationship Id="rId49" Type="http://schemas.openxmlformats.org/officeDocument/2006/relationships/hyperlink" Target="https://en.unesco.org/artificial-intelligence/observatory/policies?country=DJ;%20https://www.unesco.org/ethics-ai/en/global-hub" TargetMode="External"/><Relationship Id="rId114" Type="http://schemas.openxmlformats.org/officeDocument/2006/relationships/hyperlink" Target="https://en.unesco.org/artificial-intelligence/observatory/policies?country=MN;%20https://www.unesco.org/ethics-ai/en/global-hub" TargetMode="External"/><Relationship Id="rId60" Type="http://schemas.openxmlformats.org/officeDocument/2006/relationships/hyperlink" Target="https://en.unesco.org/artificial-intelligence/observatory/policies?country=FJ;%20https://www.unesco.org/ethics-ai/en/global-hub" TargetMode="External"/><Relationship Id="rId81" Type="http://schemas.openxmlformats.org/officeDocument/2006/relationships/hyperlink" Target="https://en.unesco.org/artificial-intelligence/observatory/policies?country=IQ;%20https://www.unesco.org/ethics-ai/en/global-hub" TargetMode="External"/><Relationship Id="rId135" Type="http://schemas.openxmlformats.org/officeDocument/2006/relationships/hyperlink" Target="https://en.unesco.org/artificial-intelligence/observatory/policies?country=PE;%20https://www.unesco.org/ethics-ai/en/global-hub" TargetMode="External"/><Relationship Id="rId156" Type="http://schemas.openxmlformats.org/officeDocument/2006/relationships/hyperlink" Target="https://en.unesco.org/artificial-intelligence/observatory/policies?country=SG;%20https://www.unesco.org/ethics-ai/en/global-hub" TargetMode="External"/><Relationship Id="rId177" Type="http://schemas.openxmlformats.org/officeDocument/2006/relationships/hyperlink" Target="https://en.unesco.org/artificial-intelligence/observatory/policies?country=TT;%20https://www.unesco.org/ethics-ai/en/global-hub" TargetMode="External"/><Relationship Id="rId18" Type="http://schemas.openxmlformats.org/officeDocument/2006/relationships/hyperlink" Target="https://en.unesco.org/artificial-intelligence/observatory/policies?country=BZ;%20https://www.unesco.org/ethics-ai/en/global-hub" TargetMode="External"/><Relationship Id="rId39" Type="http://schemas.openxmlformats.org/officeDocument/2006/relationships/hyperlink" Target="https://www.unesco.org/ethics-ai/en/global-hub"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priv.gc.ca/en/privacy-topics/privacy-laws-in-canada/the-personal-information-protection-and-electronic-documents-act-pipeda/pipeda-compliance-help/pipeda-interpretation-bulletins/interpretations_10_sensib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95"/>
  <sheetViews>
    <sheetView tabSelected="1" workbookViewId="0">
      <selection activeCell="W88" sqref="W88"/>
    </sheetView>
  </sheetViews>
  <sheetFormatPr defaultColWidth="17.890625" defaultRowHeight="15" x14ac:dyDescent="0.2"/>
  <cols>
    <col min="1" max="36" width="17.890625" style="6"/>
    <col min="37" max="37" width="17.890625" style="18"/>
    <col min="38" max="16384" width="17.890625" style="6"/>
  </cols>
  <sheetData>
    <row r="1" spans="1:44" x14ac:dyDescent="0.2">
      <c r="A1" s="15" t="s">
        <v>0</v>
      </c>
      <c r="B1" s="15" t="s">
        <v>1</v>
      </c>
      <c r="C1" s="15" t="s">
        <v>2</v>
      </c>
      <c r="D1" s="15" t="s">
        <v>3</v>
      </c>
      <c r="E1" s="15" t="s">
        <v>6</v>
      </c>
      <c r="F1" s="15" t="s">
        <v>7</v>
      </c>
      <c r="G1" s="15" t="s">
        <v>12</v>
      </c>
      <c r="H1" s="15" t="s">
        <v>13</v>
      </c>
      <c r="I1" s="15" t="s">
        <v>8</v>
      </c>
      <c r="J1" s="15" t="s">
        <v>9</v>
      </c>
      <c r="K1" s="15" t="s">
        <v>20</v>
      </c>
      <c r="L1" s="15" t="s">
        <v>21</v>
      </c>
      <c r="M1" s="15" t="s">
        <v>10</v>
      </c>
      <c r="N1" s="15" t="s">
        <v>11</v>
      </c>
      <c r="O1" s="15" t="s">
        <v>16</v>
      </c>
      <c r="P1" s="15" t="s">
        <v>17</v>
      </c>
      <c r="Q1" s="15" t="s">
        <v>18</v>
      </c>
      <c r="R1" s="15" t="s">
        <v>19</v>
      </c>
      <c r="S1" s="15" t="s">
        <v>4</v>
      </c>
      <c r="T1" s="15" t="s">
        <v>5</v>
      </c>
      <c r="U1" s="15" t="s">
        <v>14</v>
      </c>
      <c r="V1" s="15" t="s">
        <v>15</v>
      </c>
      <c r="W1" s="15" t="s">
        <v>22</v>
      </c>
      <c r="X1" s="15" t="s">
        <v>23</v>
      </c>
      <c r="Y1" s="25" t="s">
        <v>2131</v>
      </c>
      <c r="Z1" s="25" t="s">
        <v>2134</v>
      </c>
      <c r="AA1" s="25" t="s">
        <v>2132</v>
      </c>
      <c r="AB1" s="25" t="s">
        <v>2137</v>
      </c>
      <c r="AC1" s="25" t="s">
        <v>2133</v>
      </c>
      <c r="AD1" s="25" t="s">
        <v>2135</v>
      </c>
      <c r="AE1" s="25" t="s">
        <v>2136</v>
      </c>
      <c r="AF1" s="25" t="s">
        <v>2130</v>
      </c>
      <c r="AG1" s="25" t="s">
        <v>2139</v>
      </c>
      <c r="AH1" s="25" t="s">
        <v>2138</v>
      </c>
      <c r="AI1" s="25" t="s">
        <v>1869</v>
      </c>
      <c r="AJ1" s="25" t="s">
        <v>1868</v>
      </c>
      <c r="AK1" s="26" t="s">
        <v>1867</v>
      </c>
      <c r="AL1" s="15" t="s">
        <v>24</v>
      </c>
      <c r="AM1" s="6" t="s">
        <v>2124</v>
      </c>
      <c r="AN1" s="6" t="s">
        <v>2125</v>
      </c>
      <c r="AO1" s="6" t="s">
        <v>2126</v>
      </c>
      <c r="AP1" s="6" t="s">
        <v>2127</v>
      </c>
      <c r="AQ1" s="6" t="s">
        <v>2128</v>
      </c>
      <c r="AR1" s="6" t="s">
        <v>2129</v>
      </c>
    </row>
    <row r="2" spans="1:44" s="21" customFormat="1" x14ac:dyDescent="0.2">
      <c r="A2" s="41">
        <v>4</v>
      </c>
      <c r="B2" s="41" t="s">
        <v>27</v>
      </c>
      <c r="C2" s="41" t="s">
        <v>219</v>
      </c>
      <c r="D2" s="41" t="s">
        <v>2144</v>
      </c>
      <c r="E2" s="41" t="s">
        <v>531</v>
      </c>
      <c r="F2" s="42" t="s">
        <v>682</v>
      </c>
      <c r="G2" s="41" t="s">
        <v>988</v>
      </c>
      <c r="H2" s="42" t="s">
        <v>762</v>
      </c>
      <c r="I2" s="41" t="s">
        <v>687</v>
      </c>
      <c r="J2" s="42" t="s">
        <v>762</v>
      </c>
      <c r="K2" s="41" t="s">
        <v>1527</v>
      </c>
      <c r="L2" s="42" t="s">
        <v>1578</v>
      </c>
      <c r="M2" s="41" t="s">
        <v>954</v>
      </c>
      <c r="N2" s="42" t="s">
        <v>984</v>
      </c>
      <c r="O2" s="41" t="s">
        <v>1143</v>
      </c>
      <c r="P2" s="42" t="s">
        <v>1282</v>
      </c>
      <c r="Q2" s="41" t="s">
        <v>1474</v>
      </c>
      <c r="R2" s="42" t="s">
        <v>1282</v>
      </c>
      <c r="S2" s="41" t="s">
        <v>223</v>
      </c>
      <c r="T2" s="42" t="s">
        <v>347</v>
      </c>
      <c r="U2" s="41" t="s">
        <v>1123</v>
      </c>
      <c r="V2" s="42" t="s">
        <v>762</v>
      </c>
      <c r="W2" s="41" t="s">
        <v>1706</v>
      </c>
      <c r="X2" s="42" t="s">
        <v>1773</v>
      </c>
      <c r="Y2" s="6"/>
      <c r="Z2" s="6"/>
      <c r="AA2" s="6"/>
      <c r="AB2" s="6"/>
      <c r="AC2" s="6"/>
      <c r="AD2" s="6"/>
      <c r="AE2" s="6"/>
      <c r="AF2" s="6"/>
      <c r="AG2" s="6"/>
      <c r="AH2" s="6"/>
      <c r="AI2" s="6">
        <f>SUM(Y2:AH2)</f>
        <v>0</v>
      </c>
      <c r="AJ2" s="6">
        <f>100-(AI2*(AI2/20))</f>
        <v>100</v>
      </c>
      <c r="AK2" s="18">
        <f>MAX(AJ1:AJ164)-(AJ2*(AJ2/MAX(AJ1:AJ164)))</f>
        <v>0</v>
      </c>
      <c r="AL2" s="6">
        <v>4</v>
      </c>
      <c r="AM2" s="6"/>
      <c r="AN2" s="6"/>
      <c r="AO2" s="6"/>
      <c r="AP2" s="6"/>
      <c r="AQ2" s="6"/>
      <c r="AR2" s="6"/>
    </row>
    <row r="3" spans="1:44" x14ac:dyDescent="0.2">
      <c r="A3" s="41">
        <v>54</v>
      </c>
      <c r="B3" s="41" t="s">
        <v>77</v>
      </c>
      <c r="C3" s="41" t="s">
        <v>219</v>
      </c>
      <c r="D3" s="41" t="s">
        <v>2144</v>
      </c>
      <c r="E3" s="41" t="s">
        <v>580</v>
      </c>
      <c r="F3" s="42" t="s">
        <v>684</v>
      </c>
      <c r="G3" s="41" t="s">
        <v>1034</v>
      </c>
      <c r="H3" s="42" t="s">
        <v>684</v>
      </c>
      <c r="I3" s="41" t="s">
        <v>728</v>
      </c>
      <c r="J3" s="42" t="s">
        <v>811</v>
      </c>
      <c r="K3" s="41" t="s">
        <v>1548</v>
      </c>
      <c r="L3" s="42" t="s">
        <v>1625</v>
      </c>
      <c r="M3" s="41" t="s">
        <v>723</v>
      </c>
      <c r="N3" s="42" t="s">
        <v>684</v>
      </c>
      <c r="O3" s="41" t="s">
        <v>1185</v>
      </c>
      <c r="P3" s="42" t="s">
        <v>1331</v>
      </c>
      <c r="Q3" s="41" t="s">
        <v>1494</v>
      </c>
      <c r="R3" s="42" t="s">
        <v>1524</v>
      </c>
      <c r="S3" s="41" t="s">
        <v>261</v>
      </c>
      <c r="T3" s="42" t="s">
        <v>394</v>
      </c>
      <c r="U3" s="41" t="s">
        <v>723</v>
      </c>
      <c r="V3" s="42" t="s">
        <v>684</v>
      </c>
      <c r="W3" s="41" t="s">
        <v>1728</v>
      </c>
      <c r="X3" s="42" t="s">
        <v>1775</v>
      </c>
      <c r="AI3" s="6">
        <f>SUM(Y3:AH3)</f>
        <v>0</v>
      </c>
      <c r="AJ3" s="6">
        <f>100-(AI3*(AI3/20))</f>
        <v>100</v>
      </c>
      <c r="AK3" s="18">
        <f>100-(AJ3*(AJ3/MAX(AJ1:AJ3)))</f>
        <v>0</v>
      </c>
      <c r="AL3" s="6">
        <v>54</v>
      </c>
    </row>
    <row r="4" spans="1:44" x14ac:dyDescent="0.2">
      <c r="A4" s="41">
        <v>99</v>
      </c>
      <c r="B4" s="41" t="s">
        <v>122</v>
      </c>
      <c r="C4" s="41" t="s">
        <v>219</v>
      </c>
      <c r="D4" s="41" t="s">
        <v>2144</v>
      </c>
      <c r="E4" s="41" t="s">
        <v>602</v>
      </c>
      <c r="F4" s="42" t="s">
        <v>684</v>
      </c>
      <c r="G4" s="41" t="s">
        <v>262</v>
      </c>
      <c r="H4" s="42" t="s">
        <v>684</v>
      </c>
      <c r="I4" s="41" t="s">
        <v>723</v>
      </c>
      <c r="J4" s="42" t="s">
        <v>855</v>
      </c>
      <c r="K4" s="41" t="s">
        <v>723</v>
      </c>
      <c r="L4" s="42" t="s">
        <v>855</v>
      </c>
      <c r="M4" s="41" t="s">
        <v>723</v>
      </c>
      <c r="N4" s="42" t="s">
        <v>684</v>
      </c>
      <c r="O4" s="41" t="s">
        <v>1215</v>
      </c>
      <c r="P4" s="42" t="s">
        <v>1375</v>
      </c>
      <c r="Q4" s="41" t="s">
        <v>689</v>
      </c>
      <c r="R4" s="42" t="s">
        <v>1524</v>
      </c>
      <c r="S4" s="41" t="s">
        <v>262</v>
      </c>
      <c r="T4" s="42" t="s">
        <v>437</v>
      </c>
      <c r="U4" s="41" t="s">
        <v>723</v>
      </c>
      <c r="V4" s="42" t="s">
        <v>684</v>
      </c>
      <c r="W4" s="41" t="s">
        <v>1716</v>
      </c>
      <c r="X4" s="42" t="s">
        <v>1776</v>
      </c>
      <c r="AI4" s="6">
        <f>SUM(Y4:AH4)</f>
        <v>0</v>
      </c>
      <c r="AJ4" s="6">
        <f>100-(AI4*(AI4/20))</f>
        <v>100</v>
      </c>
      <c r="AK4" s="18">
        <f>100-(AJ4*(AJ4/MAX(AJ1:AJ4)))</f>
        <v>0</v>
      </c>
      <c r="AL4" s="6">
        <v>99</v>
      </c>
    </row>
    <row r="5" spans="1:44" x14ac:dyDescent="0.2">
      <c r="A5" s="41">
        <v>110</v>
      </c>
      <c r="B5" s="41" t="s">
        <v>133</v>
      </c>
      <c r="C5" s="41" t="s">
        <v>219</v>
      </c>
      <c r="D5" s="41" t="s">
        <v>2144</v>
      </c>
      <c r="E5" s="41" t="s">
        <v>621</v>
      </c>
      <c r="F5" s="42" t="s">
        <v>684</v>
      </c>
      <c r="G5" s="41" t="s">
        <v>1060</v>
      </c>
      <c r="H5" s="42" t="s">
        <v>684</v>
      </c>
      <c r="I5" s="41" t="s">
        <v>723</v>
      </c>
      <c r="J5" s="42" t="s">
        <v>866</v>
      </c>
      <c r="K5" s="41" t="s">
        <v>723</v>
      </c>
      <c r="L5" s="42" t="s">
        <v>866</v>
      </c>
      <c r="M5" s="41" t="s">
        <v>723</v>
      </c>
      <c r="N5" s="42" t="s">
        <v>684</v>
      </c>
      <c r="O5" s="41" t="s">
        <v>1222</v>
      </c>
      <c r="P5" s="42" t="s">
        <v>1386</v>
      </c>
      <c r="Q5" s="41" t="s">
        <v>689</v>
      </c>
      <c r="R5" s="42" t="s">
        <v>1524</v>
      </c>
      <c r="S5" s="41" t="s">
        <v>262</v>
      </c>
      <c r="T5" s="42" t="s">
        <v>448</v>
      </c>
      <c r="U5" s="41" t="s">
        <v>723</v>
      </c>
      <c r="V5" s="42" t="s">
        <v>684</v>
      </c>
      <c r="W5" s="41" t="s">
        <v>689</v>
      </c>
      <c r="X5" s="42" t="s">
        <v>1775</v>
      </c>
      <c r="AI5" s="6">
        <f>SUM(Y5:AH5)</f>
        <v>0</v>
      </c>
      <c r="AJ5" s="6">
        <f>100-(AI5*(AI5/20))</f>
        <v>100</v>
      </c>
      <c r="AK5" s="18">
        <f>100-(AJ5*(AJ5/MAX(AJ1:AJ5)))</f>
        <v>0</v>
      </c>
      <c r="AL5" s="6">
        <v>110</v>
      </c>
    </row>
    <row r="6" spans="1:44" x14ac:dyDescent="0.2">
      <c r="A6" s="41">
        <v>117</v>
      </c>
      <c r="B6" s="41" t="s">
        <v>140</v>
      </c>
      <c r="C6" s="41" t="s">
        <v>219</v>
      </c>
      <c r="D6" s="41" t="s">
        <v>2144</v>
      </c>
      <c r="E6" s="41" t="s">
        <v>627</v>
      </c>
      <c r="F6" s="42" t="s">
        <v>684</v>
      </c>
      <c r="G6" s="41" t="s">
        <v>1077</v>
      </c>
      <c r="H6" s="42" t="s">
        <v>684</v>
      </c>
      <c r="I6" s="41" t="s">
        <v>723</v>
      </c>
      <c r="J6" s="42" t="s">
        <v>873</v>
      </c>
      <c r="K6" s="41" t="s">
        <v>723</v>
      </c>
      <c r="L6" s="42" t="s">
        <v>873</v>
      </c>
      <c r="M6" s="41" t="s">
        <v>723</v>
      </c>
      <c r="N6" s="42" t="s">
        <v>684</v>
      </c>
      <c r="O6" s="41" t="s">
        <v>1229</v>
      </c>
      <c r="P6" s="42" t="s">
        <v>1393</v>
      </c>
      <c r="Q6" s="41" t="s">
        <v>689</v>
      </c>
      <c r="R6" s="42" t="s">
        <v>1524</v>
      </c>
      <c r="S6" s="41" t="s">
        <v>299</v>
      </c>
      <c r="T6" s="42" t="s">
        <v>454</v>
      </c>
      <c r="U6" s="41" t="s">
        <v>723</v>
      </c>
      <c r="V6" s="42" t="s">
        <v>684</v>
      </c>
      <c r="W6" s="41" t="s">
        <v>1752</v>
      </c>
      <c r="X6" s="42" t="s">
        <v>1776</v>
      </c>
      <c r="AI6" s="6">
        <f>SUM(Y6:AH6)</f>
        <v>0</v>
      </c>
      <c r="AJ6" s="6">
        <f>100-(AI6*(AI6/20))</f>
        <v>100</v>
      </c>
      <c r="AK6" s="18">
        <f>100-(AJ6*(AJ6/MAX(AJ1:AJ6)))</f>
        <v>0</v>
      </c>
      <c r="AL6" s="6">
        <v>117</v>
      </c>
    </row>
    <row r="7" spans="1:44" x14ac:dyDescent="0.2">
      <c r="A7" s="41">
        <v>179</v>
      </c>
      <c r="B7" s="41" t="s">
        <v>202</v>
      </c>
      <c r="C7" s="41" t="s">
        <v>219</v>
      </c>
      <c r="D7" s="41" t="s">
        <v>2144</v>
      </c>
      <c r="E7" s="41" t="s">
        <v>668</v>
      </c>
      <c r="F7" s="42" t="s">
        <v>684</v>
      </c>
      <c r="G7" s="41" t="s">
        <v>1113</v>
      </c>
      <c r="H7" s="42" t="s">
        <v>684</v>
      </c>
      <c r="I7" s="41" t="s">
        <v>755</v>
      </c>
      <c r="J7" s="42" t="s">
        <v>935</v>
      </c>
      <c r="K7" s="41" t="s">
        <v>723</v>
      </c>
      <c r="L7" s="42" t="s">
        <v>1694</v>
      </c>
      <c r="M7" s="41" t="s">
        <v>723</v>
      </c>
      <c r="N7" s="42" t="s">
        <v>684</v>
      </c>
      <c r="O7" s="41" t="s">
        <v>1275</v>
      </c>
      <c r="P7" s="42" t="s">
        <v>1455</v>
      </c>
      <c r="Q7" s="41" t="s">
        <v>689</v>
      </c>
      <c r="R7" s="42" t="s">
        <v>1524</v>
      </c>
      <c r="S7" s="41" t="s">
        <v>333</v>
      </c>
      <c r="T7" s="42" t="s">
        <v>514</v>
      </c>
      <c r="U7" s="41" t="s">
        <v>723</v>
      </c>
      <c r="V7" s="42" t="s">
        <v>684</v>
      </c>
      <c r="W7" s="41" t="s">
        <v>689</v>
      </c>
      <c r="X7" s="42" t="s">
        <v>1775</v>
      </c>
      <c r="AI7" s="6">
        <f>SUM(Y7:AH7)</f>
        <v>0</v>
      </c>
      <c r="AJ7" s="6">
        <f>100-(AI7*(AI7/20))</f>
        <v>100</v>
      </c>
      <c r="AK7" s="18">
        <f>100-(AJ7*(AJ7/MAX(AJ1:AJ7)))</f>
        <v>0</v>
      </c>
      <c r="AL7" s="6">
        <v>179</v>
      </c>
    </row>
    <row r="8" spans="1:44" x14ac:dyDescent="0.2">
      <c r="A8" s="6">
        <v>29</v>
      </c>
      <c r="B8" s="6" t="s">
        <v>52</v>
      </c>
      <c r="C8" s="6" t="s">
        <v>219</v>
      </c>
      <c r="D8" s="6" t="s">
        <v>2155</v>
      </c>
      <c r="E8" s="6" t="s">
        <v>556</v>
      </c>
      <c r="F8" s="7" t="s">
        <v>684</v>
      </c>
      <c r="G8" s="6" t="s">
        <v>1005</v>
      </c>
      <c r="H8" s="7" t="s">
        <v>684</v>
      </c>
      <c r="I8" s="6" t="s">
        <v>710</v>
      </c>
      <c r="J8" s="7" t="s">
        <v>787</v>
      </c>
      <c r="K8" s="6" t="s">
        <v>723</v>
      </c>
      <c r="L8" s="7" t="s">
        <v>1603</v>
      </c>
      <c r="M8" s="6" t="s">
        <v>723</v>
      </c>
      <c r="N8" s="7" t="s">
        <v>684</v>
      </c>
      <c r="O8" s="6" t="s">
        <v>1166</v>
      </c>
      <c r="P8" s="7" t="s">
        <v>1307</v>
      </c>
      <c r="Q8" s="6" t="s">
        <v>1481</v>
      </c>
      <c r="R8" s="7" t="s">
        <v>1524</v>
      </c>
      <c r="S8" s="6" t="s">
        <v>232</v>
      </c>
      <c r="T8" s="7" t="s">
        <v>372</v>
      </c>
      <c r="U8" s="6" t="s">
        <v>723</v>
      </c>
      <c r="V8" s="7" t="s">
        <v>684</v>
      </c>
      <c r="W8" s="6" t="s">
        <v>1716</v>
      </c>
      <c r="X8" s="7" t="s">
        <v>1776</v>
      </c>
      <c r="AI8" s="6">
        <f>SUM(Y8:AH8)</f>
        <v>0</v>
      </c>
      <c r="AJ8" s="6">
        <f>100-(AI8*(AI8/20))</f>
        <v>100</v>
      </c>
      <c r="AK8" s="18">
        <f>100-(AJ8*(AJ8/MAX(AJ1:AJ8)))</f>
        <v>0</v>
      </c>
      <c r="AL8" s="6">
        <v>29</v>
      </c>
    </row>
    <row r="9" spans="1:44" x14ac:dyDescent="0.2">
      <c r="A9" s="6">
        <v>90</v>
      </c>
      <c r="B9" s="6" t="s">
        <v>113</v>
      </c>
      <c r="C9" s="6" t="s">
        <v>219</v>
      </c>
      <c r="D9" s="6" t="s">
        <v>2155</v>
      </c>
      <c r="E9" s="6" t="s">
        <v>609</v>
      </c>
      <c r="F9" s="7" t="s">
        <v>684</v>
      </c>
      <c r="G9" s="6" t="s">
        <v>1059</v>
      </c>
      <c r="H9" s="7" t="s">
        <v>684</v>
      </c>
      <c r="I9" s="6" t="s">
        <v>750</v>
      </c>
      <c r="J9" s="7" t="s">
        <v>846</v>
      </c>
      <c r="K9" s="6" t="s">
        <v>1561</v>
      </c>
      <c r="L9" s="7" t="s">
        <v>1650</v>
      </c>
      <c r="M9" s="6" t="s">
        <v>723</v>
      </c>
      <c r="N9" s="7" t="s">
        <v>684</v>
      </c>
      <c r="O9" s="6" t="s">
        <v>1208</v>
      </c>
      <c r="P9" s="7" t="s">
        <v>1366</v>
      </c>
      <c r="Q9" s="6" t="s">
        <v>1508</v>
      </c>
      <c r="R9" s="7" t="s">
        <v>1524</v>
      </c>
      <c r="S9" s="6" t="s">
        <v>282</v>
      </c>
      <c r="T9" s="7" t="s">
        <v>428</v>
      </c>
      <c r="U9" s="6" t="s">
        <v>1135</v>
      </c>
      <c r="V9" s="7" t="s">
        <v>684</v>
      </c>
      <c r="W9" s="6" t="s">
        <v>1743</v>
      </c>
      <c r="X9" s="7" t="s">
        <v>1776</v>
      </c>
      <c r="AI9" s="6">
        <f>SUM(Y9:AH9)</f>
        <v>0</v>
      </c>
      <c r="AJ9" s="6">
        <f>100-(AI9*(AI9/20))</f>
        <v>100</v>
      </c>
      <c r="AK9" s="18">
        <f>100-(AJ9*(AJ9/MAX(AJ1:AJ9)))</f>
        <v>0</v>
      </c>
      <c r="AL9" s="6">
        <v>90</v>
      </c>
    </row>
    <row r="10" spans="1:44" x14ac:dyDescent="0.2">
      <c r="A10" s="6">
        <v>145</v>
      </c>
      <c r="B10" s="6" t="s">
        <v>168</v>
      </c>
      <c r="C10" s="6" t="s">
        <v>219</v>
      </c>
      <c r="D10" s="6" t="s">
        <v>2155</v>
      </c>
      <c r="E10" s="6" t="s">
        <v>648</v>
      </c>
      <c r="F10" s="7" t="s">
        <v>684</v>
      </c>
      <c r="G10" s="6" t="s">
        <v>1095</v>
      </c>
      <c r="H10" s="7" t="s">
        <v>684</v>
      </c>
      <c r="I10" s="6" t="s">
        <v>755</v>
      </c>
      <c r="J10" s="7" t="s">
        <v>901</v>
      </c>
      <c r="K10" s="6" t="s">
        <v>755</v>
      </c>
      <c r="L10" s="7" t="s">
        <v>1678</v>
      </c>
      <c r="M10" s="6" t="s">
        <v>723</v>
      </c>
      <c r="N10" s="7" t="s">
        <v>684</v>
      </c>
      <c r="O10" s="6" t="s">
        <v>1246</v>
      </c>
      <c r="P10" s="7" t="s">
        <v>1421</v>
      </c>
      <c r="Q10" s="6" t="s">
        <v>723</v>
      </c>
      <c r="R10" s="7" t="s">
        <v>1524</v>
      </c>
      <c r="S10" s="6" t="s">
        <v>319</v>
      </c>
      <c r="T10" s="7" t="s">
        <v>481</v>
      </c>
      <c r="U10" s="6" t="s">
        <v>723</v>
      </c>
      <c r="V10" s="7" t="s">
        <v>684</v>
      </c>
      <c r="W10" s="6" t="s">
        <v>689</v>
      </c>
      <c r="X10" s="7" t="s">
        <v>1775</v>
      </c>
      <c r="AI10" s="6">
        <f>SUM(Y10:AH10)</f>
        <v>0</v>
      </c>
      <c r="AJ10" s="6">
        <f>100-(AI10*(AI10/20))</f>
        <v>100</v>
      </c>
      <c r="AK10" s="18">
        <f>100-(AJ10*(AJ10/MAX(AJ1:AJ10)))</f>
        <v>0</v>
      </c>
      <c r="AL10" s="6">
        <v>145</v>
      </c>
    </row>
    <row r="11" spans="1:44" x14ac:dyDescent="0.2">
      <c r="A11" s="6">
        <v>183</v>
      </c>
      <c r="B11" s="6" t="s">
        <v>206</v>
      </c>
      <c r="C11" s="6" t="s">
        <v>219</v>
      </c>
      <c r="D11" s="6" t="s">
        <v>2155</v>
      </c>
      <c r="E11" s="6" t="s">
        <v>670</v>
      </c>
      <c r="F11" s="7" t="s">
        <v>684</v>
      </c>
      <c r="G11" s="6" t="s">
        <v>1115</v>
      </c>
      <c r="H11" s="7" t="s">
        <v>684</v>
      </c>
      <c r="I11" s="6" t="s">
        <v>755</v>
      </c>
      <c r="J11" s="7" t="s">
        <v>939</v>
      </c>
      <c r="K11" s="6" t="s">
        <v>723</v>
      </c>
      <c r="L11" s="7" t="s">
        <v>1696</v>
      </c>
      <c r="M11" s="6" t="s">
        <v>723</v>
      </c>
      <c r="N11" s="7" t="s">
        <v>684</v>
      </c>
      <c r="O11" s="6" t="s">
        <v>1276</v>
      </c>
      <c r="P11" s="7" t="s">
        <v>1459</v>
      </c>
      <c r="Q11" s="6" t="s">
        <v>689</v>
      </c>
      <c r="R11" s="7" t="s">
        <v>1524</v>
      </c>
      <c r="S11" s="6" t="s">
        <v>262</v>
      </c>
      <c r="T11" s="7" t="s">
        <v>517</v>
      </c>
      <c r="U11" s="6" t="s">
        <v>723</v>
      </c>
      <c r="V11" s="7" t="s">
        <v>684</v>
      </c>
      <c r="W11" s="6" t="s">
        <v>1755</v>
      </c>
      <c r="X11" s="7" t="s">
        <v>1776</v>
      </c>
      <c r="AI11" s="6">
        <f>SUM(Y11:AH11)</f>
        <v>0</v>
      </c>
      <c r="AJ11" s="6">
        <f>100-(AI11*(AI11/20))</f>
        <v>100</v>
      </c>
      <c r="AK11" s="18">
        <f>100-(AJ11*(AJ11/MAX(AJ1:AJ11)))</f>
        <v>0</v>
      </c>
      <c r="AL11" s="6">
        <v>183</v>
      </c>
    </row>
    <row r="12" spans="1:44" x14ac:dyDescent="0.2">
      <c r="A12" s="6">
        <v>32</v>
      </c>
      <c r="B12" s="6" t="s">
        <v>55</v>
      </c>
      <c r="C12" s="6" t="s">
        <v>219</v>
      </c>
      <c r="D12" s="6" t="s">
        <v>2156</v>
      </c>
      <c r="E12" s="6" t="s">
        <v>559</v>
      </c>
      <c r="F12" s="7" t="s">
        <v>684</v>
      </c>
      <c r="G12" s="6" t="s">
        <v>1013</v>
      </c>
      <c r="H12" s="7" t="s">
        <v>684</v>
      </c>
      <c r="I12" s="6" t="s">
        <v>710</v>
      </c>
      <c r="J12" s="7" t="s">
        <v>790</v>
      </c>
      <c r="K12" s="6" t="s">
        <v>723</v>
      </c>
      <c r="L12" s="7" t="s">
        <v>1606</v>
      </c>
      <c r="M12" s="6" t="s">
        <v>723</v>
      </c>
      <c r="N12" s="7" t="s">
        <v>684</v>
      </c>
      <c r="O12" s="6" t="s">
        <v>1169</v>
      </c>
      <c r="P12" s="7" t="s">
        <v>1310</v>
      </c>
      <c r="Q12" s="6" t="s">
        <v>1482</v>
      </c>
      <c r="R12" s="7" t="s">
        <v>1524</v>
      </c>
      <c r="S12" s="6" t="s">
        <v>232</v>
      </c>
      <c r="T12" s="7" t="s">
        <v>375</v>
      </c>
      <c r="U12" s="6" t="s">
        <v>723</v>
      </c>
      <c r="V12" s="7" t="s">
        <v>684</v>
      </c>
      <c r="W12" s="6" t="s">
        <v>1711</v>
      </c>
      <c r="X12" s="7" t="s">
        <v>1776</v>
      </c>
      <c r="AI12" s="6">
        <f>SUM(Y12:AH12)</f>
        <v>0</v>
      </c>
      <c r="AJ12" s="6">
        <f>100-(AI12*(AI12/20))</f>
        <v>100</v>
      </c>
      <c r="AK12" s="18">
        <f>100-(AJ12*(AJ12/MAX(AJ1:AJ12)))</f>
        <v>0</v>
      </c>
      <c r="AL12" s="6">
        <v>32</v>
      </c>
    </row>
    <row r="13" spans="1:44" x14ac:dyDescent="0.2">
      <c r="A13" s="6">
        <v>34</v>
      </c>
      <c r="B13" s="6" t="s">
        <v>57</v>
      </c>
      <c r="C13" s="6" t="s">
        <v>219</v>
      </c>
      <c r="D13" s="6" t="s">
        <v>2156</v>
      </c>
      <c r="E13" s="6" t="s">
        <v>560</v>
      </c>
      <c r="F13" s="7" t="s">
        <v>684</v>
      </c>
      <c r="G13" s="6" t="s">
        <v>1014</v>
      </c>
      <c r="H13" s="7" t="s">
        <v>684</v>
      </c>
      <c r="I13" s="6" t="s">
        <v>710</v>
      </c>
      <c r="J13" s="7" t="s">
        <v>791</v>
      </c>
      <c r="K13" s="6" t="s">
        <v>723</v>
      </c>
      <c r="L13" s="7" t="s">
        <v>1607</v>
      </c>
      <c r="M13" s="6" t="s">
        <v>723</v>
      </c>
      <c r="N13" s="7" t="s">
        <v>684</v>
      </c>
      <c r="O13" s="6" t="s">
        <v>1165</v>
      </c>
      <c r="P13" s="7" t="s">
        <v>1311</v>
      </c>
      <c r="Q13" s="6" t="s">
        <v>1476</v>
      </c>
      <c r="R13" s="7" t="s">
        <v>1524</v>
      </c>
      <c r="S13" s="6" t="s">
        <v>232</v>
      </c>
      <c r="T13" s="7" t="s">
        <v>377</v>
      </c>
      <c r="U13" s="6" t="s">
        <v>723</v>
      </c>
      <c r="V13" s="7" t="s">
        <v>684</v>
      </c>
      <c r="W13" s="6" t="s">
        <v>1711</v>
      </c>
      <c r="X13" s="7" t="s">
        <v>1776</v>
      </c>
      <c r="AI13" s="6">
        <f>SUM(Y13:AH13)</f>
        <v>0</v>
      </c>
      <c r="AJ13" s="6">
        <f>100-(AI13*(AI13/20))</f>
        <v>100</v>
      </c>
      <c r="AK13" s="18">
        <f>100-(AJ13*(AJ13/MAX(AJ1:AJ13)))</f>
        <v>0</v>
      </c>
      <c r="AL13" s="6">
        <v>34</v>
      </c>
    </row>
    <row r="14" spans="1:44" x14ac:dyDescent="0.2">
      <c r="A14" s="6">
        <v>35</v>
      </c>
      <c r="B14" s="6" t="s">
        <v>58</v>
      </c>
      <c r="C14" s="6" t="s">
        <v>219</v>
      </c>
      <c r="D14" s="6" t="s">
        <v>2156</v>
      </c>
      <c r="E14" s="6" t="s">
        <v>561</v>
      </c>
      <c r="F14" s="7" t="s">
        <v>684</v>
      </c>
      <c r="G14" s="6" t="s">
        <v>1015</v>
      </c>
      <c r="H14" s="7" t="s">
        <v>684</v>
      </c>
      <c r="I14" s="6" t="s">
        <v>710</v>
      </c>
      <c r="J14" s="7" t="s">
        <v>792</v>
      </c>
      <c r="K14" s="6" t="s">
        <v>723</v>
      </c>
      <c r="L14" s="7" t="s">
        <v>1608</v>
      </c>
      <c r="M14" s="6" t="s">
        <v>723</v>
      </c>
      <c r="N14" s="7" t="s">
        <v>684</v>
      </c>
      <c r="O14" s="6" t="s">
        <v>1170</v>
      </c>
      <c r="P14" s="7" t="s">
        <v>1312</v>
      </c>
      <c r="Q14" s="6" t="s">
        <v>1483</v>
      </c>
      <c r="R14" s="7" t="s">
        <v>1524</v>
      </c>
      <c r="S14" s="6" t="s">
        <v>232</v>
      </c>
      <c r="T14" s="7" t="s">
        <v>378</v>
      </c>
      <c r="U14" s="6" t="s">
        <v>723</v>
      </c>
      <c r="V14" s="7" t="s">
        <v>684</v>
      </c>
      <c r="W14" s="6" t="s">
        <v>1716</v>
      </c>
      <c r="X14" s="7" t="s">
        <v>1776</v>
      </c>
      <c r="AI14" s="6">
        <f>SUM(Y14:AH14)</f>
        <v>0</v>
      </c>
      <c r="AJ14" s="6">
        <f>100-(AI14*(AI14/20))</f>
        <v>100</v>
      </c>
      <c r="AK14" s="18">
        <f>100-(AJ14*(AJ14/MAX(AJ1:AJ14)))</f>
        <v>0</v>
      </c>
      <c r="AL14" s="6">
        <v>35</v>
      </c>
    </row>
    <row r="15" spans="1:44" x14ac:dyDescent="0.2">
      <c r="A15" s="6">
        <v>40</v>
      </c>
      <c r="B15" s="6" t="s">
        <v>63</v>
      </c>
      <c r="C15" s="6" t="s">
        <v>219</v>
      </c>
      <c r="D15" s="6" t="s">
        <v>2156</v>
      </c>
      <c r="E15" s="6" t="s">
        <v>566</v>
      </c>
      <c r="F15" s="7" t="s">
        <v>684</v>
      </c>
      <c r="G15" s="6" t="s">
        <v>1020</v>
      </c>
      <c r="H15" s="7" t="s">
        <v>684</v>
      </c>
      <c r="I15" s="6" t="s">
        <v>716</v>
      </c>
      <c r="J15" s="7" t="s">
        <v>797</v>
      </c>
      <c r="K15" s="6" t="s">
        <v>723</v>
      </c>
      <c r="L15" s="7" t="s">
        <v>1613</v>
      </c>
      <c r="M15" s="6" t="s">
        <v>723</v>
      </c>
      <c r="N15" s="7" t="s">
        <v>684</v>
      </c>
      <c r="O15" s="6" t="s">
        <v>1175</v>
      </c>
      <c r="P15" s="7" t="s">
        <v>1317</v>
      </c>
      <c r="Q15" s="6" t="s">
        <v>1486</v>
      </c>
      <c r="R15" s="7" t="s">
        <v>1524</v>
      </c>
      <c r="S15" s="6" t="s">
        <v>232</v>
      </c>
      <c r="T15" s="7" t="s">
        <v>365</v>
      </c>
      <c r="U15" s="6" t="s">
        <v>723</v>
      </c>
      <c r="V15" s="7" t="s">
        <v>684</v>
      </c>
      <c r="W15" s="6" t="s">
        <v>1716</v>
      </c>
      <c r="X15" s="7" t="s">
        <v>1776</v>
      </c>
      <c r="AI15" s="6">
        <f>SUM(Y15:AH15)</f>
        <v>0</v>
      </c>
      <c r="AJ15" s="6">
        <f>100-(AI15*(AI15/20))</f>
        <v>100</v>
      </c>
      <c r="AK15" s="18">
        <f>100-(AJ15*(AJ15/MAX(AJ1:AJ15)))</f>
        <v>0</v>
      </c>
      <c r="AL15" s="6">
        <v>40</v>
      </c>
    </row>
    <row r="16" spans="1:44" x14ac:dyDescent="0.2">
      <c r="A16" s="6">
        <v>56</v>
      </c>
      <c r="B16" s="6" t="s">
        <v>79</v>
      </c>
      <c r="C16" s="6" t="s">
        <v>219</v>
      </c>
      <c r="D16" s="6" t="s">
        <v>2156</v>
      </c>
      <c r="E16" s="6" t="s">
        <v>262</v>
      </c>
      <c r="F16" s="7" t="s">
        <v>684</v>
      </c>
      <c r="G16" s="6" t="s">
        <v>1036</v>
      </c>
      <c r="H16" s="7" t="s">
        <v>684</v>
      </c>
      <c r="I16" s="6" t="s">
        <v>723</v>
      </c>
      <c r="J16" s="7" t="s">
        <v>813</v>
      </c>
      <c r="K16" s="6" t="s">
        <v>723</v>
      </c>
      <c r="L16" s="7" t="s">
        <v>813</v>
      </c>
      <c r="M16" s="6" t="s">
        <v>723</v>
      </c>
      <c r="N16" s="7" t="s">
        <v>684</v>
      </c>
      <c r="O16" s="6" t="s">
        <v>1152</v>
      </c>
      <c r="P16" s="7" t="s">
        <v>1333</v>
      </c>
      <c r="Q16" s="6" t="s">
        <v>1496</v>
      </c>
      <c r="R16" s="7" t="s">
        <v>1524</v>
      </c>
      <c r="S16" s="6" t="s">
        <v>262</v>
      </c>
      <c r="T16" s="7" t="s">
        <v>396</v>
      </c>
      <c r="U16" s="6" t="s">
        <v>723</v>
      </c>
      <c r="V16" s="7" t="s">
        <v>684</v>
      </c>
      <c r="W16" s="6" t="s">
        <v>1711</v>
      </c>
      <c r="X16" s="7" t="s">
        <v>1776</v>
      </c>
      <c r="AI16" s="6">
        <f>SUM(Y16:AH16)</f>
        <v>0</v>
      </c>
      <c r="AJ16" s="6">
        <f>100-(AI16*(AI16/20))</f>
        <v>100</v>
      </c>
      <c r="AK16" s="18">
        <f>100-(AJ16*(AJ16/MAX(AJ1:AJ16)))</f>
        <v>0</v>
      </c>
      <c r="AL16" s="6">
        <v>56</v>
      </c>
    </row>
    <row r="17" spans="1:38" x14ac:dyDescent="0.2">
      <c r="A17" s="6">
        <v>64</v>
      </c>
      <c r="B17" s="6" t="s">
        <v>87</v>
      </c>
      <c r="C17" s="6" t="s">
        <v>219</v>
      </c>
      <c r="D17" s="6" t="s">
        <v>2156</v>
      </c>
      <c r="E17" s="6" t="s">
        <v>587</v>
      </c>
      <c r="F17" s="7" t="s">
        <v>684</v>
      </c>
      <c r="G17" s="6" t="s">
        <v>1042</v>
      </c>
      <c r="H17" s="7" t="s">
        <v>684</v>
      </c>
      <c r="I17" s="6" t="s">
        <v>734</v>
      </c>
      <c r="J17" s="7" t="s">
        <v>820</v>
      </c>
      <c r="K17" s="6" t="s">
        <v>723</v>
      </c>
      <c r="L17" s="7" t="s">
        <v>1632</v>
      </c>
      <c r="M17" s="6" t="s">
        <v>723</v>
      </c>
      <c r="N17" s="7" t="s">
        <v>684</v>
      </c>
      <c r="O17" s="6" t="s">
        <v>1190</v>
      </c>
      <c r="P17" s="7" t="s">
        <v>1340</v>
      </c>
      <c r="Q17" s="6" t="s">
        <v>723</v>
      </c>
      <c r="R17" s="7" t="s">
        <v>1524</v>
      </c>
      <c r="S17" s="6" t="s">
        <v>262</v>
      </c>
      <c r="T17" s="7" t="s">
        <v>403</v>
      </c>
      <c r="U17" s="6" t="s">
        <v>723</v>
      </c>
      <c r="V17" s="7" t="s">
        <v>684</v>
      </c>
      <c r="W17" s="6" t="s">
        <v>1725</v>
      </c>
      <c r="X17" s="7" t="s">
        <v>1775</v>
      </c>
      <c r="AI17" s="6">
        <f>SUM(Y17:AH17)</f>
        <v>0</v>
      </c>
      <c r="AJ17" s="6">
        <f>100-(AI17*(AI17/20))</f>
        <v>100</v>
      </c>
      <c r="AK17" s="18">
        <f>100-(AJ17*(AJ17/MAX(AJ2:AJ17)))</f>
        <v>0</v>
      </c>
      <c r="AL17" s="6">
        <v>64</v>
      </c>
    </row>
    <row r="18" spans="1:38" x14ac:dyDescent="0.2">
      <c r="A18" s="6">
        <v>151</v>
      </c>
      <c r="B18" s="6" t="s">
        <v>174</v>
      </c>
      <c r="C18" s="6" t="s">
        <v>219</v>
      </c>
      <c r="D18" s="6" t="s">
        <v>2156</v>
      </c>
      <c r="E18" s="6" t="s">
        <v>262</v>
      </c>
      <c r="F18" s="7" t="s">
        <v>684</v>
      </c>
      <c r="G18" s="6" t="s">
        <v>262</v>
      </c>
      <c r="H18" s="7" t="s">
        <v>684</v>
      </c>
      <c r="I18" s="6" t="s">
        <v>723</v>
      </c>
      <c r="J18" s="7" t="s">
        <v>907</v>
      </c>
      <c r="K18" s="6" t="s">
        <v>723</v>
      </c>
      <c r="L18" s="7" t="s">
        <v>907</v>
      </c>
      <c r="M18" s="6" t="s">
        <v>723</v>
      </c>
      <c r="N18" s="7" t="s">
        <v>684</v>
      </c>
      <c r="O18" s="6" t="s">
        <v>1254</v>
      </c>
      <c r="P18" s="7" t="s">
        <v>1427</v>
      </c>
      <c r="Q18" s="6" t="s">
        <v>723</v>
      </c>
      <c r="R18" s="7" t="s">
        <v>1524</v>
      </c>
      <c r="S18" s="6" t="s">
        <v>262</v>
      </c>
      <c r="T18" s="7" t="s">
        <v>487</v>
      </c>
      <c r="U18" s="6" t="s">
        <v>723</v>
      </c>
      <c r="V18" s="7" t="s">
        <v>684</v>
      </c>
      <c r="W18" s="6" t="s">
        <v>689</v>
      </c>
      <c r="X18" s="7" t="s">
        <v>1775</v>
      </c>
      <c r="AI18" s="6">
        <f>SUM(Y18:AH18)</f>
        <v>0</v>
      </c>
      <c r="AJ18" s="6">
        <f>100-(AI18*(AI18/20))</f>
        <v>100</v>
      </c>
      <c r="AK18" s="18">
        <f>100-(AJ18*(AJ18/MAX(AJ3:AJ18)))</f>
        <v>0</v>
      </c>
      <c r="AL18" s="6">
        <v>151</v>
      </c>
    </row>
    <row r="19" spans="1:38" x14ac:dyDescent="0.2">
      <c r="A19" s="19">
        <v>20</v>
      </c>
      <c r="B19" s="19" t="s">
        <v>43</v>
      </c>
      <c r="C19" s="19" t="s">
        <v>219</v>
      </c>
      <c r="D19" s="19" t="s">
        <v>1777</v>
      </c>
      <c r="E19" s="19" t="s">
        <v>547</v>
      </c>
      <c r="F19" s="20" t="s">
        <v>684</v>
      </c>
      <c r="G19" s="19" t="s">
        <v>1004</v>
      </c>
      <c r="H19" s="20" t="s">
        <v>684</v>
      </c>
      <c r="I19" s="19" t="s">
        <v>702</v>
      </c>
      <c r="J19" s="20" t="s">
        <v>778</v>
      </c>
      <c r="K19" s="19" t="s">
        <v>723</v>
      </c>
      <c r="L19" s="20" t="s">
        <v>1594</v>
      </c>
      <c r="M19" s="19" t="s">
        <v>723</v>
      </c>
      <c r="N19" s="20" t="s">
        <v>684</v>
      </c>
      <c r="O19" s="19" t="s">
        <v>1148</v>
      </c>
      <c r="P19" s="20" t="s">
        <v>1298</v>
      </c>
      <c r="Q19" s="19" t="s">
        <v>1476</v>
      </c>
      <c r="R19" s="20" t="s">
        <v>1524</v>
      </c>
      <c r="S19" s="19" t="s">
        <v>238</v>
      </c>
      <c r="T19" s="20" t="s">
        <v>363</v>
      </c>
      <c r="U19" s="19" t="s">
        <v>723</v>
      </c>
      <c r="V19" s="20" t="s">
        <v>684</v>
      </c>
      <c r="W19" s="19" t="s">
        <v>1714</v>
      </c>
      <c r="X19" s="20" t="s">
        <v>1776</v>
      </c>
      <c r="Y19" s="10">
        <v>2</v>
      </c>
      <c r="Z19" s="10">
        <v>2</v>
      </c>
      <c r="AA19" s="10">
        <v>2</v>
      </c>
      <c r="AB19" s="10">
        <v>1</v>
      </c>
      <c r="AC19" s="10">
        <v>2</v>
      </c>
      <c r="AD19" s="10">
        <v>1</v>
      </c>
      <c r="AE19" s="10">
        <v>2</v>
      </c>
      <c r="AF19" s="10">
        <v>1</v>
      </c>
      <c r="AG19" s="10">
        <v>1</v>
      </c>
      <c r="AH19" s="10">
        <v>2</v>
      </c>
      <c r="AI19" s="6">
        <f>SUM(Y19:AH19)</f>
        <v>16</v>
      </c>
      <c r="AJ19" s="6">
        <f>100-(AI19*(AI19/20))</f>
        <v>87.2</v>
      </c>
      <c r="AK19" s="18">
        <f>MAX(AJ19:AJ31)-(AJ19*(AJ19/MAX(AJ19:AJ31)))</f>
        <v>23.961600000000004</v>
      </c>
      <c r="AL19" s="19">
        <v>20</v>
      </c>
    </row>
    <row r="20" spans="1:38" x14ac:dyDescent="0.2">
      <c r="A20" s="3">
        <v>28</v>
      </c>
      <c r="B20" s="3" t="s">
        <v>51</v>
      </c>
      <c r="C20" s="3" t="s">
        <v>219</v>
      </c>
      <c r="D20" s="3" t="s">
        <v>1777</v>
      </c>
      <c r="E20" s="3" t="s">
        <v>555</v>
      </c>
      <c r="F20" s="4" t="s">
        <v>684</v>
      </c>
      <c r="G20" s="3" t="s">
        <v>1010</v>
      </c>
      <c r="H20" s="4" t="s">
        <v>684</v>
      </c>
      <c r="I20" s="3" t="s">
        <v>710</v>
      </c>
      <c r="J20" s="4" t="s">
        <v>786</v>
      </c>
      <c r="K20" s="3" t="s">
        <v>723</v>
      </c>
      <c r="L20" s="4" t="s">
        <v>1602</v>
      </c>
      <c r="M20" s="3" t="s">
        <v>723</v>
      </c>
      <c r="N20" s="4" t="s">
        <v>684</v>
      </c>
      <c r="O20" s="3" t="s">
        <v>1165</v>
      </c>
      <c r="P20" s="4" t="s">
        <v>1306</v>
      </c>
      <c r="Q20" s="3" t="s">
        <v>1476</v>
      </c>
      <c r="R20" s="4" t="s">
        <v>1524</v>
      </c>
      <c r="S20" s="3" t="s">
        <v>232</v>
      </c>
      <c r="T20" s="4" t="s">
        <v>371</v>
      </c>
      <c r="U20" s="3" t="s">
        <v>723</v>
      </c>
      <c r="V20" s="4" t="s">
        <v>684</v>
      </c>
      <c r="W20" s="3" t="s">
        <v>1718</v>
      </c>
      <c r="X20" s="4" t="s">
        <v>1776</v>
      </c>
      <c r="Y20" s="10">
        <v>2</v>
      </c>
      <c r="Z20" s="10">
        <v>2</v>
      </c>
      <c r="AA20" s="10">
        <v>2</v>
      </c>
      <c r="AB20" s="10">
        <v>1</v>
      </c>
      <c r="AC20" s="10">
        <v>2</v>
      </c>
      <c r="AD20" s="10">
        <v>1</v>
      </c>
      <c r="AE20" s="10">
        <v>2</v>
      </c>
      <c r="AF20" s="10">
        <v>1</v>
      </c>
      <c r="AG20" s="10">
        <v>1</v>
      </c>
      <c r="AH20" s="10">
        <v>2</v>
      </c>
      <c r="AI20" s="6">
        <f>SUM(Y20:AH20)</f>
        <v>16</v>
      </c>
      <c r="AJ20" s="6">
        <f>100-(AI20*(AI20/20))</f>
        <v>87.2</v>
      </c>
      <c r="AK20" s="18">
        <f>MAX(AJ19:AJ31)-(AJ20*(AJ20/MAX(AJ19:AJ31)))</f>
        <v>23.961600000000004</v>
      </c>
      <c r="AL20" s="3">
        <v>28</v>
      </c>
    </row>
    <row r="21" spans="1:38" x14ac:dyDescent="0.2">
      <c r="A21" s="3">
        <v>30</v>
      </c>
      <c r="B21" s="3" t="s">
        <v>53</v>
      </c>
      <c r="C21" s="3" t="s">
        <v>219</v>
      </c>
      <c r="D21" s="3" t="s">
        <v>1777</v>
      </c>
      <c r="E21" s="3" t="s">
        <v>557</v>
      </c>
      <c r="F21" s="4" t="s">
        <v>684</v>
      </c>
      <c r="G21" s="3" t="s">
        <v>1011</v>
      </c>
      <c r="H21" s="4" t="s">
        <v>684</v>
      </c>
      <c r="I21" s="3" t="s">
        <v>711</v>
      </c>
      <c r="J21" s="4" t="s">
        <v>788</v>
      </c>
      <c r="K21" s="3" t="s">
        <v>723</v>
      </c>
      <c r="L21" s="4" t="s">
        <v>1604</v>
      </c>
      <c r="M21" s="3" t="s">
        <v>966</v>
      </c>
      <c r="N21" s="4" t="s">
        <v>684</v>
      </c>
      <c r="O21" s="3" t="s">
        <v>1167</v>
      </c>
      <c r="P21" s="4" t="s">
        <v>1308</v>
      </c>
      <c r="Q21" s="3" t="s">
        <v>1476</v>
      </c>
      <c r="R21" s="4" t="s">
        <v>1524</v>
      </c>
      <c r="S21" s="3" t="s">
        <v>245</v>
      </c>
      <c r="T21" s="4" t="s">
        <v>373</v>
      </c>
      <c r="U21" s="3" t="s">
        <v>723</v>
      </c>
      <c r="V21" s="4" t="s">
        <v>684</v>
      </c>
      <c r="W21" s="3" t="s">
        <v>1721</v>
      </c>
      <c r="X21" s="4" t="s">
        <v>1776</v>
      </c>
      <c r="Y21" s="10">
        <v>2</v>
      </c>
      <c r="Z21" s="10">
        <v>2</v>
      </c>
      <c r="AA21" s="10">
        <v>2</v>
      </c>
      <c r="AB21" s="10">
        <v>1</v>
      </c>
      <c r="AC21" s="10">
        <v>2</v>
      </c>
      <c r="AD21" s="10">
        <v>1</v>
      </c>
      <c r="AE21" s="10">
        <v>2</v>
      </c>
      <c r="AF21" s="10">
        <v>1</v>
      </c>
      <c r="AG21" s="10">
        <v>1</v>
      </c>
      <c r="AH21" s="10">
        <v>2</v>
      </c>
      <c r="AI21" s="6">
        <f>SUM(Y21:AH21)</f>
        <v>16</v>
      </c>
      <c r="AJ21" s="6">
        <f>100-(AI21*(AI21/20))</f>
        <v>87.2</v>
      </c>
      <c r="AK21" s="18">
        <f>MAX(AJ19:AJ31)-(AJ21*(AJ21/MAX(AJ19:AJ31)))</f>
        <v>23.961600000000004</v>
      </c>
      <c r="AL21" s="3">
        <v>30</v>
      </c>
    </row>
    <row r="22" spans="1:38" x14ac:dyDescent="0.2">
      <c r="A22" s="3">
        <v>46</v>
      </c>
      <c r="B22" s="3" t="s">
        <v>69</v>
      </c>
      <c r="C22" s="3" t="s">
        <v>219</v>
      </c>
      <c r="D22" s="3" t="s">
        <v>1777</v>
      </c>
      <c r="E22" s="3" t="s">
        <v>572</v>
      </c>
      <c r="F22" s="4" t="s">
        <v>684</v>
      </c>
      <c r="G22" s="3" t="s">
        <v>1026</v>
      </c>
      <c r="H22" s="4" t="s">
        <v>684</v>
      </c>
      <c r="I22" s="3" t="s">
        <v>722</v>
      </c>
      <c r="J22" s="4" t="s">
        <v>803</v>
      </c>
      <c r="K22" s="3" t="s">
        <v>723</v>
      </c>
      <c r="L22" s="4" t="s">
        <v>1619</v>
      </c>
      <c r="M22" s="3" t="s">
        <v>723</v>
      </c>
      <c r="N22" s="4" t="s">
        <v>684</v>
      </c>
      <c r="O22" s="3" t="s">
        <v>1152</v>
      </c>
      <c r="P22" s="4" t="s">
        <v>1323</v>
      </c>
      <c r="Q22" s="3" t="s">
        <v>1488</v>
      </c>
      <c r="R22" s="4" t="s">
        <v>1524</v>
      </c>
      <c r="S22" s="3" t="s">
        <v>256</v>
      </c>
      <c r="T22" s="4" t="s">
        <v>365</v>
      </c>
      <c r="U22" s="3" t="s">
        <v>723</v>
      </c>
      <c r="V22" s="4" t="s">
        <v>684</v>
      </c>
      <c r="W22" s="3" t="s">
        <v>1711</v>
      </c>
      <c r="X22" s="4" t="s">
        <v>1776</v>
      </c>
      <c r="Y22" s="10">
        <v>2</v>
      </c>
      <c r="Z22" s="10">
        <v>2</v>
      </c>
      <c r="AA22" s="10">
        <v>2</v>
      </c>
      <c r="AB22" s="10">
        <v>1</v>
      </c>
      <c r="AC22" s="10">
        <v>2</v>
      </c>
      <c r="AD22" s="10">
        <v>1</v>
      </c>
      <c r="AE22" s="10">
        <v>2</v>
      </c>
      <c r="AF22" s="10">
        <v>1</v>
      </c>
      <c r="AG22" s="10">
        <v>1</v>
      </c>
      <c r="AH22" s="10">
        <v>2</v>
      </c>
      <c r="AI22" s="6">
        <f>SUM(Y22:AH22)</f>
        <v>16</v>
      </c>
      <c r="AJ22" s="6">
        <f>100-(AI22*(AI22/20))</f>
        <v>87.2</v>
      </c>
      <c r="AK22" s="18">
        <f>MAX(AJ19:AJ31)-(AJ22*(AJ22/MAX(AJ19:AJ31)))</f>
        <v>23.961600000000004</v>
      </c>
      <c r="AL22" s="3">
        <v>46</v>
      </c>
    </row>
    <row r="23" spans="1:38" x14ac:dyDescent="0.2">
      <c r="A23" s="3">
        <v>65</v>
      </c>
      <c r="B23" s="3" t="s">
        <v>88</v>
      </c>
      <c r="C23" s="3" t="s">
        <v>219</v>
      </c>
      <c r="D23" s="3" t="s">
        <v>1777</v>
      </c>
      <c r="E23" s="3" t="s">
        <v>588</v>
      </c>
      <c r="F23" s="4" t="s">
        <v>684</v>
      </c>
      <c r="G23" s="3" t="s">
        <v>262</v>
      </c>
      <c r="H23" s="4" t="s">
        <v>684</v>
      </c>
      <c r="I23" s="3" t="s">
        <v>723</v>
      </c>
      <c r="J23" s="4" t="s">
        <v>821</v>
      </c>
      <c r="K23" s="3" t="s">
        <v>723</v>
      </c>
      <c r="L23" s="4" t="s">
        <v>821</v>
      </c>
      <c r="M23" s="3" t="s">
        <v>723</v>
      </c>
      <c r="N23" s="4" t="s">
        <v>684</v>
      </c>
      <c r="O23" s="3" t="s">
        <v>1152</v>
      </c>
      <c r="P23" s="4" t="s">
        <v>1341</v>
      </c>
      <c r="Q23" s="3" t="s">
        <v>1485</v>
      </c>
      <c r="R23" s="4" t="s">
        <v>1524</v>
      </c>
      <c r="S23" s="3" t="s">
        <v>262</v>
      </c>
      <c r="T23" s="4" t="s">
        <v>404</v>
      </c>
      <c r="U23" s="3" t="s">
        <v>723</v>
      </c>
      <c r="V23" s="4" t="s">
        <v>684</v>
      </c>
      <c r="W23" s="3" t="s">
        <v>1711</v>
      </c>
      <c r="X23" s="4" t="s">
        <v>1776</v>
      </c>
      <c r="Y23" s="10">
        <v>2</v>
      </c>
      <c r="Z23" s="10">
        <v>2</v>
      </c>
      <c r="AA23" s="10">
        <v>2</v>
      </c>
      <c r="AB23" s="10">
        <v>1</v>
      </c>
      <c r="AC23" s="10">
        <v>2</v>
      </c>
      <c r="AD23" s="10">
        <v>1</v>
      </c>
      <c r="AE23" s="10">
        <v>2</v>
      </c>
      <c r="AF23" s="10">
        <v>1</v>
      </c>
      <c r="AG23" s="10">
        <v>1</v>
      </c>
      <c r="AH23" s="10">
        <v>2</v>
      </c>
      <c r="AI23" s="6">
        <f>SUM(Y23:AH23)</f>
        <v>16</v>
      </c>
      <c r="AJ23" s="6">
        <f>100-(AI23*(AI23/20))</f>
        <v>87.2</v>
      </c>
      <c r="AK23" s="18">
        <f>MAX(AJ19:AJ31)-(AJ23*(AJ23/MAX(AJ19:AJ31)))</f>
        <v>23.961600000000004</v>
      </c>
      <c r="AL23" s="3">
        <v>65</v>
      </c>
    </row>
    <row r="24" spans="1:38" x14ac:dyDescent="0.2">
      <c r="A24" s="3">
        <v>68</v>
      </c>
      <c r="B24" s="3" t="s">
        <v>91</v>
      </c>
      <c r="C24" s="3" t="s">
        <v>219</v>
      </c>
      <c r="D24" s="3" t="s">
        <v>1777</v>
      </c>
      <c r="E24" s="3" t="s">
        <v>591</v>
      </c>
      <c r="F24" s="4" t="s">
        <v>684</v>
      </c>
      <c r="G24" s="3" t="s">
        <v>1045</v>
      </c>
      <c r="H24" s="4" t="s">
        <v>684</v>
      </c>
      <c r="I24" s="3" t="s">
        <v>736</v>
      </c>
      <c r="J24" s="4" t="s">
        <v>824</v>
      </c>
      <c r="K24" s="3" t="s">
        <v>1553</v>
      </c>
      <c r="L24" s="4" t="s">
        <v>1635</v>
      </c>
      <c r="M24" s="3" t="s">
        <v>723</v>
      </c>
      <c r="N24" s="4" t="s">
        <v>684</v>
      </c>
      <c r="O24" s="3" t="s">
        <v>1152</v>
      </c>
      <c r="P24" s="4" t="s">
        <v>1344</v>
      </c>
      <c r="Q24" s="3" t="s">
        <v>1499</v>
      </c>
      <c r="R24" s="4" t="s">
        <v>1524</v>
      </c>
      <c r="S24" s="3" t="s">
        <v>269</v>
      </c>
      <c r="T24" s="4" t="s">
        <v>407</v>
      </c>
      <c r="U24" s="3" t="s">
        <v>723</v>
      </c>
      <c r="V24" s="4" t="s">
        <v>684</v>
      </c>
      <c r="W24" s="3" t="s">
        <v>1734</v>
      </c>
      <c r="X24" s="4" t="s">
        <v>1776</v>
      </c>
      <c r="Y24" s="10">
        <v>2</v>
      </c>
      <c r="Z24" s="10">
        <v>2</v>
      </c>
      <c r="AA24" s="10">
        <v>2</v>
      </c>
      <c r="AB24" s="10">
        <v>1</v>
      </c>
      <c r="AC24" s="10">
        <v>2</v>
      </c>
      <c r="AD24" s="10">
        <v>1</v>
      </c>
      <c r="AE24" s="10">
        <v>2</v>
      </c>
      <c r="AF24" s="10">
        <v>1</v>
      </c>
      <c r="AG24" s="10">
        <v>1</v>
      </c>
      <c r="AH24" s="10">
        <v>2</v>
      </c>
      <c r="AI24" s="6">
        <f>SUM(Y24:AH24)</f>
        <v>16</v>
      </c>
      <c r="AJ24" s="6">
        <f>100-(AI24*(AI24/20))</f>
        <v>87.2</v>
      </c>
      <c r="AK24" s="18">
        <f>MAX(AJ19:AJ31)-(AJ24*(AJ24/MAX(AJ19:AJ31)))</f>
        <v>23.961600000000004</v>
      </c>
      <c r="AL24" s="3">
        <v>68</v>
      </c>
    </row>
    <row r="25" spans="1:38" x14ac:dyDescent="0.2">
      <c r="A25" s="3">
        <v>72</v>
      </c>
      <c r="B25" s="3" t="s">
        <v>95</v>
      </c>
      <c r="C25" s="3" t="s">
        <v>219</v>
      </c>
      <c r="D25" s="3" t="s">
        <v>1777</v>
      </c>
      <c r="E25" s="3" t="s">
        <v>594</v>
      </c>
      <c r="F25" s="4" t="s">
        <v>684</v>
      </c>
      <c r="G25" s="3" t="s">
        <v>1047</v>
      </c>
      <c r="H25" s="4" t="s">
        <v>684</v>
      </c>
      <c r="I25" s="3" t="s">
        <v>731</v>
      </c>
      <c r="J25" s="4" t="s">
        <v>828</v>
      </c>
      <c r="K25" s="3" t="s">
        <v>723</v>
      </c>
      <c r="L25" s="4" t="s">
        <v>1637</v>
      </c>
      <c r="M25" s="3" t="s">
        <v>723</v>
      </c>
      <c r="N25" s="4" t="s">
        <v>684</v>
      </c>
      <c r="O25" s="3" t="s">
        <v>1152</v>
      </c>
      <c r="P25" s="4" t="s">
        <v>1348</v>
      </c>
      <c r="Q25" s="3" t="s">
        <v>689</v>
      </c>
      <c r="R25" s="4" t="s">
        <v>1524</v>
      </c>
      <c r="S25" s="3" t="s">
        <v>262</v>
      </c>
      <c r="T25" s="4" t="s">
        <v>411</v>
      </c>
      <c r="U25" s="3" t="s">
        <v>723</v>
      </c>
      <c r="V25" s="4" t="s">
        <v>684</v>
      </c>
      <c r="W25" s="3" t="s">
        <v>1716</v>
      </c>
      <c r="X25" s="4" t="s">
        <v>1776</v>
      </c>
      <c r="Y25" s="10">
        <v>2</v>
      </c>
      <c r="Z25" s="10">
        <v>2</v>
      </c>
      <c r="AA25" s="10">
        <v>2</v>
      </c>
      <c r="AB25" s="10">
        <v>1</v>
      </c>
      <c r="AC25" s="10">
        <v>2</v>
      </c>
      <c r="AD25" s="10">
        <v>1</v>
      </c>
      <c r="AE25" s="10">
        <v>2</v>
      </c>
      <c r="AF25" s="10">
        <v>1</v>
      </c>
      <c r="AG25" s="10">
        <v>1</v>
      </c>
      <c r="AH25" s="10">
        <v>2</v>
      </c>
      <c r="AI25" s="6">
        <f>SUM(Y25:AH25)</f>
        <v>16</v>
      </c>
      <c r="AJ25" s="6">
        <f>100-(AI25*(AI25/20))</f>
        <v>87.2</v>
      </c>
      <c r="AK25" s="18">
        <f>MAX(AJ19:AJ31)-(AJ25*(AJ25/MAX(AJ19:AJ31)))</f>
        <v>23.961600000000004</v>
      </c>
      <c r="AL25" s="3">
        <v>72</v>
      </c>
    </row>
    <row r="26" spans="1:38" x14ac:dyDescent="0.2">
      <c r="A26" s="3">
        <v>73</v>
      </c>
      <c r="B26" s="3" t="s">
        <v>96</v>
      </c>
      <c r="C26" s="3" t="s">
        <v>219</v>
      </c>
      <c r="D26" s="3" t="s">
        <v>1777</v>
      </c>
      <c r="E26" s="3" t="s">
        <v>262</v>
      </c>
      <c r="F26" s="4" t="s">
        <v>684</v>
      </c>
      <c r="G26" s="3" t="s">
        <v>262</v>
      </c>
      <c r="H26" s="4" t="s">
        <v>684</v>
      </c>
      <c r="I26" s="3" t="s">
        <v>723</v>
      </c>
      <c r="J26" s="4" t="s">
        <v>829</v>
      </c>
      <c r="K26" s="3" t="s">
        <v>723</v>
      </c>
      <c r="L26" s="4" t="s">
        <v>829</v>
      </c>
      <c r="M26" s="3" t="s">
        <v>723</v>
      </c>
      <c r="N26" s="4" t="s">
        <v>684</v>
      </c>
      <c r="O26" s="3" t="s">
        <v>1152</v>
      </c>
      <c r="P26" s="4" t="s">
        <v>1349</v>
      </c>
      <c r="Q26" s="3" t="s">
        <v>689</v>
      </c>
      <c r="R26" s="4" t="s">
        <v>1524</v>
      </c>
      <c r="S26" s="3" t="s">
        <v>262</v>
      </c>
      <c r="T26" s="4" t="s">
        <v>412</v>
      </c>
      <c r="U26" s="3" t="s">
        <v>723</v>
      </c>
      <c r="V26" s="4" t="s">
        <v>684</v>
      </c>
      <c r="W26" s="3" t="s">
        <v>1725</v>
      </c>
      <c r="X26" s="4" t="s">
        <v>1775</v>
      </c>
      <c r="Y26" s="10">
        <v>2</v>
      </c>
      <c r="Z26" s="10">
        <v>2</v>
      </c>
      <c r="AA26" s="10">
        <v>2</v>
      </c>
      <c r="AB26" s="10">
        <v>1</v>
      </c>
      <c r="AC26" s="10">
        <v>2</v>
      </c>
      <c r="AD26" s="10">
        <v>1</v>
      </c>
      <c r="AE26" s="10">
        <v>2</v>
      </c>
      <c r="AF26" s="10">
        <v>1</v>
      </c>
      <c r="AG26" s="10">
        <v>1</v>
      </c>
      <c r="AH26" s="10">
        <v>2</v>
      </c>
      <c r="AI26" s="6">
        <f>SUM(Y26:AH26)</f>
        <v>16</v>
      </c>
      <c r="AJ26" s="6">
        <f>100-(AI26*(AI26/20))</f>
        <v>87.2</v>
      </c>
      <c r="AK26" s="18">
        <f>MAX(AJ19:AJ31)-(AJ26*(AJ26/MAX(AJ19:AJ31)))</f>
        <v>23.961600000000004</v>
      </c>
      <c r="AL26" s="3">
        <v>73</v>
      </c>
    </row>
    <row r="27" spans="1:38" x14ac:dyDescent="0.2">
      <c r="A27" s="3">
        <v>98</v>
      </c>
      <c r="B27" s="3" t="s">
        <v>121</v>
      </c>
      <c r="C27" s="3" t="s">
        <v>219</v>
      </c>
      <c r="D27" s="3" t="s">
        <v>1777</v>
      </c>
      <c r="E27" s="3" t="s">
        <v>262</v>
      </c>
      <c r="F27" s="4" t="s">
        <v>684</v>
      </c>
      <c r="G27" s="3" t="s">
        <v>262</v>
      </c>
      <c r="H27" s="4" t="s">
        <v>684</v>
      </c>
      <c r="I27" s="3" t="s">
        <v>723</v>
      </c>
      <c r="J27" s="4" t="s">
        <v>854</v>
      </c>
      <c r="K27" s="3" t="s">
        <v>723</v>
      </c>
      <c r="L27" s="4" t="s">
        <v>854</v>
      </c>
      <c r="M27" s="3" t="s">
        <v>723</v>
      </c>
      <c r="N27" s="4" t="s">
        <v>684</v>
      </c>
      <c r="O27" s="3" t="s">
        <v>1214</v>
      </c>
      <c r="P27" s="4" t="s">
        <v>1374</v>
      </c>
      <c r="Q27" s="3" t="s">
        <v>689</v>
      </c>
      <c r="R27" s="4" t="s">
        <v>1524</v>
      </c>
      <c r="S27" s="3" t="s">
        <v>262</v>
      </c>
      <c r="T27" s="4" t="s">
        <v>436</v>
      </c>
      <c r="U27" s="3" t="s">
        <v>723</v>
      </c>
      <c r="V27" s="4" t="s">
        <v>684</v>
      </c>
      <c r="W27" s="3" t="s">
        <v>1741</v>
      </c>
      <c r="X27" s="4" t="s">
        <v>1775</v>
      </c>
      <c r="Y27" s="10">
        <v>2</v>
      </c>
      <c r="Z27" s="10">
        <v>2</v>
      </c>
      <c r="AA27" s="10">
        <v>2</v>
      </c>
      <c r="AB27" s="10">
        <v>1</v>
      </c>
      <c r="AC27" s="10">
        <v>2</v>
      </c>
      <c r="AD27" s="10">
        <v>1</v>
      </c>
      <c r="AE27" s="10">
        <v>2</v>
      </c>
      <c r="AF27" s="10">
        <v>1</v>
      </c>
      <c r="AG27" s="10">
        <v>1</v>
      </c>
      <c r="AH27" s="10">
        <v>2</v>
      </c>
      <c r="AI27" s="6">
        <f>SUM(Y27:AH27)</f>
        <v>16</v>
      </c>
      <c r="AJ27" s="6">
        <f>100-(AI27*(AI27/20))</f>
        <v>87.2</v>
      </c>
      <c r="AK27" s="18">
        <f>MAX(AJ19:AJ31)-(AJ27*(AJ27/MAX(AJ19:AJ31)))</f>
        <v>23.961600000000004</v>
      </c>
      <c r="AL27" s="3">
        <v>98</v>
      </c>
    </row>
    <row r="28" spans="1:38" x14ac:dyDescent="0.2">
      <c r="A28" s="6">
        <v>107</v>
      </c>
      <c r="B28" s="6" t="s">
        <v>130</v>
      </c>
      <c r="C28" s="6" t="s">
        <v>219</v>
      </c>
      <c r="D28" s="6" t="s">
        <v>1777</v>
      </c>
      <c r="E28" s="6" t="s">
        <v>620</v>
      </c>
      <c r="F28" s="7" t="s">
        <v>684</v>
      </c>
      <c r="G28" s="6" t="s">
        <v>1070</v>
      </c>
      <c r="H28" s="7" t="s">
        <v>684</v>
      </c>
      <c r="I28" s="6" t="s">
        <v>723</v>
      </c>
      <c r="J28" s="7" t="s">
        <v>863</v>
      </c>
      <c r="K28" s="6" t="s">
        <v>723</v>
      </c>
      <c r="L28" s="7" t="s">
        <v>863</v>
      </c>
      <c r="M28" s="6" t="s">
        <v>723</v>
      </c>
      <c r="N28" s="7" t="s">
        <v>684</v>
      </c>
      <c r="O28" s="6" t="s">
        <v>1208</v>
      </c>
      <c r="P28" s="7" t="s">
        <v>1383</v>
      </c>
      <c r="Q28" s="6" t="s">
        <v>689</v>
      </c>
      <c r="R28" s="7" t="s">
        <v>1524</v>
      </c>
      <c r="S28" s="6" t="s">
        <v>262</v>
      </c>
      <c r="T28" s="7" t="s">
        <v>445</v>
      </c>
      <c r="U28" s="6" t="s">
        <v>723</v>
      </c>
      <c r="V28" s="7" t="s">
        <v>684</v>
      </c>
      <c r="W28" s="6" t="s">
        <v>1731</v>
      </c>
      <c r="X28" s="7" t="s">
        <v>1776</v>
      </c>
      <c r="AI28" s="6">
        <f>SUM(Y28:AH28)</f>
        <v>0</v>
      </c>
      <c r="AJ28" s="6">
        <f>100-(AI28*(AI28/20))</f>
        <v>100</v>
      </c>
      <c r="AK28" s="18">
        <f>100-(AJ28*(AJ28/MAX(AJ13:AJ28)))</f>
        <v>0</v>
      </c>
      <c r="AL28" s="6">
        <v>107</v>
      </c>
    </row>
    <row r="29" spans="1:38" x14ac:dyDescent="0.2">
      <c r="A29" s="6">
        <v>126</v>
      </c>
      <c r="B29" s="6" t="s">
        <v>149</v>
      </c>
      <c r="C29" s="6" t="s">
        <v>219</v>
      </c>
      <c r="D29" s="6" t="s">
        <v>1777</v>
      </c>
      <c r="E29" s="6" t="s">
        <v>632</v>
      </c>
      <c r="F29" s="7" t="s">
        <v>684</v>
      </c>
      <c r="G29" s="6" t="s">
        <v>262</v>
      </c>
      <c r="H29" s="7" t="s">
        <v>684</v>
      </c>
      <c r="I29" s="6" t="s">
        <v>723</v>
      </c>
      <c r="J29" s="7" t="s">
        <v>882</v>
      </c>
      <c r="K29" s="6" t="s">
        <v>723</v>
      </c>
      <c r="L29" s="7" t="s">
        <v>882</v>
      </c>
      <c r="M29" s="6" t="s">
        <v>723</v>
      </c>
      <c r="N29" s="7" t="s">
        <v>684</v>
      </c>
      <c r="O29" s="6" t="s">
        <v>1237</v>
      </c>
      <c r="P29" s="7" t="s">
        <v>1402</v>
      </c>
      <c r="Q29" s="6" t="s">
        <v>689</v>
      </c>
      <c r="R29" s="7" t="s">
        <v>1524</v>
      </c>
      <c r="S29" s="6" t="s">
        <v>262</v>
      </c>
      <c r="T29" s="7" t="s">
        <v>463</v>
      </c>
      <c r="U29" s="6" t="s">
        <v>723</v>
      </c>
      <c r="V29" s="7" t="s">
        <v>684</v>
      </c>
      <c r="W29" s="6" t="s">
        <v>1755</v>
      </c>
      <c r="X29" s="7" t="s">
        <v>1776</v>
      </c>
      <c r="AI29" s="6">
        <f>SUM(Y29:AH29)</f>
        <v>0</v>
      </c>
      <c r="AJ29" s="6">
        <f>100-(AI29*(AI29/20))</f>
        <v>100</v>
      </c>
      <c r="AK29" s="18">
        <f>100-(AJ29*(AJ29/MAX(AJ14:AJ29)))</f>
        <v>0</v>
      </c>
      <c r="AL29" s="6">
        <v>126</v>
      </c>
    </row>
    <row r="30" spans="1:38" x14ac:dyDescent="0.2">
      <c r="A30" s="3">
        <v>127</v>
      </c>
      <c r="B30" s="3" t="s">
        <v>150</v>
      </c>
      <c r="C30" s="3" t="s">
        <v>219</v>
      </c>
      <c r="D30" s="3" t="s">
        <v>1777</v>
      </c>
      <c r="E30" s="3" t="s">
        <v>633</v>
      </c>
      <c r="F30" s="4" t="s">
        <v>684</v>
      </c>
      <c r="G30" s="3" t="s">
        <v>1082</v>
      </c>
      <c r="H30" s="4" t="s">
        <v>684</v>
      </c>
      <c r="I30" s="3" t="s">
        <v>755</v>
      </c>
      <c r="J30" s="4" t="s">
        <v>883</v>
      </c>
      <c r="K30" s="3" t="s">
        <v>723</v>
      </c>
      <c r="L30" s="4" t="s">
        <v>1667</v>
      </c>
      <c r="M30" s="3" t="s">
        <v>723</v>
      </c>
      <c r="N30" s="4" t="s">
        <v>684</v>
      </c>
      <c r="O30" s="3" t="s">
        <v>1238</v>
      </c>
      <c r="P30" s="4" t="s">
        <v>1403</v>
      </c>
      <c r="Q30" s="3" t="s">
        <v>689</v>
      </c>
      <c r="R30" s="4" t="s">
        <v>1524</v>
      </c>
      <c r="S30" s="3" t="s">
        <v>304</v>
      </c>
      <c r="T30" s="4" t="s">
        <v>464</v>
      </c>
      <c r="U30" s="3" t="s">
        <v>723</v>
      </c>
      <c r="V30" s="4" t="s">
        <v>684</v>
      </c>
      <c r="W30" s="3" t="s">
        <v>1756</v>
      </c>
      <c r="X30" s="4" t="s">
        <v>1776</v>
      </c>
      <c r="Y30" s="10">
        <v>2</v>
      </c>
      <c r="Z30" s="10">
        <v>2</v>
      </c>
      <c r="AA30" s="10">
        <v>2</v>
      </c>
      <c r="AB30" s="10">
        <v>1</v>
      </c>
      <c r="AC30" s="10">
        <v>2</v>
      </c>
      <c r="AD30" s="10">
        <v>1</v>
      </c>
      <c r="AE30" s="10">
        <v>2</v>
      </c>
      <c r="AF30" s="10">
        <v>1</v>
      </c>
      <c r="AG30" s="10">
        <v>1</v>
      </c>
      <c r="AH30" s="10">
        <v>2</v>
      </c>
      <c r="AI30" s="6">
        <f>SUM(Y30:AH30)</f>
        <v>16</v>
      </c>
      <c r="AJ30" s="6">
        <f>100-(AI30*(AI30/20))</f>
        <v>87.2</v>
      </c>
      <c r="AK30" s="18">
        <f>MAX(AJ21:AJ33)-(AJ30*(AJ30/MAX(AJ21:AJ33)))</f>
        <v>23.961600000000004</v>
      </c>
      <c r="AL30" s="3">
        <v>127</v>
      </c>
    </row>
    <row r="31" spans="1:38" x14ac:dyDescent="0.2">
      <c r="A31" s="3">
        <v>153</v>
      </c>
      <c r="B31" s="3" t="s">
        <v>176</v>
      </c>
      <c r="C31" s="3" t="s">
        <v>219</v>
      </c>
      <c r="D31" s="3" t="s">
        <v>1777</v>
      </c>
      <c r="E31" s="3" t="s">
        <v>654</v>
      </c>
      <c r="F31" s="4" t="s">
        <v>684</v>
      </c>
      <c r="G31" s="3" t="s">
        <v>1099</v>
      </c>
      <c r="H31" s="4" t="s">
        <v>684</v>
      </c>
      <c r="I31" s="3" t="s">
        <v>755</v>
      </c>
      <c r="J31" s="4" t="s">
        <v>909</v>
      </c>
      <c r="K31" s="3" t="s">
        <v>755</v>
      </c>
      <c r="L31" s="4" t="s">
        <v>1680</v>
      </c>
      <c r="M31" s="3" t="s">
        <v>723</v>
      </c>
      <c r="N31" s="4" t="s">
        <v>684</v>
      </c>
      <c r="O31" s="3" t="s">
        <v>1256</v>
      </c>
      <c r="P31" s="4" t="s">
        <v>1429</v>
      </c>
      <c r="Q31" s="3" t="s">
        <v>689</v>
      </c>
      <c r="R31" s="4" t="s">
        <v>1524</v>
      </c>
      <c r="S31" s="3" t="s">
        <v>322</v>
      </c>
      <c r="T31" s="4" t="s">
        <v>489</v>
      </c>
      <c r="U31" s="3" t="s">
        <v>723</v>
      </c>
      <c r="V31" s="4" t="s">
        <v>684</v>
      </c>
      <c r="W31" s="3" t="s">
        <v>689</v>
      </c>
      <c r="X31" s="4" t="s">
        <v>1775</v>
      </c>
      <c r="Y31" s="10">
        <v>2</v>
      </c>
      <c r="Z31" s="10">
        <v>2</v>
      </c>
      <c r="AA31" s="10">
        <v>2</v>
      </c>
      <c r="AB31" s="10">
        <v>1</v>
      </c>
      <c r="AC31" s="10">
        <v>2</v>
      </c>
      <c r="AD31" s="10">
        <v>1</v>
      </c>
      <c r="AE31" s="10">
        <v>2</v>
      </c>
      <c r="AF31" s="10">
        <v>1</v>
      </c>
      <c r="AG31" s="10">
        <v>1</v>
      </c>
      <c r="AH31" s="10">
        <v>2</v>
      </c>
      <c r="AI31" s="6">
        <f>SUM(Y31:AH31)</f>
        <v>16</v>
      </c>
      <c r="AJ31" s="6">
        <f>100-(AI31*(AI31/20))</f>
        <v>87.2</v>
      </c>
      <c r="AK31" s="18">
        <f>MAX(AJ21:AJ33)-(AJ31*(AJ31/MAX(AJ21:AJ33)))</f>
        <v>23.961600000000004</v>
      </c>
      <c r="AL31" s="3">
        <v>153</v>
      </c>
    </row>
    <row r="32" spans="1:38" x14ac:dyDescent="0.2">
      <c r="A32" s="3">
        <v>156</v>
      </c>
      <c r="B32" s="3" t="s">
        <v>179</v>
      </c>
      <c r="C32" s="3" t="s">
        <v>219</v>
      </c>
      <c r="D32" s="3" t="s">
        <v>1777</v>
      </c>
      <c r="E32" s="3" t="s">
        <v>657</v>
      </c>
      <c r="F32" s="4" t="s">
        <v>684</v>
      </c>
      <c r="G32" s="3" t="s">
        <v>1102</v>
      </c>
      <c r="H32" s="4" t="s">
        <v>684</v>
      </c>
      <c r="I32" s="3" t="s">
        <v>757</v>
      </c>
      <c r="J32" s="4" t="s">
        <v>912</v>
      </c>
      <c r="K32" s="3" t="s">
        <v>723</v>
      </c>
      <c r="L32" s="4" t="s">
        <v>1682</v>
      </c>
      <c r="M32" s="3" t="s">
        <v>723</v>
      </c>
      <c r="N32" s="4" t="s">
        <v>684</v>
      </c>
      <c r="O32" s="3" t="s">
        <v>1258</v>
      </c>
      <c r="P32" s="4" t="s">
        <v>1432</v>
      </c>
      <c r="Q32" s="3" t="s">
        <v>689</v>
      </c>
      <c r="R32" s="4" t="s">
        <v>1524</v>
      </c>
      <c r="S32" s="3" t="s">
        <v>262</v>
      </c>
      <c r="T32" s="4" t="s">
        <v>492</v>
      </c>
      <c r="U32" s="3" t="s">
        <v>723</v>
      </c>
      <c r="V32" s="4" t="s">
        <v>684</v>
      </c>
      <c r="W32" s="3" t="s">
        <v>689</v>
      </c>
      <c r="X32" s="4" t="s">
        <v>1775</v>
      </c>
      <c r="Y32" s="10">
        <v>2</v>
      </c>
      <c r="Z32" s="10">
        <v>2</v>
      </c>
      <c r="AA32" s="10">
        <v>2</v>
      </c>
      <c r="AB32" s="10">
        <v>1</v>
      </c>
      <c r="AC32" s="10">
        <v>2</v>
      </c>
      <c r="AD32" s="10">
        <v>1</v>
      </c>
      <c r="AE32" s="10">
        <v>2</v>
      </c>
      <c r="AF32" s="10">
        <v>1</v>
      </c>
      <c r="AG32" s="10">
        <v>1</v>
      </c>
      <c r="AH32" s="10">
        <v>2</v>
      </c>
      <c r="AI32" s="6">
        <f>SUM(Y32:AH32)</f>
        <v>16</v>
      </c>
      <c r="AJ32" s="6">
        <f>100-(AI32*(AI32/20))</f>
        <v>87.2</v>
      </c>
      <c r="AK32" s="18">
        <f>MAX(AJ21:AJ33)-(AJ32*(AJ32/MAX(AJ21:AJ33)))</f>
        <v>23.961600000000004</v>
      </c>
      <c r="AL32" s="3">
        <v>156</v>
      </c>
    </row>
    <row r="33" spans="1:44" x14ac:dyDescent="0.2">
      <c r="A33" s="3">
        <v>176</v>
      </c>
      <c r="B33" s="3" t="s">
        <v>199</v>
      </c>
      <c r="C33" s="3" t="s">
        <v>219</v>
      </c>
      <c r="D33" s="3" t="s">
        <v>1777</v>
      </c>
      <c r="E33" s="3" t="s">
        <v>666</v>
      </c>
      <c r="F33" s="4" t="s">
        <v>684</v>
      </c>
      <c r="G33" s="3" t="s">
        <v>1112</v>
      </c>
      <c r="H33" s="4" t="s">
        <v>684</v>
      </c>
      <c r="I33" s="3" t="s">
        <v>755</v>
      </c>
      <c r="J33" s="4" t="s">
        <v>932</v>
      </c>
      <c r="K33" s="3" t="s">
        <v>723</v>
      </c>
      <c r="L33" s="4" t="s">
        <v>1692</v>
      </c>
      <c r="M33" s="3" t="s">
        <v>723</v>
      </c>
      <c r="N33" s="4" t="s">
        <v>684</v>
      </c>
      <c r="O33" s="3" t="s">
        <v>1273</v>
      </c>
      <c r="P33" s="4" t="s">
        <v>1452</v>
      </c>
      <c r="Q33" s="3" t="s">
        <v>689</v>
      </c>
      <c r="R33" s="4" t="s">
        <v>1524</v>
      </c>
      <c r="S33" s="3" t="s">
        <v>262</v>
      </c>
      <c r="T33" s="4" t="s">
        <v>511</v>
      </c>
      <c r="U33" s="3" t="s">
        <v>723</v>
      </c>
      <c r="V33" s="4" t="s">
        <v>684</v>
      </c>
      <c r="W33" s="3" t="s">
        <v>1765</v>
      </c>
      <c r="X33" s="4" t="s">
        <v>1775</v>
      </c>
      <c r="Y33" s="10">
        <v>2</v>
      </c>
      <c r="Z33" s="10">
        <v>2</v>
      </c>
      <c r="AA33" s="10">
        <v>2</v>
      </c>
      <c r="AB33" s="10">
        <v>1</v>
      </c>
      <c r="AC33" s="10">
        <v>2</v>
      </c>
      <c r="AD33" s="10">
        <v>1</v>
      </c>
      <c r="AE33" s="10">
        <v>2</v>
      </c>
      <c r="AF33" s="10">
        <v>1</v>
      </c>
      <c r="AG33" s="10">
        <v>1</v>
      </c>
      <c r="AH33" s="10">
        <v>2</v>
      </c>
      <c r="AI33" s="6">
        <f>SUM(Y33:AH33)</f>
        <v>16</v>
      </c>
      <c r="AJ33" s="6">
        <f>100-(AI33*(AI33/20))</f>
        <v>87.2</v>
      </c>
      <c r="AK33" s="18">
        <f>MAX(AJ21:AJ33)-(AJ33*(AJ33/MAX(AJ21:AJ33)))</f>
        <v>23.961600000000004</v>
      </c>
      <c r="AL33" s="3">
        <v>176</v>
      </c>
    </row>
    <row r="34" spans="1:44" x14ac:dyDescent="0.2">
      <c r="A34" s="6">
        <v>50</v>
      </c>
      <c r="B34" s="6" t="s">
        <v>73</v>
      </c>
      <c r="C34" s="6" t="s">
        <v>219</v>
      </c>
      <c r="D34" s="6" t="s">
        <v>2161</v>
      </c>
      <c r="E34" s="6" t="s">
        <v>576</v>
      </c>
      <c r="F34" s="7" t="s">
        <v>684</v>
      </c>
      <c r="G34" s="6" t="s">
        <v>1030</v>
      </c>
      <c r="H34" s="7" t="s">
        <v>684</v>
      </c>
      <c r="I34" s="6" t="s">
        <v>723</v>
      </c>
      <c r="J34" s="7" t="s">
        <v>807</v>
      </c>
      <c r="K34" s="6" t="s">
        <v>723</v>
      </c>
      <c r="L34" s="7" t="s">
        <v>807</v>
      </c>
      <c r="M34" s="6" t="s">
        <v>723</v>
      </c>
      <c r="N34" s="7" t="s">
        <v>684</v>
      </c>
      <c r="O34" s="6" t="s">
        <v>1152</v>
      </c>
      <c r="P34" s="7" t="s">
        <v>1327</v>
      </c>
      <c r="Q34" s="6" t="s">
        <v>1491</v>
      </c>
      <c r="R34" s="7" t="s">
        <v>1524</v>
      </c>
      <c r="S34" s="6" t="s">
        <v>257</v>
      </c>
      <c r="T34" s="7" t="s">
        <v>390</v>
      </c>
      <c r="U34" s="6" t="s">
        <v>723</v>
      </c>
      <c r="V34" s="7" t="s">
        <v>684</v>
      </c>
      <c r="W34" s="6" t="s">
        <v>1711</v>
      </c>
      <c r="X34" s="7" t="s">
        <v>1776</v>
      </c>
      <c r="AI34" s="6">
        <f>SUM(Y34:AH34)</f>
        <v>0</v>
      </c>
      <c r="AJ34" s="6">
        <f>100-(AI34*(AI34/20))</f>
        <v>100</v>
      </c>
      <c r="AK34" s="18">
        <f>100-(AJ34*(AJ34/MAX(AJ19:AJ34)))</f>
        <v>0</v>
      </c>
      <c r="AL34" s="6">
        <v>50</v>
      </c>
    </row>
    <row r="35" spans="1:44" x14ac:dyDescent="0.2">
      <c r="A35" s="6">
        <v>57</v>
      </c>
      <c r="B35" s="6" t="s">
        <v>80</v>
      </c>
      <c r="C35" s="6" t="s">
        <v>219</v>
      </c>
      <c r="D35" s="6" t="s">
        <v>2161</v>
      </c>
      <c r="E35" s="6" t="s">
        <v>262</v>
      </c>
      <c r="F35" s="7" t="s">
        <v>684</v>
      </c>
      <c r="G35" s="6" t="s">
        <v>262</v>
      </c>
      <c r="H35" s="7" t="s">
        <v>684</v>
      </c>
      <c r="I35" s="6" t="s">
        <v>723</v>
      </c>
      <c r="J35" s="7" t="s">
        <v>814</v>
      </c>
      <c r="K35" s="6" t="s">
        <v>723</v>
      </c>
      <c r="L35" s="7" t="s">
        <v>814</v>
      </c>
      <c r="M35" s="6" t="s">
        <v>723</v>
      </c>
      <c r="N35" s="7" t="s">
        <v>684</v>
      </c>
      <c r="O35" s="6" t="s">
        <v>1152</v>
      </c>
      <c r="P35" s="7" t="s">
        <v>1334</v>
      </c>
      <c r="Q35" s="6" t="s">
        <v>1497</v>
      </c>
      <c r="R35" s="7" t="s">
        <v>1524</v>
      </c>
      <c r="S35" s="6" t="s">
        <v>257</v>
      </c>
      <c r="T35" s="7" t="s">
        <v>397</v>
      </c>
      <c r="U35" s="6" t="s">
        <v>723</v>
      </c>
      <c r="V35" s="7" t="s">
        <v>684</v>
      </c>
      <c r="W35" s="6" t="s">
        <v>1729</v>
      </c>
      <c r="X35" s="7" t="s">
        <v>1776</v>
      </c>
      <c r="AI35" s="6">
        <f>SUM(Y35:AH35)</f>
        <v>0</v>
      </c>
      <c r="AJ35" s="6">
        <f>100-(AI35*(AI35/20))</f>
        <v>100</v>
      </c>
      <c r="AK35" s="18">
        <f>100-(AJ35*(AJ35/MAX(AJ20:AJ35)))</f>
        <v>0</v>
      </c>
      <c r="AL35" s="6">
        <v>57</v>
      </c>
    </row>
    <row r="36" spans="1:44" x14ac:dyDescent="0.2">
      <c r="A36" s="6">
        <v>60</v>
      </c>
      <c r="B36" s="6" t="s">
        <v>83</v>
      </c>
      <c r="C36" s="6" t="s">
        <v>219</v>
      </c>
      <c r="D36" s="6" t="s">
        <v>2161</v>
      </c>
      <c r="E36" s="6" t="s">
        <v>583</v>
      </c>
      <c r="F36" s="7" t="s">
        <v>684</v>
      </c>
      <c r="G36" s="6" t="s">
        <v>1038</v>
      </c>
      <c r="H36" s="7" t="s">
        <v>684</v>
      </c>
      <c r="I36" s="6" t="s">
        <v>730</v>
      </c>
      <c r="J36" s="7" t="s">
        <v>816</v>
      </c>
      <c r="K36" s="6" t="s">
        <v>723</v>
      </c>
      <c r="L36" s="7" t="s">
        <v>1628</v>
      </c>
      <c r="M36" s="6" t="s">
        <v>723</v>
      </c>
      <c r="N36" s="7" t="s">
        <v>684</v>
      </c>
      <c r="O36" s="6" t="s">
        <v>1152</v>
      </c>
      <c r="P36" s="7" t="s">
        <v>1336</v>
      </c>
      <c r="Q36" s="6" t="s">
        <v>1498</v>
      </c>
      <c r="R36" s="7" t="s">
        <v>1524</v>
      </c>
      <c r="S36" s="6" t="s">
        <v>264</v>
      </c>
      <c r="T36" s="7" t="s">
        <v>399</v>
      </c>
      <c r="U36" s="6" t="s">
        <v>723</v>
      </c>
      <c r="V36" s="7" t="s">
        <v>684</v>
      </c>
      <c r="W36" s="6" t="s">
        <v>1731</v>
      </c>
      <c r="X36" s="7" t="s">
        <v>1776</v>
      </c>
      <c r="AI36" s="6">
        <f>SUM(Y36:AH36)</f>
        <v>0</v>
      </c>
      <c r="AJ36" s="6">
        <f>100-(AI36*(AI36/20))</f>
        <v>100</v>
      </c>
      <c r="AK36" s="18">
        <f>100-(AJ36*(AJ36/MAX(AJ21:AJ36)))</f>
        <v>0</v>
      </c>
      <c r="AL36" s="6">
        <v>60</v>
      </c>
    </row>
    <row r="37" spans="1:44" x14ac:dyDescent="0.2">
      <c r="A37" s="6">
        <v>161</v>
      </c>
      <c r="B37" s="6" t="s">
        <v>184</v>
      </c>
      <c r="C37" s="6" t="s">
        <v>219</v>
      </c>
      <c r="D37" s="6" t="s">
        <v>2161</v>
      </c>
      <c r="E37" s="6" t="s">
        <v>262</v>
      </c>
      <c r="F37" s="7" t="s">
        <v>684</v>
      </c>
      <c r="G37" s="6" t="s">
        <v>262</v>
      </c>
      <c r="H37" s="7" t="s">
        <v>684</v>
      </c>
      <c r="I37" s="6" t="s">
        <v>723</v>
      </c>
      <c r="J37" s="7" t="s">
        <v>917</v>
      </c>
      <c r="K37" s="6" t="s">
        <v>723</v>
      </c>
      <c r="L37" s="7" t="s">
        <v>917</v>
      </c>
      <c r="M37" s="6" t="s">
        <v>723</v>
      </c>
      <c r="N37" s="7" t="s">
        <v>684</v>
      </c>
      <c r="O37" s="6" t="s">
        <v>1261</v>
      </c>
      <c r="P37" s="7" t="s">
        <v>1437</v>
      </c>
      <c r="Q37" s="6" t="s">
        <v>689</v>
      </c>
      <c r="R37" s="7" t="s">
        <v>1524</v>
      </c>
      <c r="S37" s="6" t="s">
        <v>262</v>
      </c>
      <c r="T37" s="7" t="s">
        <v>497</v>
      </c>
      <c r="U37" s="6" t="s">
        <v>723</v>
      </c>
      <c r="V37" s="7" t="s">
        <v>684</v>
      </c>
      <c r="W37" s="6" t="s">
        <v>1763</v>
      </c>
      <c r="X37" s="7" t="s">
        <v>1775</v>
      </c>
      <c r="AI37" s="6">
        <f>SUM(Y37:AH37)</f>
        <v>0</v>
      </c>
      <c r="AJ37" s="6">
        <f>100-(AI37*(AI37/20))</f>
        <v>100</v>
      </c>
      <c r="AK37" s="18">
        <f>100-(AJ37*(AJ37/MAX(AJ22:AJ37)))</f>
        <v>0</v>
      </c>
      <c r="AL37" s="6">
        <v>161</v>
      </c>
    </row>
    <row r="38" spans="1:44" x14ac:dyDescent="0.2">
      <c r="A38" s="6">
        <v>163</v>
      </c>
      <c r="B38" s="6" t="s">
        <v>186</v>
      </c>
      <c r="C38" s="6" t="s">
        <v>219</v>
      </c>
      <c r="D38" s="6" t="s">
        <v>2161</v>
      </c>
      <c r="E38" s="6" t="s">
        <v>262</v>
      </c>
      <c r="F38" s="7" t="s">
        <v>684</v>
      </c>
      <c r="G38" s="6" t="s">
        <v>262</v>
      </c>
      <c r="H38" s="7" t="s">
        <v>684</v>
      </c>
      <c r="I38" s="6" t="s">
        <v>723</v>
      </c>
      <c r="J38" s="7" t="s">
        <v>919</v>
      </c>
      <c r="K38" s="6" t="s">
        <v>723</v>
      </c>
      <c r="L38" s="7" t="s">
        <v>919</v>
      </c>
      <c r="M38" s="6" t="s">
        <v>723</v>
      </c>
      <c r="N38" s="7" t="s">
        <v>684</v>
      </c>
      <c r="O38" s="6" t="s">
        <v>1152</v>
      </c>
      <c r="P38" s="7" t="s">
        <v>1439</v>
      </c>
      <c r="Q38" s="6" t="s">
        <v>689</v>
      </c>
      <c r="R38" s="7" t="s">
        <v>1524</v>
      </c>
      <c r="S38" s="6" t="s">
        <v>262</v>
      </c>
      <c r="T38" s="7" t="s">
        <v>499</v>
      </c>
      <c r="U38" s="6" t="s">
        <v>723</v>
      </c>
      <c r="V38" s="7" t="s">
        <v>684</v>
      </c>
      <c r="W38" s="6" t="s">
        <v>689</v>
      </c>
      <c r="X38" s="7" t="s">
        <v>1775</v>
      </c>
      <c r="AI38" s="6">
        <f>SUM(Y38:AH38)</f>
        <v>0</v>
      </c>
      <c r="AJ38" s="6">
        <f>100-(AI38*(AI38/20))</f>
        <v>100</v>
      </c>
      <c r="AK38" s="18">
        <f>100-(AJ38*(AJ38/MAX(AJ23:AJ38)))</f>
        <v>0</v>
      </c>
      <c r="AL38" s="6">
        <v>163</v>
      </c>
    </row>
    <row r="39" spans="1:44" x14ac:dyDescent="0.2">
      <c r="A39" s="6">
        <v>167</v>
      </c>
      <c r="B39" s="6" t="s">
        <v>190</v>
      </c>
      <c r="C39" s="6" t="s">
        <v>219</v>
      </c>
      <c r="D39" s="6" t="s">
        <v>2161</v>
      </c>
      <c r="E39" s="6" t="s">
        <v>663</v>
      </c>
      <c r="F39" s="7" t="s">
        <v>684</v>
      </c>
      <c r="G39" s="6" t="s">
        <v>262</v>
      </c>
      <c r="H39" s="7" t="s">
        <v>684</v>
      </c>
      <c r="I39" s="6" t="s">
        <v>723</v>
      </c>
      <c r="J39" s="7" t="s">
        <v>923</v>
      </c>
      <c r="K39" s="6" t="s">
        <v>723</v>
      </c>
      <c r="L39" s="7" t="s">
        <v>923</v>
      </c>
      <c r="M39" s="6" t="s">
        <v>723</v>
      </c>
      <c r="N39" s="7" t="s">
        <v>684</v>
      </c>
      <c r="O39" s="6" t="s">
        <v>1266</v>
      </c>
      <c r="P39" s="7" t="s">
        <v>1443</v>
      </c>
      <c r="Q39" s="6" t="s">
        <v>689</v>
      </c>
      <c r="R39" s="7" t="s">
        <v>1524</v>
      </c>
      <c r="S39" s="6" t="s">
        <v>262</v>
      </c>
      <c r="T39" s="7" t="s">
        <v>502</v>
      </c>
      <c r="U39" s="6" t="s">
        <v>723</v>
      </c>
      <c r="V39" s="7" t="s">
        <v>684</v>
      </c>
      <c r="W39" s="6" t="s">
        <v>1766</v>
      </c>
      <c r="X39" s="7" t="s">
        <v>1776</v>
      </c>
      <c r="AI39" s="6">
        <f>SUM(Y39:AH39)</f>
        <v>0</v>
      </c>
      <c r="AJ39" s="6">
        <f>100-(AI39*(AI39/20))</f>
        <v>100</v>
      </c>
      <c r="AK39" s="18">
        <f>100-(AJ39*(AJ39/MAX(AJ24:AJ39)))</f>
        <v>0</v>
      </c>
      <c r="AL39" s="6">
        <v>167</v>
      </c>
    </row>
    <row r="40" spans="1:44" x14ac:dyDescent="0.2">
      <c r="A40" s="1">
        <v>6</v>
      </c>
      <c r="B40" s="1" t="s">
        <v>29</v>
      </c>
      <c r="C40" s="1" t="s">
        <v>219</v>
      </c>
      <c r="D40" s="1" t="s">
        <v>220</v>
      </c>
      <c r="E40" s="1" t="s">
        <v>533</v>
      </c>
      <c r="F40" s="2" t="s">
        <v>684</v>
      </c>
      <c r="G40" s="1" t="s">
        <v>990</v>
      </c>
      <c r="H40" s="2" t="s">
        <v>684</v>
      </c>
      <c r="I40" s="1" t="s">
        <v>689</v>
      </c>
      <c r="J40" s="2" t="s">
        <v>764</v>
      </c>
      <c r="K40" s="1" t="s">
        <v>755</v>
      </c>
      <c r="L40" s="2" t="s">
        <v>1580</v>
      </c>
      <c r="M40" s="1" t="s">
        <v>956</v>
      </c>
      <c r="N40" s="2" t="s">
        <v>684</v>
      </c>
      <c r="O40" s="1" t="s">
        <v>1145</v>
      </c>
      <c r="P40" s="2" t="s">
        <v>1284</v>
      </c>
      <c r="Q40" s="1" t="s">
        <v>1936</v>
      </c>
      <c r="R40" s="2" t="s">
        <v>1524</v>
      </c>
      <c r="S40" s="1" t="s">
        <v>225</v>
      </c>
      <c r="T40" s="2" t="s">
        <v>349</v>
      </c>
      <c r="U40" s="1" t="s">
        <v>723</v>
      </c>
      <c r="V40" s="2" t="s">
        <v>684</v>
      </c>
      <c r="W40" s="1" t="s">
        <v>1931</v>
      </c>
      <c r="X40" s="2" t="s">
        <v>1775</v>
      </c>
      <c r="Y40" s="10">
        <v>2</v>
      </c>
      <c r="Z40" s="10">
        <v>2</v>
      </c>
      <c r="AA40" s="10">
        <v>2</v>
      </c>
      <c r="AB40" s="10">
        <v>1</v>
      </c>
      <c r="AC40" s="10">
        <v>2</v>
      </c>
      <c r="AD40" s="10">
        <v>1</v>
      </c>
      <c r="AE40" s="10">
        <v>2</v>
      </c>
      <c r="AF40" s="10">
        <v>1</v>
      </c>
      <c r="AG40" s="10">
        <v>1</v>
      </c>
      <c r="AH40" s="10">
        <v>2</v>
      </c>
      <c r="AI40" s="6">
        <f>SUM(Y40:AH40)</f>
        <v>16</v>
      </c>
      <c r="AJ40" s="6">
        <f>100-(AI40*(AI40/20))</f>
        <v>87.2</v>
      </c>
      <c r="AK40" s="18">
        <f>(AP40+1)-((((AI40-AN40)*AR40)/AO40)+AQ40)</f>
        <v>3.7272727272727266</v>
      </c>
      <c r="AL40" s="1">
        <v>6</v>
      </c>
      <c r="AM40" s="6">
        <f>MAX(AI40:AI55)</f>
        <v>18</v>
      </c>
      <c r="AN40" s="6">
        <f>MIN(AI40:AI55)</f>
        <v>7</v>
      </c>
      <c r="AO40" s="6">
        <f>AM40-AN40</f>
        <v>11</v>
      </c>
      <c r="AP40" s="6">
        <f>COUNT(AJ40:AJ55)</f>
        <v>16</v>
      </c>
      <c r="AQ40" s="6">
        <v>1</v>
      </c>
      <c r="AR40" s="6">
        <f>AP40-AQ40</f>
        <v>15</v>
      </c>
    </row>
    <row r="41" spans="1:44" x14ac:dyDescent="0.2">
      <c r="A41" s="1">
        <v>24</v>
      </c>
      <c r="B41" s="1" t="s">
        <v>47</v>
      </c>
      <c r="C41" s="1" t="s">
        <v>219</v>
      </c>
      <c r="D41" s="1" t="s">
        <v>220</v>
      </c>
      <c r="E41" s="1" t="s">
        <v>1790</v>
      </c>
      <c r="F41" s="2" t="s">
        <v>1791</v>
      </c>
      <c r="G41" s="1" t="s">
        <v>1796</v>
      </c>
      <c r="H41" s="2" t="s">
        <v>1795</v>
      </c>
      <c r="I41" s="1" t="s">
        <v>1792</v>
      </c>
      <c r="J41" s="2" t="s">
        <v>1793</v>
      </c>
      <c r="K41" s="1" t="s">
        <v>1801</v>
      </c>
      <c r="L41" s="2" t="s">
        <v>1802</v>
      </c>
      <c r="M41" s="1" t="s">
        <v>1794</v>
      </c>
      <c r="N41" s="2" t="s">
        <v>1795</v>
      </c>
      <c r="O41" s="1" t="s">
        <v>1798</v>
      </c>
      <c r="P41" s="2" t="s">
        <v>1799</v>
      </c>
      <c r="Q41" s="1" t="s">
        <v>1937</v>
      </c>
      <c r="R41" s="2" t="s">
        <v>1800</v>
      </c>
      <c r="S41" s="1" t="s">
        <v>1788</v>
      </c>
      <c r="T41" s="2" t="s">
        <v>1789</v>
      </c>
      <c r="U41" s="1" t="s">
        <v>1797</v>
      </c>
      <c r="V41" s="2" t="s">
        <v>1795</v>
      </c>
      <c r="W41" s="1" t="s">
        <v>1932</v>
      </c>
      <c r="X41" s="2" t="s">
        <v>1803</v>
      </c>
      <c r="Y41" s="10">
        <v>2</v>
      </c>
      <c r="Z41" s="10">
        <v>2</v>
      </c>
      <c r="AA41" s="10">
        <v>2</v>
      </c>
      <c r="AB41" s="10">
        <v>1</v>
      </c>
      <c r="AC41" s="10">
        <v>2</v>
      </c>
      <c r="AD41" s="10">
        <v>2</v>
      </c>
      <c r="AE41" s="10">
        <v>2</v>
      </c>
      <c r="AF41" s="10">
        <v>1</v>
      </c>
      <c r="AG41" s="10">
        <v>1</v>
      </c>
      <c r="AH41" s="10">
        <v>0</v>
      </c>
      <c r="AI41" s="6">
        <f>SUM(Y41:AH41)</f>
        <v>15</v>
      </c>
      <c r="AJ41" s="6">
        <f>100-(AI41*(AI41/20))</f>
        <v>88.75</v>
      </c>
      <c r="AK41" s="18">
        <f>(AP41+1)-((((AI41-AN41)*AR41)/AO41)+AQ41)</f>
        <v>5.0909090909090917</v>
      </c>
      <c r="AL41" s="1">
        <v>24</v>
      </c>
      <c r="AM41" s="6">
        <v>18</v>
      </c>
      <c r="AN41" s="6">
        <v>7</v>
      </c>
      <c r="AO41" s="6">
        <v>11</v>
      </c>
      <c r="AP41" s="6">
        <v>16</v>
      </c>
      <c r="AQ41" s="6">
        <v>1</v>
      </c>
      <c r="AR41" s="6">
        <v>15</v>
      </c>
    </row>
    <row r="42" spans="1:44" x14ac:dyDescent="0.2">
      <c r="A42" s="1">
        <v>39</v>
      </c>
      <c r="B42" s="1" t="s">
        <v>62</v>
      </c>
      <c r="C42" s="1" t="s">
        <v>219</v>
      </c>
      <c r="D42" s="1" t="s">
        <v>220</v>
      </c>
      <c r="E42" s="1" t="s">
        <v>1806</v>
      </c>
      <c r="F42" s="2" t="s">
        <v>1870</v>
      </c>
      <c r="G42" s="1" t="s">
        <v>1810</v>
      </c>
      <c r="H42" s="2" t="s">
        <v>1871</v>
      </c>
      <c r="I42" s="1" t="s">
        <v>1807</v>
      </c>
      <c r="J42" s="2" t="s">
        <v>1808</v>
      </c>
      <c r="K42" s="1" t="s">
        <v>1814</v>
      </c>
      <c r="L42" s="2" t="s">
        <v>1612</v>
      </c>
      <c r="M42" s="1" t="s">
        <v>1809</v>
      </c>
      <c r="N42" s="2" t="s">
        <v>1871</v>
      </c>
      <c r="O42" s="1" t="s">
        <v>1812</v>
      </c>
      <c r="P42" s="2" t="s">
        <v>1813</v>
      </c>
      <c r="Q42" s="1" t="s">
        <v>1938</v>
      </c>
      <c r="R42" s="2" t="s">
        <v>1813</v>
      </c>
      <c r="S42" s="1" t="s">
        <v>1804</v>
      </c>
      <c r="T42" s="2" t="s">
        <v>1805</v>
      </c>
      <c r="U42" s="1" t="s">
        <v>1811</v>
      </c>
      <c r="V42" s="2" t="s">
        <v>1871</v>
      </c>
      <c r="W42" s="1" t="s">
        <v>1933</v>
      </c>
      <c r="X42" s="2" t="s">
        <v>1775</v>
      </c>
      <c r="Y42" s="10">
        <v>2</v>
      </c>
      <c r="Z42" s="10">
        <v>2</v>
      </c>
      <c r="AA42" s="10">
        <v>1</v>
      </c>
      <c r="AB42" s="10">
        <v>1</v>
      </c>
      <c r="AC42" s="10">
        <v>2</v>
      </c>
      <c r="AD42" s="10">
        <v>1</v>
      </c>
      <c r="AE42" s="10">
        <v>0</v>
      </c>
      <c r="AF42" s="10">
        <v>0</v>
      </c>
      <c r="AG42" s="10">
        <v>0</v>
      </c>
      <c r="AH42" s="10">
        <v>2</v>
      </c>
      <c r="AI42" s="6">
        <f>SUM(Y42:AH42)</f>
        <v>11</v>
      </c>
      <c r="AJ42" s="6">
        <f>100-(AI42*(AI42/20))</f>
        <v>93.95</v>
      </c>
      <c r="AK42" s="18">
        <f>(AP42+1)-((((AI42-AN42)*AR42)/AO42)+AQ42)</f>
        <v>10.545454545454547</v>
      </c>
      <c r="AL42" s="1">
        <v>39</v>
      </c>
      <c r="AM42" s="6">
        <v>18</v>
      </c>
      <c r="AN42" s="6">
        <v>7</v>
      </c>
      <c r="AO42" s="6">
        <v>11</v>
      </c>
      <c r="AP42" s="6">
        <v>16</v>
      </c>
      <c r="AQ42" s="6">
        <v>1</v>
      </c>
      <c r="AR42" s="6">
        <v>15</v>
      </c>
    </row>
    <row r="43" spans="1:44" x14ac:dyDescent="0.2">
      <c r="A43" s="1">
        <v>48</v>
      </c>
      <c r="B43" s="1" t="s">
        <v>71</v>
      </c>
      <c r="C43" s="1" t="s">
        <v>219</v>
      </c>
      <c r="D43" s="1" t="s">
        <v>220</v>
      </c>
      <c r="E43" s="1" t="s">
        <v>574</v>
      </c>
      <c r="F43" s="2" t="s">
        <v>684</v>
      </c>
      <c r="G43" s="1" t="s">
        <v>1028</v>
      </c>
      <c r="H43" s="2" t="s">
        <v>684</v>
      </c>
      <c r="I43" s="1" t="s">
        <v>722</v>
      </c>
      <c r="J43" s="2" t="s">
        <v>805</v>
      </c>
      <c r="K43" s="1" t="s">
        <v>723</v>
      </c>
      <c r="L43" s="2" t="s">
        <v>1620</v>
      </c>
      <c r="M43" s="1" t="s">
        <v>723</v>
      </c>
      <c r="N43" s="2" t="s">
        <v>684</v>
      </c>
      <c r="O43" s="1" t="s">
        <v>1152</v>
      </c>
      <c r="P43" s="2" t="s">
        <v>1325</v>
      </c>
      <c r="Q43" s="1" t="s">
        <v>1939</v>
      </c>
      <c r="R43" s="2" t="s">
        <v>1524</v>
      </c>
      <c r="S43" s="1" t="s">
        <v>257</v>
      </c>
      <c r="T43" s="2" t="s">
        <v>365</v>
      </c>
      <c r="U43" s="1" t="s">
        <v>723</v>
      </c>
      <c r="V43" s="2" t="s">
        <v>684</v>
      </c>
      <c r="W43" s="1" t="s">
        <v>1934</v>
      </c>
      <c r="X43" s="2" t="s">
        <v>1776</v>
      </c>
      <c r="Y43" s="10">
        <v>2</v>
      </c>
      <c r="Z43" s="10">
        <v>2</v>
      </c>
      <c r="AA43" s="10">
        <v>1</v>
      </c>
      <c r="AB43" s="10">
        <v>1</v>
      </c>
      <c r="AC43" s="10">
        <v>2</v>
      </c>
      <c r="AD43" s="10">
        <v>1</v>
      </c>
      <c r="AE43" s="10">
        <v>0</v>
      </c>
      <c r="AF43" s="10">
        <v>0</v>
      </c>
      <c r="AG43" s="10">
        <v>0</v>
      </c>
      <c r="AH43" s="10">
        <v>2</v>
      </c>
      <c r="AI43" s="6">
        <f>SUM(Y43:AH43)</f>
        <v>11</v>
      </c>
      <c r="AJ43" s="6">
        <f>100-(AI43*(AI43/20))</f>
        <v>93.95</v>
      </c>
      <c r="AK43" s="18">
        <f>(AP43+1)-((((AI43-AN43)*AR43)/AO43)+AQ43)</f>
        <v>10.545454545454547</v>
      </c>
      <c r="AL43" s="1">
        <v>48</v>
      </c>
      <c r="AM43" s="6">
        <v>18</v>
      </c>
      <c r="AN43" s="6">
        <v>7</v>
      </c>
      <c r="AO43" s="6">
        <v>11</v>
      </c>
      <c r="AP43" s="6">
        <v>16</v>
      </c>
      <c r="AQ43" s="6">
        <v>1</v>
      </c>
      <c r="AR43" s="6">
        <v>15</v>
      </c>
    </row>
    <row r="44" spans="1:44" x14ac:dyDescent="0.2">
      <c r="A44" s="1">
        <v>59</v>
      </c>
      <c r="B44" s="1" t="s">
        <v>82</v>
      </c>
      <c r="C44" s="1" t="s">
        <v>219</v>
      </c>
      <c r="D44" s="1" t="s">
        <v>220</v>
      </c>
      <c r="E44" s="1" t="s">
        <v>1823</v>
      </c>
      <c r="F44" s="2" t="s">
        <v>1824</v>
      </c>
      <c r="G44" s="1" t="s">
        <v>1829</v>
      </c>
      <c r="H44" s="2" t="s">
        <v>1828</v>
      </c>
      <c r="I44" s="1" t="s">
        <v>1825</v>
      </c>
      <c r="J44" s="2" t="s">
        <v>1826</v>
      </c>
      <c r="K44" s="1" t="s">
        <v>1835</v>
      </c>
      <c r="L44" s="2" t="s">
        <v>1836</v>
      </c>
      <c r="M44" s="1" t="s">
        <v>1827</v>
      </c>
      <c r="N44" s="2" t="s">
        <v>1828</v>
      </c>
      <c r="O44" s="1" t="s">
        <v>1831</v>
      </c>
      <c r="P44" s="2" t="s">
        <v>1832</v>
      </c>
      <c r="Q44" s="1" t="s">
        <v>1940</v>
      </c>
      <c r="R44" s="2" t="s">
        <v>1834</v>
      </c>
      <c r="S44" s="1" t="s">
        <v>1821</v>
      </c>
      <c r="T44" s="2" t="s">
        <v>1822</v>
      </c>
      <c r="U44" s="1" t="s">
        <v>1830</v>
      </c>
      <c r="V44" s="2" t="s">
        <v>1828</v>
      </c>
      <c r="W44" s="1" t="s">
        <v>1935</v>
      </c>
      <c r="X44" s="2" t="s">
        <v>1775</v>
      </c>
      <c r="Y44" s="10">
        <v>2</v>
      </c>
      <c r="Z44" s="10">
        <v>1</v>
      </c>
      <c r="AA44" s="10">
        <v>2</v>
      </c>
      <c r="AB44" s="10">
        <v>1</v>
      </c>
      <c r="AC44" s="10">
        <v>1</v>
      </c>
      <c r="AD44" s="10">
        <v>1</v>
      </c>
      <c r="AE44" s="10">
        <v>0</v>
      </c>
      <c r="AF44" s="10">
        <v>0</v>
      </c>
      <c r="AG44" s="10">
        <v>0</v>
      </c>
      <c r="AH44" s="10">
        <v>2</v>
      </c>
      <c r="AI44" s="6">
        <f>SUM(Y44:AH44)</f>
        <v>10</v>
      </c>
      <c r="AJ44" s="6">
        <f>100-(AI44*(AI44/20))</f>
        <v>95</v>
      </c>
      <c r="AK44" s="18">
        <f>(AP44+1)-((((AI44-AN44)*AR44)/AO44)+AQ44)</f>
        <v>11.90909090909091</v>
      </c>
      <c r="AL44" s="1">
        <v>59</v>
      </c>
      <c r="AM44" s="6">
        <v>18</v>
      </c>
      <c r="AN44" s="6">
        <v>7</v>
      </c>
      <c r="AO44" s="6">
        <v>11</v>
      </c>
      <c r="AP44" s="6">
        <v>16</v>
      </c>
      <c r="AQ44" s="6">
        <v>1</v>
      </c>
      <c r="AR44" s="6">
        <v>15</v>
      </c>
    </row>
    <row r="45" spans="1:44" x14ac:dyDescent="0.2">
      <c r="A45" s="1">
        <v>97</v>
      </c>
      <c r="B45" s="1" t="s">
        <v>120</v>
      </c>
      <c r="C45" s="1" t="s">
        <v>219</v>
      </c>
      <c r="D45" s="1" t="s">
        <v>220</v>
      </c>
      <c r="E45" s="1" t="s">
        <v>1916</v>
      </c>
      <c r="F45" s="2" t="s">
        <v>1917</v>
      </c>
      <c r="G45" s="1" t="s">
        <v>1922</v>
      </c>
      <c r="H45" s="2" t="s">
        <v>1921</v>
      </c>
      <c r="I45" s="1" t="s">
        <v>1918</v>
      </c>
      <c r="J45" s="2" t="s">
        <v>1919</v>
      </c>
      <c r="K45" s="1" t="s">
        <v>1927</v>
      </c>
      <c r="L45" s="2" t="s">
        <v>1928</v>
      </c>
      <c r="M45" s="1" t="s">
        <v>1920</v>
      </c>
      <c r="N45" s="2" t="s">
        <v>1921</v>
      </c>
      <c r="O45" s="1" t="s">
        <v>1941</v>
      </c>
      <c r="P45" s="2" t="s">
        <v>1924</v>
      </c>
      <c r="Q45" s="1" t="s">
        <v>1925</v>
      </c>
      <c r="R45" s="2" t="s">
        <v>1926</v>
      </c>
      <c r="S45" s="1" t="s">
        <v>1914</v>
      </c>
      <c r="T45" s="2" t="s">
        <v>1915</v>
      </c>
      <c r="U45" s="1" t="s">
        <v>1923</v>
      </c>
      <c r="V45" s="2" t="s">
        <v>1921</v>
      </c>
      <c r="W45" s="1" t="s">
        <v>1929</v>
      </c>
      <c r="X45" s="2" t="s">
        <v>1930</v>
      </c>
      <c r="Y45" s="10">
        <v>2</v>
      </c>
      <c r="Z45" s="10">
        <v>1</v>
      </c>
      <c r="AA45" s="10">
        <v>2</v>
      </c>
      <c r="AB45" s="10">
        <v>2</v>
      </c>
      <c r="AC45" s="10">
        <v>2</v>
      </c>
      <c r="AD45" s="10">
        <v>0</v>
      </c>
      <c r="AE45" s="10">
        <v>0</v>
      </c>
      <c r="AF45" s="10">
        <v>1</v>
      </c>
      <c r="AG45" s="10">
        <v>0</v>
      </c>
      <c r="AH45" s="10">
        <v>0</v>
      </c>
      <c r="AI45" s="6">
        <f>SUM(Y45:AH45)</f>
        <v>10</v>
      </c>
      <c r="AJ45" s="6">
        <f>100-(AI45*(AI45/20))</f>
        <v>95</v>
      </c>
      <c r="AK45" s="18">
        <f>(AP45+1)-((((AI45-AN45)*AR45)/AO45)+AQ45)</f>
        <v>11.90909090909091</v>
      </c>
      <c r="AL45" s="1">
        <v>97</v>
      </c>
      <c r="AM45" s="6">
        <v>18</v>
      </c>
      <c r="AN45" s="6">
        <v>7</v>
      </c>
      <c r="AO45" s="6">
        <v>11</v>
      </c>
      <c r="AP45" s="6">
        <v>16</v>
      </c>
      <c r="AQ45" s="6">
        <v>1</v>
      </c>
      <c r="AR45" s="6">
        <v>15</v>
      </c>
    </row>
    <row r="46" spans="1:44" x14ac:dyDescent="0.2">
      <c r="A46" s="1">
        <v>103</v>
      </c>
      <c r="B46" s="1" t="s">
        <v>126</v>
      </c>
      <c r="C46" s="1" t="s">
        <v>219</v>
      </c>
      <c r="D46" s="1" t="s">
        <v>220</v>
      </c>
      <c r="E46" s="1" t="s">
        <v>1956</v>
      </c>
      <c r="F46" s="2" t="s">
        <v>1944</v>
      </c>
      <c r="G46" s="1" t="s">
        <v>1949</v>
      </c>
      <c r="H46" s="2" t="s">
        <v>1948</v>
      </c>
      <c r="I46" s="1" t="s">
        <v>1945</v>
      </c>
      <c r="J46" s="2" t="s">
        <v>1946</v>
      </c>
      <c r="K46" s="1" t="s">
        <v>1953</v>
      </c>
      <c r="L46" s="2" t="s">
        <v>859</v>
      </c>
      <c r="M46" s="1" t="s">
        <v>1947</v>
      </c>
      <c r="N46" s="2" t="s">
        <v>1948</v>
      </c>
      <c r="O46" s="1" t="s">
        <v>1957</v>
      </c>
      <c r="P46" s="2" t="s">
        <v>1951</v>
      </c>
      <c r="Q46" s="1" t="s">
        <v>1955</v>
      </c>
      <c r="R46" s="2" t="s">
        <v>1952</v>
      </c>
      <c r="S46" s="1" t="s">
        <v>1942</v>
      </c>
      <c r="T46" s="2" t="s">
        <v>1943</v>
      </c>
      <c r="U46" s="1" t="s">
        <v>1950</v>
      </c>
      <c r="V46" s="2" t="s">
        <v>1948</v>
      </c>
      <c r="W46" s="1" t="s">
        <v>1954</v>
      </c>
      <c r="X46" s="2" t="s">
        <v>1775</v>
      </c>
      <c r="Y46" s="10">
        <v>2</v>
      </c>
      <c r="Z46" s="10">
        <v>2</v>
      </c>
      <c r="AA46" s="10">
        <v>1</v>
      </c>
      <c r="AB46" s="10">
        <v>1</v>
      </c>
      <c r="AC46" s="10">
        <v>2</v>
      </c>
      <c r="AD46" s="10">
        <v>1</v>
      </c>
      <c r="AE46" s="10">
        <v>0</v>
      </c>
      <c r="AF46" s="10">
        <v>0</v>
      </c>
      <c r="AG46" s="10">
        <v>0</v>
      </c>
      <c r="AH46" s="10">
        <v>0</v>
      </c>
      <c r="AI46" s="6">
        <f>SUM(Y46:AH46)</f>
        <v>9</v>
      </c>
      <c r="AJ46" s="6">
        <f>100-(AI46*(AI46/20))</f>
        <v>95.95</v>
      </c>
      <c r="AK46" s="18">
        <f>(AP46+1)-((((AI46-AN46)*AR46)/AO46)+AQ46)</f>
        <v>13.272727272727273</v>
      </c>
      <c r="AL46" s="1">
        <v>103</v>
      </c>
      <c r="AM46" s="6">
        <v>18</v>
      </c>
      <c r="AN46" s="6">
        <v>7</v>
      </c>
      <c r="AO46" s="6">
        <v>11</v>
      </c>
      <c r="AP46" s="6">
        <v>16</v>
      </c>
      <c r="AQ46" s="6">
        <v>1</v>
      </c>
      <c r="AR46" s="6">
        <v>15</v>
      </c>
    </row>
    <row r="47" spans="1:44" x14ac:dyDescent="0.2">
      <c r="A47" s="1">
        <v>104</v>
      </c>
      <c r="B47" s="1" t="s">
        <v>127</v>
      </c>
      <c r="C47" s="1" t="s">
        <v>219</v>
      </c>
      <c r="D47" s="1" t="s">
        <v>220</v>
      </c>
      <c r="E47" s="1" t="s">
        <v>1959</v>
      </c>
      <c r="F47" s="2" t="s">
        <v>1960</v>
      </c>
      <c r="G47" s="1" t="s">
        <v>1965</v>
      </c>
      <c r="H47" s="2" t="s">
        <v>1964</v>
      </c>
      <c r="I47" s="1" t="s">
        <v>1961</v>
      </c>
      <c r="J47" s="2" t="s">
        <v>1962</v>
      </c>
      <c r="K47" s="1" t="s">
        <v>1971</v>
      </c>
      <c r="L47" s="2" t="s">
        <v>2074</v>
      </c>
      <c r="M47" s="1" t="s">
        <v>1963</v>
      </c>
      <c r="N47" s="2" t="s">
        <v>1964</v>
      </c>
      <c r="O47" s="1" t="s">
        <v>1967</v>
      </c>
      <c r="P47" s="2" t="s">
        <v>1968</v>
      </c>
      <c r="Q47" s="1" t="s">
        <v>1969</v>
      </c>
      <c r="R47" s="2" t="s">
        <v>1970</v>
      </c>
      <c r="S47" s="1" t="s">
        <v>1958</v>
      </c>
      <c r="T47" s="2" t="s">
        <v>2073</v>
      </c>
      <c r="U47" s="1" t="s">
        <v>1966</v>
      </c>
      <c r="V47" s="2" t="s">
        <v>1964</v>
      </c>
      <c r="W47" s="1" t="s">
        <v>1972</v>
      </c>
      <c r="X47" s="2" t="s">
        <v>1973</v>
      </c>
      <c r="Y47" s="10">
        <v>2</v>
      </c>
      <c r="Z47" s="10">
        <v>2</v>
      </c>
      <c r="AA47" s="10">
        <v>2</v>
      </c>
      <c r="AB47" s="10">
        <v>2</v>
      </c>
      <c r="AC47" s="10">
        <v>1</v>
      </c>
      <c r="AD47" s="10">
        <v>2</v>
      </c>
      <c r="AE47" s="10">
        <v>1</v>
      </c>
      <c r="AF47" s="10">
        <v>0</v>
      </c>
      <c r="AG47" s="10">
        <v>0</v>
      </c>
      <c r="AH47" s="10">
        <v>0</v>
      </c>
      <c r="AI47" s="6">
        <f>SUM(Y47:AH47)</f>
        <v>12</v>
      </c>
      <c r="AJ47" s="6">
        <f>100-(AI47*(AI47/20))</f>
        <v>92.8</v>
      </c>
      <c r="AK47" s="18">
        <f>(AP47+1)-((((AI47-AN47)*AR47)/AO47)+AQ47)</f>
        <v>9.1818181818181817</v>
      </c>
      <c r="AL47" s="1">
        <v>104</v>
      </c>
      <c r="AM47" s="6">
        <v>18</v>
      </c>
      <c r="AN47" s="6">
        <v>7</v>
      </c>
      <c r="AO47" s="6">
        <v>11</v>
      </c>
      <c r="AP47" s="6">
        <v>16</v>
      </c>
      <c r="AQ47" s="6">
        <v>1</v>
      </c>
      <c r="AR47" s="6">
        <v>15</v>
      </c>
    </row>
    <row r="48" spans="1:44" x14ac:dyDescent="0.2">
      <c r="A48" s="1">
        <v>111</v>
      </c>
      <c r="B48" s="1" t="s">
        <v>134</v>
      </c>
      <c r="C48" s="1" t="s">
        <v>219</v>
      </c>
      <c r="D48" s="1" t="s">
        <v>220</v>
      </c>
      <c r="E48" s="1" t="s">
        <v>1975</v>
      </c>
      <c r="F48" s="2" t="s">
        <v>1976</v>
      </c>
      <c r="G48" s="1" t="s">
        <v>1980</v>
      </c>
      <c r="H48" s="2" t="s">
        <v>1976</v>
      </c>
      <c r="I48" s="1" t="s">
        <v>1977</v>
      </c>
      <c r="J48" s="2" t="s">
        <v>1978</v>
      </c>
      <c r="K48" s="1" t="s">
        <v>2078</v>
      </c>
      <c r="L48" s="2" t="s">
        <v>2079</v>
      </c>
      <c r="M48" s="1" t="s">
        <v>1979</v>
      </c>
      <c r="N48" s="2" t="s">
        <v>1976</v>
      </c>
      <c r="O48" s="1" t="s">
        <v>1982</v>
      </c>
      <c r="P48" s="2" t="s">
        <v>2076</v>
      </c>
      <c r="Q48" s="1" t="s">
        <v>2077</v>
      </c>
      <c r="R48" s="2" t="s">
        <v>1983</v>
      </c>
      <c r="S48" s="1" t="s">
        <v>1974</v>
      </c>
      <c r="T48" s="2" t="s">
        <v>2075</v>
      </c>
      <c r="U48" s="1" t="s">
        <v>1981</v>
      </c>
      <c r="V48" s="2" t="s">
        <v>1976</v>
      </c>
      <c r="W48" s="1" t="s">
        <v>2080</v>
      </c>
      <c r="X48" s="2" t="s">
        <v>1984</v>
      </c>
      <c r="Y48" s="10">
        <v>2</v>
      </c>
      <c r="Z48" s="10">
        <v>2</v>
      </c>
      <c r="AA48" s="10">
        <v>2</v>
      </c>
      <c r="AB48" s="10">
        <v>2</v>
      </c>
      <c r="AC48" s="10">
        <v>2</v>
      </c>
      <c r="AD48" s="10">
        <v>2</v>
      </c>
      <c r="AE48" s="10">
        <v>2</v>
      </c>
      <c r="AF48" s="10">
        <v>2</v>
      </c>
      <c r="AG48" s="10">
        <v>2</v>
      </c>
      <c r="AH48" s="10">
        <v>0</v>
      </c>
      <c r="AI48" s="6">
        <f>SUM(Y48:AH48)</f>
        <v>18</v>
      </c>
      <c r="AJ48" s="6">
        <f>100-(AI48*(AI48/20))</f>
        <v>83.8</v>
      </c>
      <c r="AK48" s="18">
        <f>(AP48+1)-((((AI48-AN48)*AR48)/AO48)+AQ48)</f>
        <v>1</v>
      </c>
      <c r="AL48" s="1">
        <v>111</v>
      </c>
      <c r="AM48" s="6">
        <v>18</v>
      </c>
      <c r="AN48" s="6">
        <v>7</v>
      </c>
      <c r="AO48" s="6">
        <v>11</v>
      </c>
      <c r="AP48" s="6">
        <v>16</v>
      </c>
      <c r="AQ48" s="6">
        <v>1</v>
      </c>
      <c r="AR48" s="6">
        <v>15</v>
      </c>
    </row>
    <row r="49" spans="1:44" x14ac:dyDescent="0.2">
      <c r="A49" s="1">
        <v>118</v>
      </c>
      <c r="B49" s="1" t="s">
        <v>141</v>
      </c>
      <c r="C49" s="1" t="s">
        <v>219</v>
      </c>
      <c r="D49" s="1" t="s">
        <v>220</v>
      </c>
      <c r="E49" s="1" t="s">
        <v>1987</v>
      </c>
      <c r="F49" s="2" t="s">
        <v>1988</v>
      </c>
      <c r="G49" s="1" t="s">
        <v>1991</v>
      </c>
      <c r="H49" s="2" t="s">
        <v>1992</v>
      </c>
      <c r="I49" s="1" t="s">
        <v>1989</v>
      </c>
      <c r="J49" s="2" t="s">
        <v>2081</v>
      </c>
      <c r="K49" s="1" t="s">
        <v>2086</v>
      </c>
      <c r="L49" s="2" t="s">
        <v>1995</v>
      </c>
      <c r="M49" s="1" t="s">
        <v>1990</v>
      </c>
      <c r="N49" s="2" t="s">
        <v>2082</v>
      </c>
      <c r="O49" s="1" t="s">
        <v>1994</v>
      </c>
      <c r="P49" s="2" t="s">
        <v>2083</v>
      </c>
      <c r="Q49" s="1" t="s">
        <v>2084</v>
      </c>
      <c r="R49" s="2" t="s">
        <v>2085</v>
      </c>
      <c r="S49" s="1" t="s">
        <v>1985</v>
      </c>
      <c r="T49" s="2" t="s">
        <v>1986</v>
      </c>
      <c r="U49" s="1" t="s">
        <v>1993</v>
      </c>
      <c r="V49" s="2" t="s">
        <v>1992</v>
      </c>
      <c r="W49" s="1" t="s">
        <v>2087</v>
      </c>
      <c r="X49" s="2" t="s">
        <v>2088</v>
      </c>
      <c r="Y49" s="10">
        <v>0</v>
      </c>
      <c r="Z49" s="10">
        <v>0</v>
      </c>
      <c r="AA49" s="10">
        <v>2</v>
      </c>
      <c r="AB49" s="10">
        <v>0</v>
      </c>
      <c r="AC49" s="10">
        <v>1</v>
      </c>
      <c r="AD49" s="10">
        <v>0</v>
      </c>
      <c r="AE49" s="10">
        <v>2</v>
      </c>
      <c r="AF49" s="10">
        <v>1</v>
      </c>
      <c r="AG49" s="10">
        <v>1</v>
      </c>
      <c r="AH49" s="10">
        <v>0</v>
      </c>
      <c r="AI49" s="6">
        <f>SUM(Y49:AH49)</f>
        <v>7</v>
      </c>
      <c r="AJ49" s="6">
        <f>100-(AI49*(AI49/20))</f>
        <v>97.55</v>
      </c>
      <c r="AK49" s="18">
        <f>(AP49+1)-((((AI49-AN49)*AR49)/AO49)+AQ49)</f>
        <v>16</v>
      </c>
      <c r="AL49" s="1">
        <v>118</v>
      </c>
      <c r="AM49" s="6">
        <v>18</v>
      </c>
      <c r="AN49" s="6">
        <v>7</v>
      </c>
      <c r="AO49" s="6">
        <v>11</v>
      </c>
      <c r="AP49" s="6">
        <v>16</v>
      </c>
      <c r="AQ49" s="6">
        <v>1</v>
      </c>
      <c r="AR49" s="6">
        <v>15</v>
      </c>
    </row>
    <row r="50" spans="1:44" x14ac:dyDescent="0.2">
      <c r="A50" s="1">
        <v>120</v>
      </c>
      <c r="B50" s="1" t="s">
        <v>143</v>
      </c>
      <c r="C50" s="1" t="s">
        <v>219</v>
      </c>
      <c r="D50" s="1" t="s">
        <v>220</v>
      </c>
      <c r="E50" s="1" t="s">
        <v>1998</v>
      </c>
      <c r="F50" s="2" t="s">
        <v>1999</v>
      </c>
      <c r="G50" s="1" t="s">
        <v>2091</v>
      </c>
      <c r="H50" s="2" t="s">
        <v>2090</v>
      </c>
      <c r="I50" s="1" t="s">
        <v>2000</v>
      </c>
      <c r="J50" s="2" t="s">
        <v>2089</v>
      </c>
      <c r="K50" s="1" t="s">
        <v>2095</v>
      </c>
      <c r="L50" s="2" t="s">
        <v>2096</v>
      </c>
      <c r="M50" s="1" t="s">
        <v>2001</v>
      </c>
      <c r="N50" s="2" t="s">
        <v>2090</v>
      </c>
      <c r="O50" s="1" t="s">
        <v>2093</v>
      </c>
      <c r="P50" s="2" t="s">
        <v>2094</v>
      </c>
      <c r="Q50" s="1" t="s">
        <v>2002</v>
      </c>
      <c r="R50" s="2" t="s">
        <v>2003</v>
      </c>
      <c r="S50" s="1" t="s">
        <v>1996</v>
      </c>
      <c r="T50" s="2" t="s">
        <v>1997</v>
      </c>
      <c r="U50" s="1" t="s">
        <v>2092</v>
      </c>
      <c r="V50" s="2" t="s">
        <v>2090</v>
      </c>
      <c r="W50" s="1" t="s">
        <v>2004</v>
      </c>
      <c r="X50" s="2" t="s">
        <v>2097</v>
      </c>
      <c r="Y50" s="10">
        <v>0</v>
      </c>
      <c r="Z50" s="10">
        <v>1</v>
      </c>
      <c r="AA50" s="10">
        <v>2</v>
      </c>
      <c r="AB50" s="10">
        <v>2</v>
      </c>
      <c r="AC50" s="10">
        <v>2</v>
      </c>
      <c r="AD50" s="10">
        <v>2</v>
      </c>
      <c r="AE50" s="10">
        <v>2</v>
      </c>
      <c r="AF50" s="10">
        <v>1</v>
      </c>
      <c r="AG50" s="10">
        <v>1</v>
      </c>
      <c r="AH50" s="10">
        <v>2</v>
      </c>
      <c r="AI50" s="6">
        <f>SUM(Y50:AH50)</f>
        <v>15</v>
      </c>
      <c r="AJ50" s="6">
        <f>100-(AI50*(AI50/20))</f>
        <v>88.75</v>
      </c>
      <c r="AK50" s="18">
        <f>(AP50+1)-((((AI50-AN50)*AR50)/AO50)+AQ50)</f>
        <v>5.0909090909090917</v>
      </c>
      <c r="AL50" s="1">
        <v>120</v>
      </c>
      <c r="AM50" s="6">
        <v>18</v>
      </c>
      <c r="AN50" s="6">
        <v>7</v>
      </c>
      <c r="AO50" s="6">
        <v>11</v>
      </c>
      <c r="AP50" s="6">
        <v>16</v>
      </c>
      <c r="AQ50" s="6">
        <v>1</v>
      </c>
      <c r="AR50" s="6">
        <v>15</v>
      </c>
    </row>
    <row r="51" spans="1:44" x14ac:dyDescent="0.2">
      <c r="A51" s="1">
        <v>155</v>
      </c>
      <c r="B51" s="1" t="s">
        <v>178</v>
      </c>
      <c r="C51" s="1" t="s">
        <v>219</v>
      </c>
      <c r="D51" s="1" t="s">
        <v>220</v>
      </c>
      <c r="E51" s="1" t="s">
        <v>2099</v>
      </c>
      <c r="F51" s="2" t="s">
        <v>2100</v>
      </c>
      <c r="G51" s="1" t="s">
        <v>2010</v>
      </c>
      <c r="H51" s="2" t="s">
        <v>2011</v>
      </c>
      <c r="I51" s="1" t="s">
        <v>2006</v>
      </c>
      <c r="J51" s="2" t="s">
        <v>2007</v>
      </c>
      <c r="K51" s="1" t="s">
        <v>2103</v>
      </c>
      <c r="L51" s="2" t="s">
        <v>2104</v>
      </c>
      <c r="M51" s="1" t="s">
        <v>2008</v>
      </c>
      <c r="N51" s="2" t="s">
        <v>2009</v>
      </c>
      <c r="O51" s="1" t="s">
        <v>2012</v>
      </c>
      <c r="P51" s="2" t="s">
        <v>2013</v>
      </c>
      <c r="Q51" s="1" t="s">
        <v>2014</v>
      </c>
      <c r="R51" s="2" t="s">
        <v>2102</v>
      </c>
      <c r="S51" s="1" t="s">
        <v>2005</v>
      </c>
      <c r="T51" s="2" t="s">
        <v>2098</v>
      </c>
      <c r="U51" s="1" t="s">
        <v>2101</v>
      </c>
      <c r="V51" s="2" t="s">
        <v>2009</v>
      </c>
      <c r="W51" s="1" t="s">
        <v>2015</v>
      </c>
      <c r="X51" s="2" t="s">
        <v>2016</v>
      </c>
      <c r="Y51" s="10">
        <v>2</v>
      </c>
      <c r="Z51" s="10">
        <v>2</v>
      </c>
      <c r="AA51" s="10">
        <v>2</v>
      </c>
      <c r="AB51" s="10">
        <v>1</v>
      </c>
      <c r="AC51" s="10">
        <v>2</v>
      </c>
      <c r="AD51" s="10">
        <v>2</v>
      </c>
      <c r="AE51" s="10">
        <v>2</v>
      </c>
      <c r="AF51" s="10">
        <v>0</v>
      </c>
      <c r="AG51" s="10">
        <v>1</v>
      </c>
      <c r="AH51" s="10">
        <v>2</v>
      </c>
      <c r="AI51" s="6">
        <f>SUM(Y51:AH51)</f>
        <v>16</v>
      </c>
      <c r="AJ51" s="6">
        <f>100-(AI51*(AI51/20))</f>
        <v>87.2</v>
      </c>
      <c r="AK51" s="18">
        <f>(AP51+1)-((((AI51-AN51)*AR51)/AO51)+AQ51)</f>
        <v>3.7272727272727266</v>
      </c>
      <c r="AL51" s="1">
        <v>155</v>
      </c>
      <c r="AM51" s="6">
        <v>18</v>
      </c>
      <c r="AN51" s="6">
        <v>7</v>
      </c>
      <c r="AO51" s="6">
        <v>11</v>
      </c>
      <c r="AP51" s="6">
        <v>16</v>
      </c>
      <c r="AQ51" s="6">
        <v>1</v>
      </c>
      <c r="AR51" s="6">
        <v>15</v>
      </c>
    </row>
    <row r="52" spans="1:44" x14ac:dyDescent="0.2">
      <c r="A52" s="1">
        <v>162</v>
      </c>
      <c r="B52" s="1" t="s">
        <v>185</v>
      </c>
      <c r="C52" s="1" t="s">
        <v>219</v>
      </c>
      <c r="D52" s="1" t="s">
        <v>220</v>
      </c>
      <c r="E52" s="1" t="s">
        <v>2018</v>
      </c>
      <c r="F52" s="2" t="s">
        <v>2019</v>
      </c>
      <c r="G52" s="1" t="s">
        <v>2022</v>
      </c>
      <c r="H52" s="2" t="s">
        <v>2108</v>
      </c>
      <c r="I52" s="1" t="s">
        <v>2020</v>
      </c>
      <c r="J52" s="2" t="s">
        <v>2106</v>
      </c>
      <c r="K52" s="1" t="s">
        <v>2112</v>
      </c>
      <c r="L52" s="2" t="s">
        <v>2113</v>
      </c>
      <c r="M52" s="1" t="s">
        <v>2021</v>
      </c>
      <c r="N52" s="2" t="s">
        <v>2107</v>
      </c>
      <c r="O52" s="1" t="s">
        <v>2023</v>
      </c>
      <c r="P52" s="2" t="s">
        <v>2111</v>
      </c>
      <c r="Q52" s="1" t="s">
        <v>2024</v>
      </c>
      <c r="R52" s="2" t="s">
        <v>2025</v>
      </c>
      <c r="S52" s="1" t="s">
        <v>2017</v>
      </c>
      <c r="T52" s="2" t="s">
        <v>2105</v>
      </c>
      <c r="U52" s="1" t="s">
        <v>2109</v>
      </c>
      <c r="V52" s="2" t="s">
        <v>2110</v>
      </c>
      <c r="W52" s="1" t="s">
        <v>2026</v>
      </c>
      <c r="X52" s="2" t="s">
        <v>2027</v>
      </c>
      <c r="Y52" s="10">
        <v>2</v>
      </c>
      <c r="Z52" s="10">
        <v>2</v>
      </c>
      <c r="AA52" s="10">
        <v>2</v>
      </c>
      <c r="AB52" s="10">
        <v>2</v>
      </c>
      <c r="AC52" s="10">
        <v>2</v>
      </c>
      <c r="AD52" s="10">
        <v>1</v>
      </c>
      <c r="AE52" s="10">
        <v>2</v>
      </c>
      <c r="AF52" s="10">
        <v>1</v>
      </c>
      <c r="AG52" s="10">
        <v>2</v>
      </c>
      <c r="AH52" s="10">
        <v>2</v>
      </c>
      <c r="AI52" s="6">
        <f>SUM(Y52:AH52)</f>
        <v>18</v>
      </c>
      <c r="AJ52" s="6">
        <f>100-(AI52*(AI52/20))</f>
        <v>83.8</v>
      </c>
      <c r="AK52" s="18">
        <f>(AP52+1)-((((AI52-AN52)*AR52)/AO52)+AQ52)</f>
        <v>1</v>
      </c>
      <c r="AL52" s="1">
        <v>162</v>
      </c>
      <c r="AM52" s="6">
        <v>18</v>
      </c>
      <c r="AN52" s="6">
        <v>7</v>
      </c>
      <c r="AO52" s="6">
        <v>11</v>
      </c>
      <c r="AP52" s="6">
        <v>16</v>
      </c>
      <c r="AQ52" s="6">
        <v>1</v>
      </c>
      <c r="AR52" s="6">
        <v>15</v>
      </c>
    </row>
    <row r="53" spans="1:44" x14ac:dyDescent="0.2">
      <c r="A53" s="1">
        <v>173</v>
      </c>
      <c r="B53" s="1" t="s">
        <v>196</v>
      </c>
      <c r="C53" s="1" t="s">
        <v>219</v>
      </c>
      <c r="D53" s="1" t="s">
        <v>220</v>
      </c>
      <c r="E53" s="1" t="s">
        <v>2030</v>
      </c>
      <c r="F53" s="2" t="s">
        <v>2031</v>
      </c>
      <c r="G53" s="1" t="s">
        <v>2035</v>
      </c>
      <c r="H53" s="2" t="s">
        <v>2034</v>
      </c>
      <c r="I53" s="1" t="s">
        <v>2114</v>
      </c>
      <c r="J53" s="2" t="s">
        <v>2032</v>
      </c>
      <c r="K53" s="1" t="s">
        <v>2119</v>
      </c>
      <c r="L53" s="2" t="s">
        <v>2120</v>
      </c>
      <c r="M53" s="1" t="s">
        <v>2033</v>
      </c>
      <c r="N53" s="2" t="s">
        <v>2034</v>
      </c>
      <c r="O53" s="1" t="s">
        <v>2115</v>
      </c>
      <c r="P53" s="2" t="s">
        <v>2116</v>
      </c>
      <c r="Q53" s="1" t="s">
        <v>2117</v>
      </c>
      <c r="R53" s="2" t="s">
        <v>2118</v>
      </c>
      <c r="S53" s="1" t="s">
        <v>2028</v>
      </c>
      <c r="T53" s="2" t="s">
        <v>2029</v>
      </c>
      <c r="U53" s="1" t="s">
        <v>2036</v>
      </c>
      <c r="V53" s="2" t="s">
        <v>2037</v>
      </c>
      <c r="W53" s="1" t="s">
        <v>2038</v>
      </c>
      <c r="X53" s="2" t="s">
        <v>2121</v>
      </c>
      <c r="Y53" s="10">
        <v>2</v>
      </c>
      <c r="Z53" s="10">
        <v>1</v>
      </c>
      <c r="AA53" s="10">
        <v>2</v>
      </c>
      <c r="AB53" s="10">
        <v>1</v>
      </c>
      <c r="AC53" s="10">
        <v>2</v>
      </c>
      <c r="AD53" s="10">
        <v>2</v>
      </c>
      <c r="AE53" s="10">
        <v>0</v>
      </c>
      <c r="AF53" s="10">
        <v>1</v>
      </c>
      <c r="AG53" s="10">
        <v>0</v>
      </c>
      <c r="AH53" s="10">
        <v>0</v>
      </c>
      <c r="AI53" s="6">
        <f>SUM(Y53:AH53)</f>
        <v>11</v>
      </c>
      <c r="AJ53" s="6">
        <f>100-(AI53*(AI53/20))</f>
        <v>93.95</v>
      </c>
      <c r="AK53" s="18">
        <f>(AP53+1)-((((AI53-AN53)*AR53)/AO53)+AQ53)</f>
        <v>10.545454545454547</v>
      </c>
      <c r="AL53" s="1">
        <v>173</v>
      </c>
      <c r="AM53" s="6">
        <v>18</v>
      </c>
      <c r="AN53" s="6">
        <v>7</v>
      </c>
      <c r="AO53" s="6">
        <v>11</v>
      </c>
      <c r="AP53" s="6">
        <v>16</v>
      </c>
      <c r="AQ53" s="6">
        <v>1</v>
      </c>
      <c r="AR53" s="6">
        <v>15</v>
      </c>
    </row>
    <row r="54" spans="1:44" x14ac:dyDescent="0.2">
      <c r="A54" s="1">
        <v>194</v>
      </c>
      <c r="B54" s="1" t="s">
        <v>217</v>
      </c>
      <c r="C54" s="1" t="s">
        <v>219</v>
      </c>
      <c r="D54" s="1" t="s">
        <v>220</v>
      </c>
      <c r="E54" s="1" t="s">
        <v>2041</v>
      </c>
      <c r="F54" s="2" t="s">
        <v>2042</v>
      </c>
      <c r="G54" s="1" t="s">
        <v>2047</v>
      </c>
      <c r="H54" s="2" t="s">
        <v>2046</v>
      </c>
      <c r="I54" s="1" t="s">
        <v>2043</v>
      </c>
      <c r="J54" s="2" t="s">
        <v>2044</v>
      </c>
      <c r="K54" s="1" t="s">
        <v>2053</v>
      </c>
      <c r="L54" s="2" t="s">
        <v>2054</v>
      </c>
      <c r="M54" s="1" t="s">
        <v>2045</v>
      </c>
      <c r="N54" s="2" t="s">
        <v>2046</v>
      </c>
      <c r="O54" s="1" t="s">
        <v>2049</v>
      </c>
      <c r="P54" s="2" t="s">
        <v>2050</v>
      </c>
      <c r="Q54" s="1" t="s">
        <v>2051</v>
      </c>
      <c r="R54" s="2" t="s">
        <v>2052</v>
      </c>
      <c r="S54" s="1" t="s">
        <v>2039</v>
      </c>
      <c r="T54" s="2" t="s">
        <v>2040</v>
      </c>
      <c r="U54" s="1" t="s">
        <v>2048</v>
      </c>
      <c r="V54" s="2" t="s">
        <v>2046</v>
      </c>
      <c r="W54" s="1" t="s">
        <v>2055</v>
      </c>
      <c r="X54" s="2" t="s">
        <v>2122</v>
      </c>
      <c r="Y54" s="10">
        <v>2</v>
      </c>
      <c r="Z54" s="10">
        <v>1</v>
      </c>
      <c r="AA54" s="10">
        <v>2</v>
      </c>
      <c r="AB54" s="10">
        <v>1</v>
      </c>
      <c r="AC54" s="10">
        <v>2</v>
      </c>
      <c r="AD54" s="10">
        <v>2</v>
      </c>
      <c r="AE54" s="10">
        <v>0</v>
      </c>
      <c r="AF54" s="10">
        <v>1</v>
      </c>
      <c r="AG54" s="10">
        <v>0</v>
      </c>
      <c r="AH54" s="10">
        <v>0</v>
      </c>
      <c r="AI54" s="6">
        <f>SUM(Y54:AH54)</f>
        <v>11</v>
      </c>
      <c r="AJ54" s="6">
        <f>100-(AI54*(AI54/20))</f>
        <v>93.95</v>
      </c>
      <c r="AK54" s="18">
        <f>(AP54+1)-((((AI54-AN54)*AR54)/AO54)+AQ54)</f>
        <v>10.545454545454547</v>
      </c>
      <c r="AL54" s="1">
        <v>194</v>
      </c>
      <c r="AM54" s="6">
        <v>18</v>
      </c>
      <c r="AN54" s="6">
        <v>7</v>
      </c>
      <c r="AO54" s="6">
        <v>11</v>
      </c>
      <c r="AP54" s="6">
        <v>16</v>
      </c>
      <c r="AQ54" s="6">
        <v>1</v>
      </c>
      <c r="AR54" s="6">
        <v>15</v>
      </c>
    </row>
    <row r="55" spans="1:44" x14ac:dyDescent="0.2">
      <c r="A55" s="1">
        <v>195</v>
      </c>
      <c r="B55" s="1" t="s">
        <v>218</v>
      </c>
      <c r="C55" s="1" t="s">
        <v>219</v>
      </c>
      <c r="D55" s="1" t="s">
        <v>220</v>
      </c>
      <c r="E55" s="1" t="s">
        <v>2058</v>
      </c>
      <c r="F55" s="2" t="s">
        <v>2059</v>
      </c>
      <c r="G55" s="1" t="s">
        <v>2064</v>
      </c>
      <c r="H55" s="2" t="s">
        <v>2063</v>
      </c>
      <c r="I55" s="1" t="s">
        <v>2060</v>
      </c>
      <c r="J55" s="2" t="s">
        <v>2061</v>
      </c>
      <c r="K55" s="1" t="s">
        <v>2070</v>
      </c>
      <c r="L55" s="2" t="s">
        <v>2071</v>
      </c>
      <c r="M55" s="1" t="s">
        <v>2062</v>
      </c>
      <c r="N55" s="2" t="s">
        <v>2063</v>
      </c>
      <c r="O55" s="1" t="s">
        <v>2066</v>
      </c>
      <c r="P55" s="2" t="s">
        <v>2067</v>
      </c>
      <c r="Q55" s="1" t="s">
        <v>2068</v>
      </c>
      <c r="R55" s="2" t="s">
        <v>2069</v>
      </c>
      <c r="S55" s="1" t="s">
        <v>2056</v>
      </c>
      <c r="T55" s="2" t="s">
        <v>2057</v>
      </c>
      <c r="U55" s="1" t="s">
        <v>2065</v>
      </c>
      <c r="V55" s="2" t="s">
        <v>2063</v>
      </c>
      <c r="W55" s="1" t="s">
        <v>2123</v>
      </c>
      <c r="X55" s="2" t="s">
        <v>2072</v>
      </c>
      <c r="Y55" s="10">
        <v>2</v>
      </c>
      <c r="Z55" s="10">
        <v>1</v>
      </c>
      <c r="AA55" s="10">
        <v>2</v>
      </c>
      <c r="AB55" s="10">
        <v>2</v>
      </c>
      <c r="AC55" s="10">
        <v>2</v>
      </c>
      <c r="AD55" s="10">
        <v>2</v>
      </c>
      <c r="AE55" s="10">
        <v>0</v>
      </c>
      <c r="AF55" s="10">
        <v>1</v>
      </c>
      <c r="AG55" s="10">
        <v>0</v>
      </c>
      <c r="AH55" s="10">
        <v>0</v>
      </c>
      <c r="AI55" s="6">
        <f>SUM(Y55:AH55)</f>
        <v>12</v>
      </c>
      <c r="AJ55" s="6">
        <f>100-(AI55*(AI55/20))</f>
        <v>92.8</v>
      </c>
      <c r="AK55" s="18">
        <f>(AP55+1)-((((AI55-AN55)*AR55)/AO55)+AQ55)</f>
        <v>9.1818181818181817</v>
      </c>
      <c r="AL55" s="1">
        <v>195</v>
      </c>
      <c r="AM55" s="6">
        <v>18</v>
      </c>
      <c r="AN55" s="6">
        <v>7</v>
      </c>
      <c r="AO55" s="6">
        <v>11</v>
      </c>
      <c r="AP55" s="6">
        <v>16</v>
      </c>
      <c r="AQ55" s="6">
        <v>1</v>
      </c>
      <c r="AR55" s="6">
        <v>15</v>
      </c>
    </row>
    <row r="56" spans="1:44" x14ac:dyDescent="0.2">
      <c r="A56" s="6">
        <v>22</v>
      </c>
      <c r="B56" s="6" t="s">
        <v>45</v>
      </c>
      <c r="C56" s="6" t="s">
        <v>2145</v>
      </c>
      <c r="D56" s="6" t="s">
        <v>2153</v>
      </c>
      <c r="E56" s="6" t="s">
        <v>549</v>
      </c>
      <c r="F56" s="7" t="s">
        <v>684</v>
      </c>
      <c r="G56" s="6" t="s">
        <v>1006</v>
      </c>
      <c r="H56" s="7" t="s">
        <v>684</v>
      </c>
      <c r="I56" s="6" t="s">
        <v>704</v>
      </c>
      <c r="J56" s="7" t="s">
        <v>780</v>
      </c>
      <c r="K56" s="6" t="s">
        <v>723</v>
      </c>
      <c r="L56" s="7" t="s">
        <v>1596</v>
      </c>
      <c r="M56" s="6" t="s">
        <v>723</v>
      </c>
      <c r="N56" s="7" t="s">
        <v>684</v>
      </c>
      <c r="O56" s="6" t="s">
        <v>1159</v>
      </c>
      <c r="P56" s="7" t="s">
        <v>1300</v>
      </c>
      <c r="Q56" s="6" t="s">
        <v>1476</v>
      </c>
      <c r="R56" s="7" t="s">
        <v>1524</v>
      </c>
      <c r="S56" s="6" t="s">
        <v>240</v>
      </c>
      <c r="T56" s="7" t="s">
        <v>365</v>
      </c>
      <c r="U56" s="6" t="s">
        <v>723</v>
      </c>
      <c r="V56" s="7" t="s">
        <v>684</v>
      </c>
      <c r="W56" s="6" t="s">
        <v>1716</v>
      </c>
      <c r="X56" s="7" t="s">
        <v>1776</v>
      </c>
      <c r="AI56" s="6">
        <f>SUM(Y56:AH56)</f>
        <v>0</v>
      </c>
      <c r="AJ56" s="6">
        <f>100-(AI56*(AI56/20))</f>
        <v>100</v>
      </c>
      <c r="AK56" s="18">
        <f>100-(AJ56*(AJ56/MAX(AJ49:AJ56)))</f>
        <v>0</v>
      </c>
      <c r="AL56" s="6">
        <v>22</v>
      </c>
    </row>
    <row r="57" spans="1:44" x14ac:dyDescent="0.2">
      <c r="A57" s="6">
        <v>53</v>
      </c>
      <c r="B57" s="6" t="s">
        <v>76</v>
      </c>
      <c r="C57" s="6" t="s">
        <v>2145</v>
      </c>
      <c r="D57" s="6" t="s">
        <v>2153</v>
      </c>
      <c r="E57" s="6" t="s">
        <v>579</v>
      </c>
      <c r="F57" s="7" t="s">
        <v>684</v>
      </c>
      <c r="G57" s="6" t="s">
        <v>1033</v>
      </c>
      <c r="H57" s="7" t="s">
        <v>684</v>
      </c>
      <c r="I57" s="6" t="s">
        <v>727</v>
      </c>
      <c r="J57" s="7" t="s">
        <v>810</v>
      </c>
      <c r="K57" s="6" t="s">
        <v>1547</v>
      </c>
      <c r="L57" s="7" t="s">
        <v>1624</v>
      </c>
      <c r="M57" s="6" t="s">
        <v>972</v>
      </c>
      <c r="N57" s="7" t="s">
        <v>684</v>
      </c>
      <c r="O57" s="6" t="s">
        <v>1184</v>
      </c>
      <c r="P57" s="7" t="s">
        <v>1330</v>
      </c>
      <c r="Q57" s="6" t="s">
        <v>1476</v>
      </c>
      <c r="R57" s="7" t="s">
        <v>1524</v>
      </c>
      <c r="S57" s="6" t="s">
        <v>260</v>
      </c>
      <c r="T57" s="7" t="s">
        <v>393</v>
      </c>
      <c r="U57" s="6" t="s">
        <v>1134</v>
      </c>
      <c r="V57" s="7" t="s">
        <v>684</v>
      </c>
      <c r="W57" s="6" t="s">
        <v>1727</v>
      </c>
      <c r="X57" s="7" t="s">
        <v>1775</v>
      </c>
      <c r="AI57" s="6">
        <f>SUM(Y57:AH57)</f>
        <v>0</v>
      </c>
      <c r="AJ57" s="6">
        <f>100-(AI57*(AI57/20))</f>
        <v>100</v>
      </c>
      <c r="AK57" s="18">
        <f>100-(AJ57*(AJ57/MAX(AJ49:AJ57)))</f>
        <v>0</v>
      </c>
      <c r="AL57" s="6">
        <v>53</v>
      </c>
    </row>
    <row r="58" spans="1:44" x14ac:dyDescent="0.2">
      <c r="A58" s="6">
        <v>136</v>
      </c>
      <c r="B58" s="6" t="s">
        <v>159</v>
      </c>
      <c r="C58" s="6" t="s">
        <v>2145</v>
      </c>
      <c r="D58" s="6" t="s">
        <v>2153</v>
      </c>
      <c r="E58" s="6" t="s">
        <v>641</v>
      </c>
      <c r="F58" s="7" t="s">
        <v>684</v>
      </c>
      <c r="G58" s="6" t="s">
        <v>1086</v>
      </c>
      <c r="H58" s="7" t="s">
        <v>684</v>
      </c>
      <c r="I58" s="6" t="s">
        <v>755</v>
      </c>
      <c r="J58" s="7" t="s">
        <v>892</v>
      </c>
      <c r="K58" s="6" t="s">
        <v>755</v>
      </c>
      <c r="L58" s="7" t="s">
        <v>1671</v>
      </c>
      <c r="M58" s="6" t="s">
        <v>723</v>
      </c>
      <c r="N58" s="7" t="s">
        <v>684</v>
      </c>
      <c r="O58" s="6" t="s">
        <v>1246</v>
      </c>
      <c r="P58" s="7" t="s">
        <v>1412</v>
      </c>
      <c r="Q58" s="6" t="s">
        <v>723</v>
      </c>
      <c r="R58" s="7" t="s">
        <v>1524</v>
      </c>
      <c r="S58" s="6" t="s">
        <v>311</v>
      </c>
      <c r="T58" s="7" t="s">
        <v>473</v>
      </c>
      <c r="U58" s="6" t="s">
        <v>723</v>
      </c>
      <c r="V58" s="7" t="s">
        <v>684</v>
      </c>
      <c r="W58" s="6" t="s">
        <v>689</v>
      </c>
      <c r="X58" s="7" t="s">
        <v>1775</v>
      </c>
      <c r="AI58" s="6">
        <f>SUM(Y58:AH58)</f>
        <v>0</v>
      </c>
      <c r="AJ58" s="6">
        <f>100-(AI58*(AI58/20))</f>
        <v>100</v>
      </c>
      <c r="AK58" s="18">
        <f>100-(AJ58*(AJ58/MAX(AJ49:AJ58)))</f>
        <v>0</v>
      </c>
      <c r="AL58" s="6">
        <v>136</v>
      </c>
    </row>
    <row r="59" spans="1:44" x14ac:dyDescent="0.2">
      <c r="A59" s="6">
        <v>191</v>
      </c>
      <c r="B59" s="6" t="s">
        <v>214</v>
      </c>
      <c r="C59" s="6" t="s">
        <v>2145</v>
      </c>
      <c r="D59" s="6" t="s">
        <v>2153</v>
      </c>
      <c r="E59" s="6" t="s">
        <v>262</v>
      </c>
      <c r="F59" s="7" t="s">
        <v>684</v>
      </c>
      <c r="G59" s="6" t="s">
        <v>262</v>
      </c>
      <c r="H59" s="7" t="s">
        <v>684</v>
      </c>
      <c r="I59" s="6" t="s">
        <v>723</v>
      </c>
      <c r="J59" s="7" t="s">
        <v>947</v>
      </c>
      <c r="K59" s="6" t="s">
        <v>723</v>
      </c>
      <c r="L59" s="7" t="s">
        <v>947</v>
      </c>
      <c r="M59" s="6" t="s">
        <v>723</v>
      </c>
      <c r="N59" s="7" t="s">
        <v>684</v>
      </c>
      <c r="O59" s="6" t="s">
        <v>1279</v>
      </c>
      <c r="P59" s="7" t="s">
        <v>1467</v>
      </c>
      <c r="Q59" s="6" t="s">
        <v>723</v>
      </c>
      <c r="R59" s="7" t="s">
        <v>1524</v>
      </c>
      <c r="S59" s="6" t="s">
        <v>341</v>
      </c>
      <c r="T59" s="7" t="s">
        <v>365</v>
      </c>
      <c r="U59" s="6" t="s">
        <v>723</v>
      </c>
      <c r="V59" s="7" t="s">
        <v>684</v>
      </c>
      <c r="W59" s="6" t="s">
        <v>689</v>
      </c>
      <c r="X59" s="7" t="s">
        <v>1775</v>
      </c>
      <c r="AI59" s="6">
        <f>SUM(Y59:AH59)</f>
        <v>0</v>
      </c>
      <c r="AJ59" s="6">
        <f>100-(AI59*(AI59/20))</f>
        <v>100</v>
      </c>
      <c r="AK59" s="18">
        <f>100-(AJ59*(AJ59/MAX(AJ54:AJ59)))</f>
        <v>0</v>
      </c>
      <c r="AL59" s="6">
        <v>191</v>
      </c>
    </row>
    <row r="60" spans="1:44" x14ac:dyDescent="0.2">
      <c r="A60" s="29">
        <v>7</v>
      </c>
      <c r="B60" s="29" t="s">
        <v>30</v>
      </c>
      <c r="C60" s="29" t="s">
        <v>2145</v>
      </c>
      <c r="D60" s="29" t="s">
        <v>2146</v>
      </c>
      <c r="E60" s="29" t="s">
        <v>534</v>
      </c>
      <c r="F60" s="30" t="s">
        <v>684</v>
      </c>
      <c r="G60" s="29" t="s">
        <v>991</v>
      </c>
      <c r="H60" s="30" t="s">
        <v>684</v>
      </c>
      <c r="I60" s="29" t="s">
        <v>690</v>
      </c>
      <c r="J60" s="30" t="s">
        <v>765</v>
      </c>
      <c r="K60" s="29" t="s">
        <v>723</v>
      </c>
      <c r="L60" s="30" t="s">
        <v>1581</v>
      </c>
      <c r="M60" s="29" t="s">
        <v>723</v>
      </c>
      <c r="N60" s="30" t="s">
        <v>684</v>
      </c>
      <c r="O60" s="29" t="s">
        <v>1146</v>
      </c>
      <c r="P60" s="30" t="s">
        <v>1285</v>
      </c>
      <c r="Q60" s="29" t="s">
        <v>1476</v>
      </c>
      <c r="R60" s="30" t="s">
        <v>1524</v>
      </c>
      <c r="S60" s="29" t="s">
        <v>226</v>
      </c>
      <c r="T60" s="30" t="s">
        <v>350</v>
      </c>
      <c r="U60" s="29" t="s">
        <v>723</v>
      </c>
      <c r="V60" s="30" t="s">
        <v>684</v>
      </c>
      <c r="W60" s="29" t="s">
        <v>1707</v>
      </c>
      <c r="X60" s="30" t="s">
        <v>1776</v>
      </c>
      <c r="AI60" s="6">
        <f>SUM(Y60:AH60)</f>
        <v>0</v>
      </c>
      <c r="AJ60" s="6">
        <f>100-(AI60*(AI60/20))</f>
        <v>100</v>
      </c>
      <c r="AK60" s="18">
        <f>100-(AJ60*(AJ60/MAX(AJ55:AJ60)))</f>
        <v>0</v>
      </c>
      <c r="AL60" s="6">
        <v>7</v>
      </c>
    </row>
    <row r="61" spans="1:44" x14ac:dyDescent="0.2">
      <c r="A61" s="29">
        <v>13</v>
      </c>
      <c r="B61" s="29" t="s">
        <v>36</v>
      </c>
      <c r="C61" s="29" t="s">
        <v>2145</v>
      </c>
      <c r="D61" s="29" t="s">
        <v>2146</v>
      </c>
      <c r="E61" s="29" t="s">
        <v>540</v>
      </c>
      <c r="F61" s="30" t="s">
        <v>684</v>
      </c>
      <c r="G61" s="29" t="s">
        <v>997</v>
      </c>
      <c r="H61" s="30" t="s">
        <v>684</v>
      </c>
      <c r="I61" s="29" t="s">
        <v>696</v>
      </c>
      <c r="J61" s="30" t="s">
        <v>771</v>
      </c>
      <c r="K61" s="29" t="s">
        <v>723</v>
      </c>
      <c r="L61" s="30" t="s">
        <v>1587</v>
      </c>
      <c r="M61" s="29" t="s">
        <v>723</v>
      </c>
      <c r="N61" s="30" t="s">
        <v>684</v>
      </c>
      <c r="O61" s="29" t="s">
        <v>1151</v>
      </c>
      <c r="P61" s="30" t="s">
        <v>1291</v>
      </c>
      <c r="Q61" s="29" t="s">
        <v>1476</v>
      </c>
      <c r="R61" s="30" t="s">
        <v>1524</v>
      </c>
      <c r="S61" s="29" t="s">
        <v>232</v>
      </c>
      <c r="T61" s="30" t="s">
        <v>356</v>
      </c>
      <c r="U61" s="29" t="s">
        <v>723</v>
      </c>
      <c r="V61" s="30" t="s">
        <v>684</v>
      </c>
      <c r="W61" s="29" t="s">
        <v>1707</v>
      </c>
      <c r="X61" s="30" t="s">
        <v>1776</v>
      </c>
      <c r="AI61" s="6">
        <f>SUM(Y61:AH61)</f>
        <v>0</v>
      </c>
      <c r="AJ61" s="6">
        <f>100-(AI61*(AI61/20))</f>
        <v>100</v>
      </c>
      <c r="AK61" s="18">
        <f>100-(AJ61*(AJ61/MAX(AJ50:AJ61)))</f>
        <v>0</v>
      </c>
      <c r="AL61" s="6">
        <v>13</v>
      </c>
    </row>
    <row r="62" spans="1:44" x14ac:dyDescent="0.2">
      <c r="A62" s="29">
        <v>16</v>
      </c>
      <c r="B62" s="29" t="s">
        <v>39</v>
      </c>
      <c r="C62" s="29" t="s">
        <v>2145</v>
      </c>
      <c r="D62" s="29" t="s">
        <v>2146</v>
      </c>
      <c r="E62" s="29" t="s">
        <v>543</v>
      </c>
      <c r="F62" s="30" t="s">
        <v>684</v>
      </c>
      <c r="G62" s="29" t="s">
        <v>1000</v>
      </c>
      <c r="H62" s="30" t="s">
        <v>684</v>
      </c>
      <c r="I62" s="29" t="s">
        <v>699</v>
      </c>
      <c r="J62" s="30" t="s">
        <v>774</v>
      </c>
      <c r="K62" s="29" t="s">
        <v>723</v>
      </c>
      <c r="L62" s="30" t="s">
        <v>1590</v>
      </c>
      <c r="M62" s="29" t="s">
        <v>962</v>
      </c>
      <c r="N62" s="30" t="s">
        <v>684</v>
      </c>
      <c r="O62" s="29" t="s">
        <v>1154</v>
      </c>
      <c r="P62" s="30" t="s">
        <v>1294</v>
      </c>
      <c r="Q62" s="29" t="s">
        <v>1476</v>
      </c>
      <c r="R62" s="30" t="s">
        <v>1524</v>
      </c>
      <c r="S62" s="29" t="s">
        <v>235</v>
      </c>
      <c r="T62" s="30" t="s">
        <v>359</v>
      </c>
      <c r="U62" s="29" t="s">
        <v>723</v>
      </c>
      <c r="V62" s="30" t="s">
        <v>684</v>
      </c>
      <c r="W62" s="29" t="s">
        <v>1707</v>
      </c>
      <c r="X62" s="30" t="s">
        <v>1776</v>
      </c>
      <c r="AI62" s="6">
        <f>SUM(Y62:AH62)</f>
        <v>0</v>
      </c>
      <c r="AJ62" s="6">
        <f>100-(AI62*(AI62/20))</f>
        <v>100</v>
      </c>
      <c r="AK62" s="18">
        <f>100-(AJ62*(AJ62/MAX(AJ48:AJ62)))</f>
        <v>0</v>
      </c>
      <c r="AL62" s="6">
        <v>16</v>
      </c>
    </row>
    <row r="63" spans="1:44" x14ac:dyDescent="0.2">
      <c r="A63" s="29">
        <v>19</v>
      </c>
      <c r="B63" s="29" t="s">
        <v>42</v>
      </c>
      <c r="C63" s="29" t="s">
        <v>2145</v>
      </c>
      <c r="D63" s="29" t="s">
        <v>2146</v>
      </c>
      <c r="E63" s="29" t="s">
        <v>546</v>
      </c>
      <c r="F63" s="30" t="s">
        <v>684</v>
      </c>
      <c r="G63" s="29" t="s">
        <v>1003</v>
      </c>
      <c r="H63" s="30" t="s">
        <v>684</v>
      </c>
      <c r="I63" s="29" t="s">
        <v>696</v>
      </c>
      <c r="J63" s="30" t="s">
        <v>777</v>
      </c>
      <c r="K63" s="29" t="s">
        <v>723</v>
      </c>
      <c r="L63" s="30" t="s">
        <v>1593</v>
      </c>
      <c r="M63" s="29" t="s">
        <v>723</v>
      </c>
      <c r="N63" s="30" t="s">
        <v>684</v>
      </c>
      <c r="O63" s="29" t="s">
        <v>1157</v>
      </c>
      <c r="P63" s="30" t="s">
        <v>1297</v>
      </c>
      <c r="Q63" s="29" t="s">
        <v>1476</v>
      </c>
      <c r="R63" s="30" t="s">
        <v>1524</v>
      </c>
      <c r="S63" s="29" t="s">
        <v>232</v>
      </c>
      <c r="T63" s="30" t="s">
        <v>362</v>
      </c>
      <c r="U63" s="29" t="s">
        <v>723</v>
      </c>
      <c r="V63" s="30" t="s">
        <v>684</v>
      </c>
      <c r="W63" s="29" t="s">
        <v>1707</v>
      </c>
      <c r="X63" s="30" t="s">
        <v>1776</v>
      </c>
      <c r="AI63" s="6">
        <f>SUM(Y63:AH63)</f>
        <v>0</v>
      </c>
      <c r="AJ63" s="6">
        <f>100-(AI63*(AI63/20))</f>
        <v>100</v>
      </c>
      <c r="AK63" s="18">
        <f>100-(AJ63*(AJ63/MAX(AJ48:AJ63)))</f>
        <v>0</v>
      </c>
      <c r="AL63" s="6">
        <v>19</v>
      </c>
    </row>
    <row r="64" spans="1:44" x14ac:dyDescent="0.2">
      <c r="A64" s="29">
        <v>43</v>
      </c>
      <c r="B64" s="29" t="s">
        <v>66</v>
      </c>
      <c r="C64" s="29" t="s">
        <v>2145</v>
      </c>
      <c r="D64" s="29" t="s">
        <v>2146</v>
      </c>
      <c r="E64" s="29" t="s">
        <v>569</v>
      </c>
      <c r="F64" s="30" t="s">
        <v>684</v>
      </c>
      <c r="G64" s="29" t="s">
        <v>1023</v>
      </c>
      <c r="H64" s="30" t="s">
        <v>684</v>
      </c>
      <c r="I64" s="29" t="s">
        <v>719</v>
      </c>
      <c r="J64" s="30" t="s">
        <v>800</v>
      </c>
      <c r="K64" s="29" t="s">
        <v>723</v>
      </c>
      <c r="L64" s="30" t="s">
        <v>1616</v>
      </c>
      <c r="M64" s="29" t="s">
        <v>723</v>
      </c>
      <c r="N64" s="30" t="s">
        <v>684</v>
      </c>
      <c r="O64" s="29" t="s">
        <v>1178</v>
      </c>
      <c r="P64" s="30" t="s">
        <v>1320</v>
      </c>
      <c r="Q64" s="29" t="s">
        <v>1487</v>
      </c>
      <c r="R64" s="30" t="s">
        <v>1524</v>
      </c>
      <c r="S64" s="29" t="s">
        <v>253</v>
      </c>
      <c r="T64" s="30" t="s">
        <v>385</v>
      </c>
      <c r="U64" s="29" t="s">
        <v>723</v>
      </c>
      <c r="V64" s="30" t="s">
        <v>684</v>
      </c>
      <c r="W64" s="29" t="s">
        <v>1716</v>
      </c>
      <c r="X64" s="30" t="s">
        <v>1776</v>
      </c>
      <c r="AI64" s="6">
        <f>SUM(Y64:AH64)</f>
        <v>0</v>
      </c>
      <c r="AJ64" s="6">
        <f>100-(AI64*(AI64/20))</f>
        <v>100</v>
      </c>
      <c r="AK64" s="18">
        <f>100-(AJ64*(AJ64/MAX(AJ49:AJ64)))</f>
        <v>0</v>
      </c>
      <c r="AL64" s="6">
        <v>43</v>
      </c>
    </row>
    <row r="65" spans="1:38" x14ac:dyDescent="0.2">
      <c r="A65" s="29">
        <v>51</v>
      </c>
      <c r="B65" s="29" t="s">
        <v>74</v>
      </c>
      <c r="C65" s="29" t="s">
        <v>2145</v>
      </c>
      <c r="D65" s="29" t="s">
        <v>2146</v>
      </c>
      <c r="E65" s="29" t="s">
        <v>577</v>
      </c>
      <c r="F65" s="30" t="s">
        <v>684</v>
      </c>
      <c r="G65" s="29" t="s">
        <v>1031</v>
      </c>
      <c r="H65" s="30" t="s">
        <v>684</v>
      </c>
      <c r="I65" s="29" t="s">
        <v>725</v>
      </c>
      <c r="J65" s="30" t="s">
        <v>808</v>
      </c>
      <c r="K65" s="29" t="s">
        <v>1546</v>
      </c>
      <c r="L65" s="30" t="s">
        <v>1622</v>
      </c>
      <c r="M65" s="29" t="s">
        <v>723</v>
      </c>
      <c r="N65" s="30" t="s">
        <v>684</v>
      </c>
      <c r="O65" s="29" t="s">
        <v>1182</v>
      </c>
      <c r="P65" s="30" t="s">
        <v>1328</v>
      </c>
      <c r="Q65" s="29" t="s">
        <v>1492</v>
      </c>
      <c r="R65" s="30" t="s">
        <v>1524</v>
      </c>
      <c r="S65" s="29" t="s">
        <v>257</v>
      </c>
      <c r="T65" s="30" t="s">
        <v>391</v>
      </c>
      <c r="U65" s="29" t="s">
        <v>723</v>
      </c>
      <c r="V65" s="30" t="s">
        <v>684</v>
      </c>
      <c r="W65" s="29" t="s">
        <v>1725</v>
      </c>
      <c r="X65" s="30" t="s">
        <v>1775</v>
      </c>
      <c r="AI65" s="6">
        <f>SUM(Y65:AH65)</f>
        <v>0</v>
      </c>
      <c r="AJ65" s="6">
        <f>100-(AI65*(AI65/20))</f>
        <v>100</v>
      </c>
      <c r="AK65" s="18">
        <f>100-(AJ65*(AJ65/MAX(AJ50:AJ65)))</f>
        <v>0</v>
      </c>
      <c r="AL65" s="6">
        <v>51</v>
      </c>
    </row>
    <row r="66" spans="1:38" x14ac:dyDescent="0.2">
      <c r="A66" s="29">
        <v>52</v>
      </c>
      <c r="B66" s="29" t="s">
        <v>75</v>
      </c>
      <c r="C66" s="29" t="s">
        <v>2145</v>
      </c>
      <c r="D66" s="29" t="s">
        <v>2146</v>
      </c>
      <c r="E66" s="29" t="s">
        <v>578</v>
      </c>
      <c r="F66" s="30" t="s">
        <v>684</v>
      </c>
      <c r="G66" s="29" t="s">
        <v>1032</v>
      </c>
      <c r="H66" s="30" t="s">
        <v>684</v>
      </c>
      <c r="I66" s="29" t="s">
        <v>726</v>
      </c>
      <c r="J66" s="30" t="s">
        <v>809</v>
      </c>
      <c r="K66" s="29" t="s">
        <v>723</v>
      </c>
      <c r="L66" s="30" t="s">
        <v>1623</v>
      </c>
      <c r="M66" s="29" t="s">
        <v>723</v>
      </c>
      <c r="N66" s="30" t="s">
        <v>684</v>
      </c>
      <c r="O66" s="29" t="s">
        <v>1183</v>
      </c>
      <c r="P66" s="30" t="s">
        <v>1329</v>
      </c>
      <c r="Q66" s="29" t="s">
        <v>1493</v>
      </c>
      <c r="R66" s="30" t="s">
        <v>1524</v>
      </c>
      <c r="S66" s="29" t="s">
        <v>259</v>
      </c>
      <c r="T66" s="30" t="s">
        <v>392</v>
      </c>
      <c r="U66" s="29" t="s">
        <v>723</v>
      </c>
      <c r="V66" s="30" t="s">
        <v>684</v>
      </c>
      <c r="W66" s="29" t="s">
        <v>1726</v>
      </c>
      <c r="X66" s="30" t="s">
        <v>1776</v>
      </c>
      <c r="AI66" s="6">
        <f>SUM(Y66:AH66)</f>
        <v>0</v>
      </c>
      <c r="AJ66" s="6">
        <f>100-(AI66*(AI66/20))</f>
        <v>100</v>
      </c>
      <c r="AK66" s="18">
        <f>100-(AJ66*(AJ66/MAX(AJ51:AJ66)))</f>
        <v>0</v>
      </c>
      <c r="AL66" s="6">
        <v>52</v>
      </c>
    </row>
    <row r="67" spans="1:38" x14ac:dyDescent="0.2">
      <c r="A67" s="29">
        <v>70</v>
      </c>
      <c r="B67" s="29" t="s">
        <v>93</v>
      </c>
      <c r="C67" s="29" t="s">
        <v>2145</v>
      </c>
      <c r="D67" s="29" t="s">
        <v>2146</v>
      </c>
      <c r="E67" s="29" t="s">
        <v>593</v>
      </c>
      <c r="F67" s="30" t="s">
        <v>684</v>
      </c>
      <c r="G67" s="29" t="s">
        <v>262</v>
      </c>
      <c r="H67" s="30" t="s">
        <v>684</v>
      </c>
      <c r="I67" s="29" t="s">
        <v>723</v>
      </c>
      <c r="J67" s="30" t="s">
        <v>826</v>
      </c>
      <c r="K67" s="29" t="s">
        <v>723</v>
      </c>
      <c r="L67" s="30" t="s">
        <v>826</v>
      </c>
      <c r="M67" s="29" t="s">
        <v>723</v>
      </c>
      <c r="N67" s="30" t="s">
        <v>684</v>
      </c>
      <c r="O67" s="29" t="s">
        <v>1187</v>
      </c>
      <c r="P67" s="30" t="s">
        <v>1346</v>
      </c>
      <c r="Q67" s="29" t="s">
        <v>1497</v>
      </c>
      <c r="R67" s="30" t="s">
        <v>1524</v>
      </c>
      <c r="S67" s="29" t="s">
        <v>262</v>
      </c>
      <c r="T67" s="30" t="s">
        <v>409</v>
      </c>
      <c r="U67" s="29" t="s">
        <v>723</v>
      </c>
      <c r="V67" s="30" t="s">
        <v>684</v>
      </c>
      <c r="W67" s="29" t="s">
        <v>1736</v>
      </c>
      <c r="X67" s="30" t="s">
        <v>1775</v>
      </c>
      <c r="AI67" s="6">
        <f>SUM(Y67:AH67)</f>
        <v>0</v>
      </c>
      <c r="AJ67" s="6">
        <f>100-(AI67*(AI67/20))</f>
        <v>100</v>
      </c>
      <c r="AK67" s="18">
        <f>100-(AJ67*(AJ67/MAX(AJ52:AJ67)))</f>
        <v>0</v>
      </c>
      <c r="AL67" s="6">
        <v>70</v>
      </c>
    </row>
    <row r="68" spans="1:38" x14ac:dyDescent="0.2">
      <c r="A68" s="29">
        <v>74</v>
      </c>
      <c r="B68" s="29" t="s">
        <v>97</v>
      </c>
      <c r="C68" s="29" t="s">
        <v>2145</v>
      </c>
      <c r="D68" s="29" t="s">
        <v>2146</v>
      </c>
      <c r="E68" s="29" t="s">
        <v>595</v>
      </c>
      <c r="F68" s="30" t="s">
        <v>684</v>
      </c>
      <c r="G68" s="29" t="s">
        <v>262</v>
      </c>
      <c r="H68" s="30" t="s">
        <v>684</v>
      </c>
      <c r="I68" s="29" t="s">
        <v>738</v>
      </c>
      <c r="J68" s="30" t="s">
        <v>830</v>
      </c>
      <c r="K68" s="29" t="s">
        <v>723</v>
      </c>
      <c r="L68" s="30" t="s">
        <v>1638</v>
      </c>
      <c r="M68" s="29" t="s">
        <v>723</v>
      </c>
      <c r="N68" s="30" t="s">
        <v>684</v>
      </c>
      <c r="O68" s="29" t="s">
        <v>1194</v>
      </c>
      <c r="P68" s="30" t="s">
        <v>1350</v>
      </c>
      <c r="Q68" s="29" t="s">
        <v>723</v>
      </c>
      <c r="R68" s="30" t="s">
        <v>1524</v>
      </c>
      <c r="S68" s="29" t="s">
        <v>262</v>
      </c>
      <c r="T68" s="30" t="s">
        <v>413</v>
      </c>
      <c r="U68" s="29" t="s">
        <v>723</v>
      </c>
      <c r="V68" s="30" t="s">
        <v>684</v>
      </c>
      <c r="W68" s="29" t="s">
        <v>1725</v>
      </c>
      <c r="X68" s="30" t="s">
        <v>1775</v>
      </c>
      <c r="AI68" s="6">
        <f>SUM(Y68:AH68)</f>
        <v>0</v>
      </c>
      <c r="AJ68" s="6">
        <f>100-(AI68*(AI68/20))</f>
        <v>100</v>
      </c>
      <c r="AK68" s="18">
        <f>100-(AJ68*(AJ68/MAX(AJ53:AJ68)))</f>
        <v>0</v>
      </c>
      <c r="AL68" s="6">
        <v>74</v>
      </c>
    </row>
    <row r="69" spans="1:38" x14ac:dyDescent="0.2">
      <c r="A69" s="29">
        <v>75</v>
      </c>
      <c r="B69" s="29" t="s">
        <v>98</v>
      </c>
      <c r="C69" s="29" t="s">
        <v>2145</v>
      </c>
      <c r="D69" s="29" t="s">
        <v>2146</v>
      </c>
      <c r="E69" s="29" t="s">
        <v>596</v>
      </c>
      <c r="F69" s="30" t="s">
        <v>684</v>
      </c>
      <c r="G69" s="29" t="s">
        <v>262</v>
      </c>
      <c r="H69" s="30" t="s">
        <v>684</v>
      </c>
      <c r="I69" s="29" t="s">
        <v>723</v>
      </c>
      <c r="J69" s="30" t="s">
        <v>831</v>
      </c>
      <c r="K69" s="29" t="s">
        <v>723</v>
      </c>
      <c r="L69" s="30" t="s">
        <v>831</v>
      </c>
      <c r="M69" s="29" t="s">
        <v>723</v>
      </c>
      <c r="N69" s="30" t="s">
        <v>684</v>
      </c>
      <c r="O69" s="29" t="s">
        <v>1160</v>
      </c>
      <c r="P69" s="30" t="s">
        <v>1351</v>
      </c>
      <c r="Q69" s="29" t="s">
        <v>1501</v>
      </c>
      <c r="R69" s="30" t="s">
        <v>1524</v>
      </c>
      <c r="S69" s="29" t="s">
        <v>262</v>
      </c>
      <c r="T69" s="30" t="s">
        <v>414</v>
      </c>
      <c r="U69" s="29" t="s">
        <v>723</v>
      </c>
      <c r="V69" s="30" t="s">
        <v>684</v>
      </c>
      <c r="W69" s="29" t="s">
        <v>1737</v>
      </c>
      <c r="X69" s="30" t="s">
        <v>1775</v>
      </c>
      <c r="AI69" s="6">
        <f>SUM(Y69:AH69)</f>
        <v>0</v>
      </c>
      <c r="AJ69" s="6">
        <f>100-(AI69*(AI69/20))</f>
        <v>100</v>
      </c>
      <c r="AK69" s="18">
        <f>100-(AJ69*(AJ69/MAX(AJ54:AJ69)))</f>
        <v>0</v>
      </c>
      <c r="AL69" s="6">
        <v>75</v>
      </c>
    </row>
    <row r="70" spans="1:38" x14ac:dyDescent="0.2">
      <c r="A70" s="29">
        <v>86</v>
      </c>
      <c r="B70" s="29" t="s">
        <v>109</v>
      </c>
      <c r="C70" s="29" t="s">
        <v>2145</v>
      </c>
      <c r="D70" s="29" t="s">
        <v>2146</v>
      </c>
      <c r="E70" s="29" t="s">
        <v>606</v>
      </c>
      <c r="F70" s="30" t="s">
        <v>684</v>
      </c>
      <c r="G70" s="29" t="s">
        <v>1055</v>
      </c>
      <c r="H70" s="30" t="s">
        <v>684</v>
      </c>
      <c r="I70" s="29" t="s">
        <v>746</v>
      </c>
      <c r="J70" s="30" t="s">
        <v>842</v>
      </c>
      <c r="K70" s="29" t="s">
        <v>723</v>
      </c>
      <c r="L70" s="30" t="s">
        <v>1646</v>
      </c>
      <c r="M70" s="29" t="s">
        <v>723</v>
      </c>
      <c r="N70" s="30" t="s">
        <v>684</v>
      </c>
      <c r="O70" s="29" t="s">
        <v>1205</v>
      </c>
      <c r="P70" s="30" t="s">
        <v>1362</v>
      </c>
      <c r="Q70" s="29" t="s">
        <v>1491</v>
      </c>
      <c r="R70" s="30" t="s">
        <v>1524</v>
      </c>
      <c r="S70" s="29" t="s">
        <v>262</v>
      </c>
      <c r="T70" s="30" t="s">
        <v>424</v>
      </c>
      <c r="U70" s="29" t="s">
        <v>723</v>
      </c>
      <c r="V70" s="30" t="s">
        <v>684</v>
      </c>
      <c r="W70" s="29" t="s">
        <v>1741</v>
      </c>
      <c r="X70" s="30" t="s">
        <v>1775</v>
      </c>
      <c r="AI70" s="6">
        <f>SUM(Y70:AH70)</f>
        <v>0</v>
      </c>
      <c r="AJ70" s="6">
        <f>100-(AI70*(AI70/20))</f>
        <v>100</v>
      </c>
      <c r="AK70" s="18">
        <f>100-(AJ70*(AJ70/MAX(AJ55:AJ70)))</f>
        <v>0</v>
      </c>
      <c r="AL70" s="6">
        <v>86</v>
      </c>
    </row>
    <row r="71" spans="1:38" x14ac:dyDescent="0.2">
      <c r="A71" s="29">
        <v>146</v>
      </c>
      <c r="B71" s="29" t="s">
        <v>169</v>
      </c>
      <c r="C71" s="29" t="s">
        <v>2145</v>
      </c>
      <c r="D71" s="29" t="s">
        <v>2146</v>
      </c>
      <c r="E71" s="29" t="s">
        <v>649</v>
      </c>
      <c r="F71" s="30" t="s">
        <v>684</v>
      </c>
      <c r="G71" s="29" t="s">
        <v>262</v>
      </c>
      <c r="H71" s="30" t="s">
        <v>684</v>
      </c>
      <c r="I71" s="29" t="s">
        <v>723</v>
      </c>
      <c r="J71" s="30" t="s">
        <v>902</v>
      </c>
      <c r="K71" s="29" t="s">
        <v>723</v>
      </c>
      <c r="L71" s="30" t="s">
        <v>902</v>
      </c>
      <c r="M71" s="29" t="s">
        <v>723</v>
      </c>
      <c r="N71" s="30" t="s">
        <v>684</v>
      </c>
      <c r="O71" s="29" t="s">
        <v>1250</v>
      </c>
      <c r="P71" s="30" t="s">
        <v>1422</v>
      </c>
      <c r="Q71" s="29" t="s">
        <v>723</v>
      </c>
      <c r="R71" s="30" t="s">
        <v>1524</v>
      </c>
      <c r="S71" s="29" t="s">
        <v>262</v>
      </c>
      <c r="T71" s="30" t="s">
        <v>482</v>
      </c>
      <c r="U71" s="29" t="s">
        <v>723</v>
      </c>
      <c r="V71" s="30" t="s">
        <v>684</v>
      </c>
      <c r="W71" s="29" t="s">
        <v>1761</v>
      </c>
      <c r="X71" s="30" t="s">
        <v>1775</v>
      </c>
      <c r="AI71" s="6">
        <f>SUM(Y71:AH71)</f>
        <v>0</v>
      </c>
      <c r="AJ71" s="6">
        <f>100-(AI71*(AI71/20))</f>
        <v>100</v>
      </c>
      <c r="AK71" s="18">
        <f>100-(AJ71*(AJ71/MAX(AJ56:AJ71)))</f>
        <v>0</v>
      </c>
      <c r="AL71" s="6">
        <v>146</v>
      </c>
    </row>
    <row r="72" spans="1:38" x14ac:dyDescent="0.2">
      <c r="A72" s="29">
        <v>147</v>
      </c>
      <c r="B72" s="29" t="s">
        <v>170</v>
      </c>
      <c r="C72" s="29" t="s">
        <v>2145</v>
      </c>
      <c r="D72" s="29" t="s">
        <v>2146</v>
      </c>
      <c r="E72" s="29" t="s">
        <v>650</v>
      </c>
      <c r="F72" s="30" t="s">
        <v>684</v>
      </c>
      <c r="G72" s="29" t="s">
        <v>1096</v>
      </c>
      <c r="H72" s="30" t="s">
        <v>684</v>
      </c>
      <c r="I72" s="29" t="s">
        <v>723</v>
      </c>
      <c r="J72" s="30" t="s">
        <v>903</v>
      </c>
      <c r="K72" s="29" t="s">
        <v>723</v>
      </c>
      <c r="L72" s="30" t="s">
        <v>903</v>
      </c>
      <c r="M72" s="29" t="s">
        <v>723</v>
      </c>
      <c r="N72" s="30" t="s">
        <v>684</v>
      </c>
      <c r="O72" s="29" t="s">
        <v>1251</v>
      </c>
      <c r="P72" s="30" t="s">
        <v>1423</v>
      </c>
      <c r="Q72" s="29" t="s">
        <v>723</v>
      </c>
      <c r="R72" s="30" t="s">
        <v>1524</v>
      </c>
      <c r="S72" s="29" t="s">
        <v>262</v>
      </c>
      <c r="T72" s="30" t="s">
        <v>483</v>
      </c>
      <c r="U72" s="29" t="s">
        <v>723</v>
      </c>
      <c r="V72" s="30" t="s">
        <v>684</v>
      </c>
      <c r="W72" s="29" t="s">
        <v>689</v>
      </c>
      <c r="X72" s="30" t="s">
        <v>1775</v>
      </c>
      <c r="AI72" s="6">
        <f>SUM(Y72:AH72)</f>
        <v>0</v>
      </c>
      <c r="AJ72" s="6">
        <f>100-(AI72*(AI72/20))</f>
        <v>100</v>
      </c>
      <c r="AK72" s="18">
        <f>100-(AJ72*(AJ72/MAX(AJ57:AJ72)))</f>
        <v>0</v>
      </c>
      <c r="AL72" s="6">
        <v>147</v>
      </c>
    </row>
    <row r="73" spans="1:38" x14ac:dyDescent="0.2">
      <c r="A73" s="29">
        <v>148</v>
      </c>
      <c r="B73" s="29" t="s">
        <v>171</v>
      </c>
      <c r="C73" s="29" t="s">
        <v>2145</v>
      </c>
      <c r="D73" s="29" t="s">
        <v>2146</v>
      </c>
      <c r="E73" s="29" t="s">
        <v>262</v>
      </c>
      <c r="F73" s="30" t="s">
        <v>684</v>
      </c>
      <c r="G73" s="29" t="s">
        <v>262</v>
      </c>
      <c r="H73" s="30" t="s">
        <v>684</v>
      </c>
      <c r="I73" s="29" t="s">
        <v>723</v>
      </c>
      <c r="J73" s="30" t="s">
        <v>904</v>
      </c>
      <c r="K73" s="29" t="s">
        <v>723</v>
      </c>
      <c r="L73" s="30" t="s">
        <v>904</v>
      </c>
      <c r="M73" s="29" t="s">
        <v>723</v>
      </c>
      <c r="N73" s="30" t="s">
        <v>684</v>
      </c>
      <c r="O73" s="29" t="s">
        <v>1251</v>
      </c>
      <c r="P73" s="30" t="s">
        <v>1424</v>
      </c>
      <c r="Q73" s="29" t="s">
        <v>723</v>
      </c>
      <c r="R73" s="30" t="s">
        <v>1524</v>
      </c>
      <c r="S73" s="29" t="s">
        <v>262</v>
      </c>
      <c r="T73" s="30" t="s">
        <v>484</v>
      </c>
      <c r="U73" s="29" t="s">
        <v>723</v>
      </c>
      <c r="V73" s="30" t="s">
        <v>684</v>
      </c>
      <c r="W73" s="29" t="s">
        <v>689</v>
      </c>
      <c r="X73" s="30" t="s">
        <v>1775</v>
      </c>
      <c r="AI73" s="6">
        <f>SUM(Y73:AH73)</f>
        <v>0</v>
      </c>
      <c r="AJ73" s="6">
        <f>100-(AI73*(AI73/20))</f>
        <v>100</v>
      </c>
      <c r="AK73" s="18">
        <f>100-(AJ73*(AJ73/MAX(AJ58:AJ73)))</f>
        <v>0</v>
      </c>
      <c r="AL73" s="6">
        <v>148</v>
      </c>
    </row>
    <row r="74" spans="1:38" x14ac:dyDescent="0.2">
      <c r="A74" s="29">
        <v>168</v>
      </c>
      <c r="B74" s="29" t="s">
        <v>191</v>
      </c>
      <c r="C74" s="29" t="s">
        <v>2145</v>
      </c>
      <c r="D74" s="29" t="s">
        <v>2146</v>
      </c>
      <c r="E74" s="29" t="s">
        <v>262</v>
      </c>
      <c r="F74" s="30" t="s">
        <v>684</v>
      </c>
      <c r="G74" s="29" t="s">
        <v>262</v>
      </c>
      <c r="H74" s="30" t="s">
        <v>684</v>
      </c>
      <c r="I74" s="29" t="s">
        <v>723</v>
      </c>
      <c r="J74" s="30" t="s">
        <v>924</v>
      </c>
      <c r="K74" s="29" t="s">
        <v>723</v>
      </c>
      <c r="L74" s="30" t="s">
        <v>924</v>
      </c>
      <c r="M74" s="29" t="s">
        <v>723</v>
      </c>
      <c r="N74" s="30" t="s">
        <v>684</v>
      </c>
      <c r="O74" s="29" t="s">
        <v>1267</v>
      </c>
      <c r="P74" s="30" t="s">
        <v>1444</v>
      </c>
      <c r="Q74" s="29" t="s">
        <v>723</v>
      </c>
      <c r="R74" s="30" t="s">
        <v>1524</v>
      </c>
      <c r="S74" s="29" t="s">
        <v>262</v>
      </c>
      <c r="T74" s="30" t="s">
        <v>503</v>
      </c>
      <c r="U74" s="29" t="s">
        <v>723</v>
      </c>
      <c r="V74" s="30" t="s">
        <v>684</v>
      </c>
      <c r="W74" s="29" t="s">
        <v>689</v>
      </c>
      <c r="X74" s="30" t="s">
        <v>1775</v>
      </c>
      <c r="AI74" s="6">
        <f>SUM(Y74:AH74)</f>
        <v>0</v>
      </c>
      <c r="AJ74" s="6">
        <f>100-(AI74*(AI74/20))</f>
        <v>100</v>
      </c>
      <c r="AK74" s="18">
        <f>100-(AJ74*(AJ74/MAX(AJ59:AJ74)))</f>
        <v>0</v>
      </c>
      <c r="AL74" s="6">
        <v>168</v>
      </c>
    </row>
    <row r="75" spans="1:38" x14ac:dyDescent="0.2">
      <c r="A75" s="29">
        <v>178</v>
      </c>
      <c r="B75" s="29" t="s">
        <v>201</v>
      </c>
      <c r="C75" s="29" t="s">
        <v>2145</v>
      </c>
      <c r="D75" s="29" t="s">
        <v>2146</v>
      </c>
      <c r="E75" s="29" t="s">
        <v>667</v>
      </c>
      <c r="F75" s="30" t="s">
        <v>684</v>
      </c>
      <c r="G75" s="29" t="s">
        <v>1096</v>
      </c>
      <c r="H75" s="30" t="s">
        <v>684</v>
      </c>
      <c r="I75" s="29" t="s">
        <v>755</v>
      </c>
      <c r="J75" s="30" t="s">
        <v>934</v>
      </c>
      <c r="K75" s="29" t="s">
        <v>755</v>
      </c>
      <c r="L75" s="30" t="s">
        <v>1693</v>
      </c>
      <c r="M75" s="29" t="s">
        <v>723</v>
      </c>
      <c r="N75" s="30" t="s">
        <v>684</v>
      </c>
      <c r="O75" s="29" t="s">
        <v>1274</v>
      </c>
      <c r="P75" s="30" t="s">
        <v>1454</v>
      </c>
      <c r="Q75" s="29" t="s">
        <v>723</v>
      </c>
      <c r="R75" s="30" t="s">
        <v>1524</v>
      </c>
      <c r="S75" s="29" t="s">
        <v>332</v>
      </c>
      <c r="T75" s="30" t="s">
        <v>513</v>
      </c>
      <c r="U75" s="29" t="s">
        <v>723</v>
      </c>
      <c r="V75" s="30" t="s">
        <v>684</v>
      </c>
      <c r="W75" s="29" t="s">
        <v>689</v>
      </c>
      <c r="X75" s="30" t="s">
        <v>1775</v>
      </c>
      <c r="AI75" s="6">
        <f>SUM(Y75:AH75)</f>
        <v>0</v>
      </c>
      <c r="AJ75" s="6">
        <f>100-(AI75*(AI75/20))</f>
        <v>100</v>
      </c>
      <c r="AK75" s="18">
        <f>100-(AJ75*(AJ75/MAX(AJ60:AJ75)))</f>
        <v>0</v>
      </c>
      <c r="AL75" s="6">
        <v>178</v>
      </c>
    </row>
    <row r="76" spans="1:38" x14ac:dyDescent="0.2">
      <c r="A76" s="39">
        <v>8</v>
      </c>
      <c r="B76" s="39" t="s">
        <v>31</v>
      </c>
      <c r="C76" s="39" t="s">
        <v>2145</v>
      </c>
      <c r="D76" s="39" t="s">
        <v>2147</v>
      </c>
      <c r="E76" s="39" t="s">
        <v>535</v>
      </c>
      <c r="F76" s="40" t="s">
        <v>684</v>
      </c>
      <c r="G76" s="39" t="s">
        <v>992</v>
      </c>
      <c r="H76" s="40" t="s">
        <v>684</v>
      </c>
      <c r="I76" s="39" t="s">
        <v>691</v>
      </c>
      <c r="J76" s="40" t="s">
        <v>766</v>
      </c>
      <c r="K76" s="39" t="s">
        <v>1528</v>
      </c>
      <c r="L76" s="40" t="s">
        <v>1582</v>
      </c>
      <c r="M76" s="39" t="s">
        <v>957</v>
      </c>
      <c r="N76" s="40" t="s">
        <v>684</v>
      </c>
      <c r="O76" s="39" t="s">
        <v>1147</v>
      </c>
      <c r="P76" s="40" t="s">
        <v>1286</v>
      </c>
      <c r="Q76" s="39" t="s">
        <v>1476</v>
      </c>
      <c r="R76" s="40" t="s">
        <v>1524</v>
      </c>
      <c r="S76" s="39" t="s">
        <v>227</v>
      </c>
      <c r="T76" s="40" t="s">
        <v>351</v>
      </c>
      <c r="U76" s="39" t="s">
        <v>723</v>
      </c>
      <c r="V76" s="40" t="s">
        <v>684</v>
      </c>
      <c r="W76" s="39" t="s">
        <v>1707</v>
      </c>
      <c r="X76" s="40" t="s">
        <v>1776</v>
      </c>
      <c r="AI76" s="6">
        <f>SUM(Y76:AH76)</f>
        <v>0</v>
      </c>
      <c r="AJ76" s="6">
        <f>100-(AI76*(AI76/20))</f>
        <v>100</v>
      </c>
      <c r="AK76" s="18">
        <f>100-(AJ76*(AJ76/MAX(AJ70:AJ76)))</f>
        <v>0</v>
      </c>
      <c r="AL76" s="6">
        <v>8</v>
      </c>
    </row>
    <row r="77" spans="1:38" x14ac:dyDescent="0.2">
      <c r="A77" s="39">
        <v>25</v>
      </c>
      <c r="B77" s="39" t="s">
        <v>48</v>
      </c>
      <c r="C77" s="39" t="s">
        <v>2145</v>
      </c>
      <c r="D77" s="39" t="s">
        <v>2147</v>
      </c>
      <c r="E77" s="39" t="s">
        <v>552</v>
      </c>
      <c r="F77" s="40" t="s">
        <v>684</v>
      </c>
      <c r="G77" s="39" t="s">
        <v>1008</v>
      </c>
      <c r="H77" s="40" t="s">
        <v>684</v>
      </c>
      <c r="I77" s="39" t="s">
        <v>707</v>
      </c>
      <c r="J77" s="40" t="s">
        <v>783</v>
      </c>
      <c r="K77" s="39" t="s">
        <v>1534</v>
      </c>
      <c r="L77" s="40" t="s">
        <v>1599</v>
      </c>
      <c r="M77" s="39" t="s">
        <v>965</v>
      </c>
      <c r="N77" s="40" t="s">
        <v>684</v>
      </c>
      <c r="O77" s="39" t="s">
        <v>1162</v>
      </c>
      <c r="P77" s="40" t="s">
        <v>1303</v>
      </c>
      <c r="Q77" s="39" t="s">
        <v>1476</v>
      </c>
      <c r="R77" s="40" t="s">
        <v>1524</v>
      </c>
      <c r="S77" s="39" t="s">
        <v>243</v>
      </c>
      <c r="T77" s="40" t="s">
        <v>368</v>
      </c>
      <c r="U77" s="39" t="s">
        <v>1128</v>
      </c>
      <c r="V77" s="40" t="s">
        <v>684</v>
      </c>
      <c r="W77" s="39" t="s">
        <v>1719</v>
      </c>
      <c r="X77" s="40" t="s">
        <v>1776</v>
      </c>
      <c r="AI77" s="6">
        <f>SUM(Y77:AH77)</f>
        <v>0</v>
      </c>
      <c r="AJ77" s="6">
        <f>100-(AI77*(AI77/20))</f>
        <v>100</v>
      </c>
      <c r="AK77" s="18">
        <f>100-(AJ77*(AJ77/MAX(AJ62:AJ77)))</f>
        <v>0</v>
      </c>
      <c r="AL77" s="6">
        <v>25</v>
      </c>
    </row>
    <row r="78" spans="1:38" x14ac:dyDescent="0.2">
      <c r="A78" s="39">
        <v>135</v>
      </c>
      <c r="B78" s="39" t="s">
        <v>158</v>
      </c>
      <c r="C78" s="39" t="s">
        <v>2145</v>
      </c>
      <c r="D78" s="39" t="s">
        <v>2147</v>
      </c>
      <c r="E78" s="39" t="s">
        <v>640</v>
      </c>
      <c r="F78" s="40" t="s">
        <v>684</v>
      </c>
      <c r="G78" s="39" t="s">
        <v>262</v>
      </c>
      <c r="H78" s="40" t="s">
        <v>684</v>
      </c>
      <c r="I78" s="39" t="s">
        <v>723</v>
      </c>
      <c r="J78" s="40" t="s">
        <v>891</v>
      </c>
      <c r="K78" s="39" t="s">
        <v>723</v>
      </c>
      <c r="L78" s="40" t="s">
        <v>891</v>
      </c>
      <c r="M78" s="39" t="s">
        <v>723</v>
      </c>
      <c r="N78" s="40" t="s">
        <v>684</v>
      </c>
      <c r="O78" s="39" t="s">
        <v>1245</v>
      </c>
      <c r="P78" s="40" t="s">
        <v>1411</v>
      </c>
      <c r="Q78" s="39" t="s">
        <v>1515</v>
      </c>
      <c r="R78" s="40" t="s">
        <v>1524</v>
      </c>
      <c r="S78" s="39" t="s">
        <v>310</v>
      </c>
      <c r="T78" s="40" t="s">
        <v>472</v>
      </c>
      <c r="U78" s="39" t="s">
        <v>723</v>
      </c>
      <c r="V78" s="40" t="s">
        <v>684</v>
      </c>
      <c r="W78" s="39" t="s">
        <v>689</v>
      </c>
      <c r="X78" s="40" t="s">
        <v>1775</v>
      </c>
      <c r="AI78" s="6">
        <f>SUM(Y78:AH78)</f>
        <v>0</v>
      </c>
      <c r="AJ78" s="6">
        <f>100-(AI78*(AI78/20))</f>
        <v>100</v>
      </c>
      <c r="AK78" s="18">
        <f>100-(AJ78*(AJ78/MAX(AJ63:AJ78)))</f>
        <v>0</v>
      </c>
      <c r="AL78" s="6">
        <v>135</v>
      </c>
    </row>
    <row r="79" spans="1:38" x14ac:dyDescent="0.2">
      <c r="A79" s="39">
        <v>188</v>
      </c>
      <c r="B79" s="39" t="s">
        <v>211</v>
      </c>
      <c r="C79" s="39" t="s">
        <v>2145</v>
      </c>
      <c r="D79" s="39" t="s">
        <v>2147</v>
      </c>
      <c r="E79" s="39" t="s">
        <v>675</v>
      </c>
      <c r="F79" s="40" t="s">
        <v>684</v>
      </c>
      <c r="G79" s="39" t="s">
        <v>1097</v>
      </c>
      <c r="H79" s="40" t="s">
        <v>684</v>
      </c>
      <c r="I79" s="39" t="s">
        <v>755</v>
      </c>
      <c r="J79" s="40" t="s">
        <v>944</v>
      </c>
      <c r="K79" s="39" t="s">
        <v>755</v>
      </c>
      <c r="L79" s="40" t="s">
        <v>1701</v>
      </c>
      <c r="M79" s="39" t="s">
        <v>689</v>
      </c>
      <c r="N79" s="40" t="s">
        <v>684</v>
      </c>
      <c r="O79" s="39" t="s">
        <v>1181</v>
      </c>
      <c r="P79" s="40" t="s">
        <v>1464</v>
      </c>
      <c r="Q79" s="39" t="s">
        <v>723</v>
      </c>
      <c r="R79" s="40" t="s">
        <v>1524</v>
      </c>
      <c r="S79" s="39" t="s">
        <v>339</v>
      </c>
      <c r="T79" s="40" t="s">
        <v>522</v>
      </c>
      <c r="U79" s="39" t="s">
        <v>723</v>
      </c>
      <c r="V79" s="40" t="s">
        <v>684</v>
      </c>
      <c r="W79" s="39" t="s">
        <v>723</v>
      </c>
      <c r="X79" s="40" t="s">
        <v>1775</v>
      </c>
      <c r="AI79" s="6">
        <f>SUM(Y79:AH79)</f>
        <v>0</v>
      </c>
      <c r="AJ79" s="6">
        <f>100-(AI79*(AI79/20))</f>
        <v>100</v>
      </c>
      <c r="AK79" s="18">
        <f>100-(AJ79*(AJ79/MAX(AJ71:AJ79)))</f>
        <v>0</v>
      </c>
      <c r="AL79" s="6">
        <v>188</v>
      </c>
    </row>
    <row r="80" spans="1:38" x14ac:dyDescent="0.2">
      <c r="A80" s="6">
        <v>36</v>
      </c>
      <c r="B80" s="6" t="s">
        <v>59</v>
      </c>
      <c r="C80" s="6" t="s">
        <v>2145</v>
      </c>
      <c r="D80" s="6" t="s">
        <v>2158</v>
      </c>
      <c r="E80" s="6" t="s">
        <v>562</v>
      </c>
      <c r="F80" s="7" t="s">
        <v>684</v>
      </c>
      <c r="G80" s="6" t="s">
        <v>1016</v>
      </c>
      <c r="H80" s="7" t="s">
        <v>684</v>
      </c>
      <c r="I80" s="6" t="s">
        <v>713</v>
      </c>
      <c r="J80" s="7" t="s">
        <v>793</v>
      </c>
      <c r="K80" s="6" t="s">
        <v>1538</v>
      </c>
      <c r="L80" s="7" t="s">
        <v>1609</v>
      </c>
      <c r="M80" s="6" t="s">
        <v>967</v>
      </c>
      <c r="N80" s="7" t="s">
        <v>684</v>
      </c>
      <c r="O80" s="6" t="s">
        <v>1171</v>
      </c>
      <c r="P80" s="7" t="s">
        <v>1313</v>
      </c>
      <c r="Q80" s="6" t="s">
        <v>1476</v>
      </c>
      <c r="R80" s="7" t="s">
        <v>1524</v>
      </c>
      <c r="S80" s="6" t="s">
        <v>248</v>
      </c>
      <c r="T80" s="7" t="s">
        <v>379</v>
      </c>
      <c r="U80" s="6" t="s">
        <v>1129</v>
      </c>
      <c r="V80" s="7" t="s">
        <v>684</v>
      </c>
      <c r="W80" s="6" t="s">
        <v>1722</v>
      </c>
      <c r="X80" s="7" t="s">
        <v>1776</v>
      </c>
      <c r="AI80" s="6">
        <f>SUM(Y80:AH80)</f>
        <v>0</v>
      </c>
      <c r="AJ80" s="6">
        <f>100-(AI80*(AI80/20))</f>
        <v>100</v>
      </c>
      <c r="AK80" s="18">
        <f>100-(AJ80*(AJ80/MAX(AJ65:AJ80)))</f>
        <v>0</v>
      </c>
      <c r="AL80" s="6">
        <v>36</v>
      </c>
    </row>
    <row r="81" spans="1:38" x14ac:dyDescent="0.2">
      <c r="A81" s="6">
        <v>38</v>
      </c>
      <c r="B81" s="6" t="s">
        <v>61</v>
      </c>
      <c r="C81" s="6" t="s">
        <v>2145</v>
      </c>
      <c r="D81" s="6" t="s">
        <v>2158</v>
      </c>
      <c r="E81" s="6" t="s">
        <v>564</v>
      </c>
      <c r="F81" s="7" t="s">
        <v>684</v>
      </c>
      <c r="G81" s="6" t="s">
        <v>1018</v>
      </c>
      <c r="H81" s="7" t="s">
        <v>684</v>
      </c>
      <c r="I81" s="6" t="s">
        <v>715</v>
      </c>
      <c r="J81" s="7" t="s">
        <v>795</v>
      </c>
      <c r="K81" s="6" t="s">
        <v>1540</v>
      </c>
      <c r="L81" s="7" t="s">
        <v>1611</v>
      </c>
      <c r="M81" s="6" t="s">
        <v>969</v>
      </c>
      <c r="N81" s="7" t="s">
        <v>684</v>
      </c>
      <c r="O81" s="6" t="s">
        <v>1173</v>
      </c>
      <c r="P81" s="7" t="s">
        <v>1315</v>
      </c>
      <c r="Q81" s="6" t="s">
        <v>1476</v>
      </c>
      <c r="R81" s="7" t="s">
        <v>1524</v>
      </c>
      <c r="S81" s="6" t="s">
        <v>250</v>
      </c>
      <c r="T81" s="7" t="s">
        <v>381</v>
      </c>
      <c r="U81" s="6" t="s">
        <v>1131</v>
      </c>
      <c r="V81" s="7" t="s">
        <v>684</v>
      </c>
      <c r="W81" s="6" t="s">
        <v>1716</v>
      </c>
      <c r="X81" s="7" t="s">
        <v>1776</v>
      </c>
      <c r="AI81" s="6">
        <f>SUM(Y81:AH81)</f>
        <v>0</v>
      </c>
      <c r="AJ81" s="6">
        <f>100-(AI81*(AI81/20))</f>
        <v>100</v>
      </c>
      <c r="AK81" s="18">
        <f>100-(AJ81*(AJ81/MAX(AJ66:AJ81)))</f>
        <v>0</v>
      </c>
      <c r="AL81" s="6">
        <v>38</v>
      </c>
    </row>
    <row r="82" spans="1:38" x14ac:dyDescent="0.2">
      <c r="A82" s="37">
        <v>41</v>
      </c>
      <c r="B82" s="37" t="s">
        <v>64</v>
      </c>
      <c r="C82" s="37" t="s">
        <v>2145</v>
      </c>
      <c r="D82" s="37" t="s">
        <v>2160</v>
      </c>
      <c r="E82" s="37" t="s">
        <v>567</v>
      </c>
      <c r="F82" s="38" t="s">
        <v>684</v>
      </c>
      <c r="G82" s="37" t="s">
        <v>1021</v>
      </c>
      <c r="H82" s="38" t="s">
        <v>684</v>
      </c>
      <c r="I82" s="37" t="s">
        <v>717</v>
      </c>
      <c r="J82" s="38" t="s">
        <v>798</v>
      </c>
      <c r="K82" s="37" t="s">
        <v>1541</v>
      </c>
      <c r="L82" s="38" t="s">
        <v>1614</v>
      </c>
      <c r="M82" s="37" t="s">
        <v>970</v>
      </c>
      <c r="N82" s="38" t="s">
        <v>684</v>
      </c>
      <c r="O82" s="37" t="s">
        <v>1176</v>
      </c>
      <c r="P82" s="38" t="s">
        <v>1318</v>
      </c>
      <c r="Q82" s="37" t="s">
        <v>1476</v>
      </c>
      <c r="R82" s="38" t="s">
        <v>1524</v>
      </c>
      <c r="S82" s="37" t="s">
        <v>251</v>
      </c>
      <c r="T82" s="38" t="s">
        <v>383</v>
      </c>
      <c r="U82" s="37" t="s">
        <v>723</v>
      </c>
      <c r="V82" s="38" t="s">
        <v>684</v>
      </c>
      <c r="W82" s="37" t="s">
        <v>1707</v>
      </c>
      <c r="X82" s="38" t="s">
        <v>1776</v>
      </c>
      <c r="AI82" s="6">
        <f>SUM(Y82:AH82)</f>
        <v>0</v>
      </c>
      <c r="AJ82" s="6">
        <f>100-(AI82*(AI82/20))</f>
        <v>100</v>
      </c>
      <c r="AK82" s="18">
        <f>100-(AJ82*(AJ82/MAX(AJ78:AJ82)))</f>
        <v>0</v>
      </c>
      <c r="AL82" s="6">
        <v>41</v>
      </c>
    </row>
    <row r="83" spans="1:38" x14ac:dyDescent="0.2">
      <c r="A83" s="37">
        <v>55</v>
      </c>
      <c r="B83" s="37" t="s">
        <v>78</v>
      </c>
      <c r="C83" s="37" t="s">
        <v>2145</v>
      </c>
      <c r="D83" s="37" t="s">
        <v>2160</v>
      </c>
      <c r="E83" s="37" t="s">
        <v>581</v>
      </c>
      <c r="F83" s="38" t="s">
        <v>684</v>
      </c>
      <c r="G83" s="37" t="s">
        <v>1035</v>
      </c>
      <c r="H83" s="38" t="s">
        <v>684</v>
      </c>
      <c r="I83" s="37" t="s">
        <v>728</v>
      </c>
      <c r="J83" s="38" t="s">
        <v>812</v>
      </c>
      <c r="K83" s="37" t="s">
        <v>723</v>
      </c>
      <c r="L83" s="38" t="s">
        <v>1626</v>
      </c>
      <c r="M83" s="37" t="s">
        <v>723</v>
      </c>
      <c r="N83" s="38" t="s">
        <v>684</v>
      </c>
      <c r="O83" s="37" t="s">
        <v>1148</v>
      </c>
      <c r="P83" s="38" t="s">
        <v>1332</v>
      </c>
      <c r="Q83" s="37" t="s">
        <v>1495</v>
      </c>
      <c r="R83" s="38" t="s">
        <v>1524</v>
      </c>
      <c r="S83" s="37" t="s">
        <v>257</v>
      </c>
      <c r="T83" s="38" t="s">
        <v>395</v>
      </c>
      <c r="U83" s="37" t="s">
        <v>723</v>
      </c>
      <c r="V83" s="38" t="s">
        <v>684</v>
      </c>
      <c r="W83" s="37" t="s">
        <v>1725</v>
      </c>
      <c r="X83" s="38" t="s">
        <v>1775</v>
      </c>
      <c r="AI83" s="6">
        <f>SUM(Y83:AH83)</f>
        <v>0</v>
      </c>
      <c r="AJ83" s="6">
        <f>100-(AI83*(AI83/20))</f>
        <v>100</v>
      </c>
      <c r="AK83" s="18">
        <f>100-(AJ83*(AJ83/MAX(AJ78:AJ83)))</f>
        <v>0</v>
      </c>
      <c r="AL83" s="6">
        <v>55</v>
      </c>
    </row>
    <row r="84" spans="1:38" x14ac:dyDescent="0.2">
      <c r="A84" s="37">
        <v>71</v>
      </c>
      <c r="B84" s="37" t="s">
        <v>94</v>
      </c>
      <c r="C84" s="37" t="s">
        <v>2145</v>
      </c>
      <c r="D84" s="37" t="s">
        <v>2160</v>
      </c>
      <c r="E84" s="37" t="s">
        <v>262</v>
      </c>
      <c r="F84" s="38" t="s">
        <v>684</v>
      </c>
      <c r="G84" s="37" t="s">
        <v>262</v>
      </c>
      <c r="H84" s="38" t="s">
        <v>684</v>
      </c>
      <c r="I84" s="37" t="s">
        <v>723</v>
      </c>
      <c r="J84" s="38" t="s">
        <v>827</v>
      </c>
      <c r="K84" s="37" t="s">
        <v>723</v>
      </c>
      <c r="L84" s="38" t="s">
        <v>827</v>
      </c>
      <c r="M84" s="37" t="s">
        <v>723</v>
      </c>
      <c r="N84" s="38" t="s">
        <v>684</v>
      </c>
      <c r="O84" s="37" t="s">
        <v>1193</v>
      </c>
      <c r="P84" s="38" t="s">
        <v>1347</v>
      </c>
      <c r="Q84" s="37" t="s">
        <v>1500</v>
      </c>
      <c r="R84" s="38" t="s">
        <v>1524</v>
      </c>
      <c r="S84" s="37" t="s">
        <v>262</v>
      </c>
      <c r="T84" s="38" t="s">
        <v>410</v>
      </c>
      <c r="U84" s="37" t="s">
        <v>723</v>
      </c>
      <c r="V84" s="38" t="s">
        <v>684</v>
      </c>
      <c r="W84" s="37" t="s">
        <v>1728</v>
      </c>
      <c r="X84" s="38" t="s">
        <v>1775</v>
      </c>
      <c r="AI84" s="6">
        <f>SUM(Y84:AH84)</f>
        <v>0</v>
      </c>
      <c r="AJ84" s="6">
        <f>100-(AI84*(AI84/20))</f>
        <v>100</v>
      </c>
      <c r="AK84" s="18">
        <f>100-(AJ84*(AJ84/MAX(AJ78:AJ84)))</f>
        <v>0</v>
      </c>
      <c r="AL84" s="6">
        <v>71</v>
      </c>
    </row>
    <row r="85" spans="1:38" x14ac:dyDescent="0.2">
      <c r="A85" s="37">
        <v>76</v>
      </c>
      <c r="B85" s="37" t="s">
        <v>99</v>
      </c>
      <c r="C85" s="37" t="s">
        <v>2145</v>
      </c>
      <c r="D85" s="37" t="s">
        <v>2160</v>
      </c>
      <c r="E85" s="37" t="s">
        <v>597</v>
      </c>
      <c r="F85" s="38" t="s">
        <v>684</v>
      </c>
      <c r="G85" s="37" t="s">
        <v>262</v>
      </c>
      <c r="H85" s="38" t="s">
        <v>684</v>
      </c>
      <c r="I85" s="37" t="s">
        <v>723</v>
      </c>
      <c r="J85" s="38" t="s">
        <v>832</v>
      </c>
      <c r="K85" s="37" t="s">
        <v>723</v>
      </c>
      <c r="L85" s="38" t="s">
        <v>832</v>
      </c>
      <c r="M85" s="37" t="s">
        <v>723</v>
      </c>
      <c r="N85" s="38" t="s">
        <v>684</v>
      </c>
      <c r="O85" s="37" t="s">
        <v>1195</v>
      </c>
      <c r="P85" s="38" t="s">
        <v>1352</v>
      </c>
      <c r="Q85" s="37" t="s">
        <v>1488</v>
      </c>
      <c r="R85" s="38" t="s">
        <v>1524</v>
      </c>
      <c r="S85" s="37" t="s">
        <v>262</v>
      </c>
      <c r="T85" s="38" t="s">
        <v>415</v>
      </c>
      <c r="U85" s="37" t="s">
        <v>723</v>
      </c>
      <c r="V85" s="38" t="s">
        <v>684</v>
      </c>
      <c r="W85" s="37" t="s">
        <v>1732</v>
      </c>
      <c r="X85" s="38" t="s">
        <v>1775</v>
      </c>
      <c r="AI85" s="6">
        <f>SUM(Y85:AH85)</f>
        <v>0</v>
      </c>
      <c r="AJ85" s="6">
        <f>100-(AI85*(AI85/20))</f>
        <v>100</v>
      </c>
      <c r="AK85" s="18">
        <f>100-(AJ85*(AJ85/MAX(AJ78:AJ85)))</f>
        <v>0</v>
      </c>
      <c r="AL85" s="6">
        <v>76</v>
      </c>
    </row>
    <row r="86" spans="1:38" x14ac:dyDescent="0.2">
      <c r="A86" s="37">
        <v>125</v>
      </c>
      <c r="B86" s="37" t="s">
        <v>148</v>
      </c>
      <c r="C86" s="37" t="s">
        <v>2145</v>
      </c>
      <c r="D86" s="37" t="s">
        <v>2160</v>
      </c>
      <c r="E86" s="37" t="s">
        <v>631</v>
      </c>
      <c r="F86" s="38" t="s">
        <v>684</v>
      </c>
      <c r="G86" s="37" t="s">
        <v>1081</v>
      </c>
      <c r="H86" s="38" t="s">
        <v>684</v>
      </c>
      <c r="I86" s="37" t="s">
        <v>723</v>
      </c>
      <c r="J86" s="38" t="s">
        <v>881</v>
      </c>
      <c r="K86" s="37" t="s">
        <v>723</v>
      </c>
      <c r="L86" s="38" t="s">
        <v>881</v>
      </c>
      <c r="M86" s="37" t="s">
        <v>723</v>
      </c>
      <c r="N86" s="38" t="s">
        <v>684</v>
      </c>
      <c r="O86" s="37" t="s">
        <v>1236</v>
      </c>
      <c r="P86" s="38" t="s">
        <v>1401</v>
      </c>
      <c r="Q86" s="37" t="s">
        <v>1514</v>
      </c>
      <c r="R86" s="38" t="s">
        <v>1524</v>
      </c>
      <c r="S86" s="37" t="s">
        <v>262</v>
      </c>
      <c r="T86" s="38" t="s">
        <v>462</v>
      </c>
      <c r="U86" s="37" t="s">
        <v>723</v>
      </c>
      <c r="V86" s="38" t="s">
        <v>684</v>
      </c>
      <c r="W86" s="37" t="s">
        <v>689</v>
      </c>
      <c r="X86" s="38" t="s">
        <v>1775</v>
      </c>
      <c r="AI86" s="6">
        <f>SUM(Y86:AH86)</f>
        <v>0</v>
      </c>
      <c r="AJ86" s="6">
        <f>100-(AI86*(AI86/20))</f>
        <v>100</v>
      </c>
      <c r="AK86" s="18">
        <f>100-(AJ86*(AJ86/MAX(AJ78:AJ86)))</f>
        <v>0</v>
      </c>
      <c r="AL86" s="6">
        <v>125</v>
      </c>
    </row>
    <row r="87" spans="1:38" x14ac:dyDescent="0.2">
      <c r="A87" s="37">
        <v>133</v>
      </c>
      <c r="B87" s="37" t="s">
        <v>156</v>
      </c>
      <c r="C87" s="37" t="s">
        <v>2145</v>
      </c>
      <c r="D87" s="37" t="s">
        <v>2160</v>
      </c>
      <c r="E87" s="37" t="s">
        <v>638</v>
      </c>
      <c r="F87" s="38" t="s">
        <v>684</v>
      </c>
      <c r="G87" s="37" t="s">
        <v>1085</v>
      </c>
      <c r="H87" s="38" t="s">
        <v>684</v>
      </c>
      <c r="I87" s="37" t="s">
        <v>755</v>
      </c>
      <c r="J87" s="38" t="s">
        <v>889</v>
      </c>
      <c r="K87" s="37" t="s">
        <v>755</v>
      </c>
      <c r="L87" s="38" t="s">
        <v>1670</v>
      </c>
      <c r="M87" s="37" t="s">
        <v>723</v>
      </c>
      <c r="N87" s="38" t="s">
        <v>684</v>
      </c>
      <c r="O87" s="37" t="s">
        <v>1243</v>
      </c>
      <c r="P87" s="38" t="s">
        <v>1409</v>
      </c>
      <c r="Q87" s="37" t="s">
        <v>723</v>
      </c>
      <c r="R87" s="38" t="s">
        <v>1524</v>
      </c>
      <c r="S87" s="37" t="s">
        <v>309</v>
      </c>
      <c r="T87" s="38" t="s">
        <v>470</v>
      </c>
      <c r="U87" s="37" t="s">
        <v>723</v>
      </c>
      <c r="V87" s="38" t="s">
        <v>684</v>
      </c>
      <c r="W87" s="37" t="s">
        <v>1758</v>
      </c>
      <c r="X87" s="38" t="s">
        <v>1775</v>
      </c>
      <c r="AI87" s="6">
        <f>SUM(Y87:AH87)</f>
        <v>0</v>
      </c>
      <c r="AJ87" s="6">
        <f>100-(AI87*(AI87/20))</f>
        <v>100</v>
      </c>
      <c r="AK87" s="18">
        <f>100-(AJ87*(AJ87/MAX(AJ78:AJ87)))</f>
        <v>0</v>
      </c>
      <c r="AL87" s="6">
        <v>133</v>
      </c>
    </row>
    <row r="88" spans="1:38" x14ac:dyDescent="0.2">
      <c r="A88" s="27">
        <v>33</v>
      </c>
      <c r="B88" s="27" t="s">
        <v>56</v>
      </c>
      <c r="C88" s="27" t="s">
        <v>2145</v>
      </c>
      <c r="D88" s="27" t="s">
        <v>2157</v>
      </c>
      <c r="E88" s="27" t="s">
        <v>2181</v>
      </c>
      <c r="F88" s="28" t="s">
        <v>2182</v>
      </c>
      <c r="G88" s="27" t="s">
        <v>2183</v>
      </c>
      <c r="H88" s="28" t="s">
        <v>2184</v>
      </c>
      <c r="I88" s="27" t="s">
        <v>2185</v>
      </c>
      <c r="J88" s="28" t="s">
        <v>2186</v>
      </c>
      <c r="K88" s="27" t="s">
        <v>2167</v>
      </c>
      <c r="L88" s="28" t="s">
        <v>2168</v>
      </c>
      <c r="M88" s="27" t="s">
        <v>2187</v>
      </c>
      <c r="N88" s="28" t="s">
        <v>2188</v>
      </c>
      <c r="O88" s="27" t="s">
        <v>2189</v>
      </c>
      <c r="P88" s="28" t="s">
        <v>2190</v>
      </c>
      <c r="Q88" s="27" t="s">
        <v>2191</v>
      </c>
      <c r="R88" s="28" t="s">
        <v>2169</v>
      </c>
      <c r="S88" s="27" t="s">
        <v>2192</v>
      </c>
      <c r="T88" s="28" t="s">
        <v>2193</v>
      </c>
      <c r="U88" s="27" t="s">
        <v>2194</v>
      </c>
      <c r="V88" s="28" t="s">
        <v>2170</v>
      </c>
      <c r="W88" s="27" t="s">
        <v>2195</v>
      </c>
      <c r="X88" s="28" t="s">
        <v>2171</v>
      </c>
      <c r="AI88" s="6">
        <f>SUM(Y88:AH88)</f>
        <v>0</v>
      </c>
      <c r="AJ88" s="6">
        <f>100-(AI88*(AI88/20))</f>
        <v>100</v>
      </c>
      <c r="AK88" s="18">
        <f>100-(AJ88*(AJ88/MAX(AJ88:AJ90)))</f>
        <v>0</v>
      </c>
      <c r="AL88" s="6">
        <v>33</v>
      </c>
    </row>
    <row r="89" spans="1:38" x14ac:dyDescent="0.2">
      <c r="A89" s="27">
        <v>112</v>
      </c>
      <c r="B89" s="27" t="s">
        <v>135</v>
      </c>
      <c r="C89" s="27" t="s">
        <v>2145</v>
      </c>
      <c r="D89" s="27" t="s">
        <v>2157</v>
      </c>
      <c r="E89" s="27" t="s">
        <v>623</v>
      </c>
      <c r="F89" s="28" t="s">
        <v>684</v>
      </c>
      <c r="G89" s="27" t="s">
        <v>1073</v>
      </c>
      <c r="H89" s="28" t="s">
        <v>684</v>
      </c>
      <c r="I89" s="27" t="s">
        <v>755</v>
      </c>
      <c r="J89" s="28" t="s">
        <v>868</v>
      </c>
      <c r="K89" s="27" t="s">
        <v>755</v>
      </c>
      <c r="L89" s="28" t="s">
        <v>1661</v>
      </c>
      <c r="M89" s="27" t="s">
        <v>689</v>
      </c>
      <c r="N89" s="28" t="s">
        <v>684</v>
      </c>
      <c r="O89" s="27" t="s">
        <v>1224</v>
      </c>
      <c r="P89" s="28" t="s">
        <v>1388</v>
      </c>
      <c r="Q89" s="27" t="s">
        <v>723</v>
      </c>
      <c r="R89" s="28" t="s">
        <v>1524</v>
      </c>
      <c r="S89" s="27" t="s">
        <v>295</v>
      </c>
      <c r="T89" s="28" t="s">
        <v>450</v>
      </c>
      <c r="U89" s="27" t="s">
        <v>1137</v>
      </c>
      <c r="V89" s="28" t="s">
        <v>684</v>
      </c>
      <c r="W89" s="27" t="s">
        <v>1751</v>
      </c>
      <c r="X89" s="28" t="s">
        <v>1775</v>
      </c>
      <c r="AI89" s="6">
        <f>SUM(Y89:AH89)</f>
        <v>0</v>
      </c>
      <c r="AJ89" s="6">
        <f>100-(AI89*(AI89/20))</f>
        <v>100</v>
      </c>
      <c r="AK89" s="18">
        <f>100-(AJ89*(AJ89/MAX(AJ88:AJ90)))</f>
        <v>0</v>
      </c>
      <c r="AL89" s="6">
        <v>112</v>
      </c>
    </row>
    <row r="90" spans="1:38" x14ac:dyDescent="0.2">
      <c r="A90" s="27">
        <v>187</v>
      </c>
      <c r="B90" s="27" t="s">
        <v>210</v>
      </c>
      <c r="C90" s="27" t="s">
        <v>2145</v>
      </c>
      <c r="D90" s="27" t="s">
        <v>2157</v>
      </c>
      <c r="E90" s="27" t="s">
        <v>674</v>
      </c>
      <c r="F90" s="28" t="s">
        <v>684</v>
      </c>
      <c r="G90" s="27" t="s">
        <v>262</v>
      </c>
      <c r="H90" s="28" t="s">
        <v>684</v>
      </c>
      <c r="I90" s="27" t="s">
        <v>759</v>
      </c>
      <c r="J90" s="28" t="s">
        <v>943</v>
      </c>
      <c r="K90" s="27" t="s">
        <v>689</v>
      </c>
      <c r="L90" s="28" t="s">
        <v>1700</v>
      </c>
      <c r="M90" s="27" t="s">
        <v>755</v>
      </c>
      <c r="N90" s="28" t="s">
        <v>684</v>
      </c>
      <c r="O90" s="27" t="s">
        <v>1181</v>
      </c>
      <c r="P90" s="28" t="s">
        <v>1463</v>
      </c>
      <c r="Q90" s="27" t="s">
        <v>723</v>
      </c>
      <c r="R90" s="28" t="s">
        <v>1524</v>
      </c>
      <c r="S90" s="27" t="s">
        <v>338</v>
      </c>
      <c r="T90" s="28" t="s">
        <v>521</v>
      </c>
      <c r="U90" s="27" t="s">
        <v>723</v>
      </c>
      <c r="V90" s="28" t="s">
        <v>684</v>
      </c>
      <c r="W90" s="27" t="s">
        <v>723</v>
      </c>
      <c r="X90" s="28" t="s">
        <v>1775</v>
      </c>
      <c r="AI90" s="6">
        <f>SUM(Y90:AH90)</f>
        <v>0</v>
      </c>
      <c r="AJ90" s="6">
        <f>100-(AI90*(AI90/20))</f>
        <v>100</v>
      </c>
      <c r="AK90" s="18">
        <f>100-(AJ90*(AJ90/MAX(AJ88:AJ90)))</f>
        <v>0</v>
      </c>
      <c r="AL90" s="6">
        <v>187</v>
      </c>
    </row>
    <row r="91" spans="1:38" x14ac:dyDescent="0.2">
      <c r="A91" s="35">
        <v>82</v>
      </c>
      <c r="B91" s="35" t="s">
        <v>105</v>
      </c>
      <c r="C91" s="35" t="s">
        <v>2140</v>
      </c>
      <c r="D91" s="35" t="s">
        <v>2162</v>
      </c>
      <c r="E91" s="35" t="s">
        <v>602</v>
      </c>
      <c r="F91" s="36" t="s">
        <v>684</v>
      </c>
      <c r="G91" s="35" t="s">
        <v>262</v>
      </c>
      <c r="H91" s="36" t="s">
        <v>684</v>
      </c>
      <c r="I91" s="35" t="s">
        <v>723</v>
      </c>
      <c r="J91" s="36" t="s">
        <v>838</v>
      </c>
      <c r="K91" s="35" t="s">
        <v>723</v>
      </c>
      <c r="L91" s="36" t="s">
        <v>838</v>
      </c>
      <c r="M91" s="35" t="s">
        <v>723</v>
      </c>
      <c r="N91" s="36" t="s">
        <v>684</v>
      </c>
      <c r="O91" s="35" t="s">
        <v>1201</v>
      </c>
      <c r="P91" s="36" t="s">
        <v>1358</v>
      </c>
      <c r="Q91" s="35" t="s">
        <v>689</v>
      </c>
      <c r="R91" s="36" t="s">
        <v>1524</v>
      </c>
      <c r="S91" s="35" t="s">
        <v>262</v>
      </c>
      <c r="T91" s="36" t="s">
        <v>420</v>
      </c>
      <c r="U91" s="35" t="s">
        <v>723</v>
      </c>
      <c r="V91" s="36" t="s">
        <v>684</v>
      </c>
      <c r="W91" s="35" t="s">
        <v>1731</v>
      </c>
      <c r="X91" s="36" t="s">
        <v>1776</v>
      </c>
      <c r="AI91" s="6">
        <f>SUM(Y91:AH91)</f>
        <v>0</v>
      </c>
      <c r="AJ91" s="6">
        <f>100-(AI91*(AI91/20))</f>
        <v>100</v>
      </c>
      <c r="AK91" s="18">
        <f>100-(AJ91*(AJ91/MAX(AJ80:AJ91)))</f>
        <v>0</v>
      </c>
      <c r="AL91" s="6">
        <v>82</v>
      </c>
    </row>
    <row r="92" spans="1:38" x14ac:dyDescent="0.2">
      <c r="A92" s="35">
        <v>88</v>
      </c>
      <c r="B92" s="35" t="s">
        <v>111</v>
      </c>
      <c r="C92" s="35" t="s">
        <v>2140</v>
      </c>
      <c r="D92" s="35" t="s">
        <v>2162</v>
      </c>
      <c r="E92" s="35" t="s">
        <v>588</v>
      </c>
      <c r="F92" s="36" t="s">
        <v>684</v>
      </c>
      <c r="G92" s="35" t="s">
        <v>1057</v>
      </c>
      <c r="H92" s="36" t="s">
        <v>684</v>
      </c>
      <c r="I92" s="35" t="s">
        <v>748</v>
      </c>
      <c r="J92" s="36" t="s">
        <v>844</v>
      </c>
      <c r="K92" s="35" t="s">
        <v>723</v>
      </c>
      <c r="L92" s="36" t="s">
        <v>1648</v>
      </c>
      <c r="M92" s="35" t="s">
        <v>723</v>
      </c>
      <c r="N92" s="36" t="s">
        <v>684</v>
      </c>
      <c r="O92" s="35" t="s">
        <v>1160</v>
      </c>
      <c r="P92" s="36" t="s">
        <v>1364</v>
      </c>
      <c r="Q92" s="35" t="s">
        <v>1506</v>
      </c>
      <c r="R92" s="36" t="s">
        <v>1524</v>
      </c>
      <c r="S92" s="35" t="s">
        <v>280</v>
      </c>
      <c r="T92" s="36" t="s">
        <v>426</v>
      </c>
      <c r="U92" s="35" t="s">
        <v>723</v>
      </c>
      <c r="V92" s="36" t="s">
        <v>684</v>
      </c>
      <c r="W92" s="35" t="s">
        <v>1727</v>
      </c>
      <c r="X92" s="36" t="s">
        <v>1775</v>
      </c>
      <c r="AI92" s="6">
        <f>SUM(Y92:AH92)</f>
        <v>0</v>
      </c>
      <c r="AJ92" s="6">
        <f>100-(AI92*(AI92/20))</f>
        <v>100</v>
      </c>
      <c r="AK92" s="18">
        <f>100-(AJ92*(AJ92/MAX(AJ80:AJ92)))</f>
        <v>0</v>
      </c>
      <c r="AL92" s="6">
        <v>88</v>
      </c>
    </row>
    <row r="93" spans="1:38" x14ac:dyDescent="0.2">
      <c r="A93" s="35">
        <v>96</v>
      </c>
      <c r="B93" s="35" t="s">
        <v>119</v>
      </c>
      <c r="C93" s="35" t="s">
        <v>2140</v>
      </c>
      <c r="D93" s="35" t="s">
        <v>2162</v>
      </c>
      <c r="E93" s="35" t="s">
        <v>614</v>
      </c>
      <c r="F93" s="36" t="s">
        <v>684</v>
      </c>
      <c r="G93" s="35" t="s">
        <v>1063</v>
      </c>
      <c r="H93" s="36" t="s">
        <v>684</v>
      </c>
      <c r="I93" s="35" t="s">
        <v>723</v>
      </c>
      <c r="J93" s="36" t="s">
        <v>852</v>
      </c>
      <c r="K93" s="35" t="s">
        <v>723</v>
      </c>
      <c r="L93" s="36" t="s">
        <v>852</v>
      </c>
      <c r="M93" s="35" t="s">
        <v>723</v>
      </c>
      <c r="N93" s="36" t="s">
        <v>684</v>
      </c>
      <c r="O93" s="35" t="s">
        <v>1212</v>
      </c>
      <c r="P93" s="36" t="s">
        <v>1372</v>
      </c>
      <c r="Q93" s="35" t="s">
        <v>1497</v>
      </c>
      <c r="R93" s="36" t="s">
        <v>1524</v>
      </c>
      <c r="S93" s="35" t="s">
        <v>286</v>
      </c>
      <c r="T93" s="36" t="s">
        <v>434</v>
      </c>
      <c r="U93" s="35" t="s">
        <v>723</v>
      </c>
      <c r="V93" s="36" t="s">
        <v>684</v>
      </c>
      <c r="W93" s="35" t="s">
        <v>1747</v>
      </c>
      <c r="X93" s="36" t="s">
        <v>1775</v>
      </c>
      <c r="AI93" s="6">
        <f>SUM(Y93:AH93)</f>
        <v>0</v>
      </c>
      <c r="AJ93" s="6">
        <f>100-(AI93*(AI93/20))</f>
        <v>100</v>
      </c>
      <c r="AK93" s="18">
        <f>100-(AJ93*(AJ93/MAX(AJ80:AJ93)))</f>
        <v>0</v>
      </c>
      <c r="AL93" s="6">
        <v>96</v>
      </c>
    </row>
    <row r="94" spans="1:38" x14ac:dyDescent="0.2">
      <c r="A94" s="35">
        <v>166</v>
      </c>
      <c r="B94" s="35" t="s">
        <v>189</v>
      </c>
      <c r="C94" s="35" t="s">
        <v>2140</v>
      </c>
      <c r="D94" s="35" t="s">
        <v>2162</v>
      </c>
      <c r="E94" s="35" t="s">
        <v>662</v>
      </c>
      <c r="F94" s="36" t="s">
        <v>684</v>
      </c>
      <c r="G94" s="35" t="s">
        <v>262</v>
      </c>
      <c r="H94" s="36" t="s">
        <v>684</v>
      </c>
      <c r="I94" s="35" t="s">
        <v>723</v>
      </c>
      <c r="J94" s="36" t="s">
        <v>922</v>
      </c>
      <c r="K94" s="35" t="s">
        <v>723</v>
      </c>
      <c r="L94" s="36" t="s">
        <v>922</v>
      </c>
      <c r="M94" s="35" t="s">
        <v>723</v>
      </c>
      <c r="N94" s="36" t="s">
        <v>684</v>
      </c>
      <c r="O94" s="35" t="s">
        <v>1265</v>
      </c>
      <c r="P94" s="36" t="s">
        <v>1442</v>
      </c>
      <c r="Q94" s="35" t="s">
        <v>689</v>
      </c>
      <c r="R94" s="36" t="s">
        <v>1524</v>
      </c>
      <c r="S94" s="35" t="s">
        <v>262</v>
      </c>
      <c r="T94" s="36" t="s">
        <v>365</v>
      </c>
      <c r="U94" s="35" t="s">
        <v>723</v>
      </c>
      <c r="V94" s="36" t="s">
        <v>684</v>
      </c>
      <c r="W94" s="35" t="s">
        <v>1765</v>
      </c>
      <c r="X94" s="36" t="s">
        <v>1775</v>
      </c>
      <c r="AI94" s="6">
        <f>SUM(Y94:AH94)</f>
        <v>0</v>
      </c>
      <c r="AJ94" s="6">
        <f>100-(AI94*(AI94/20))</f>
        <v>100</v>
      </c>
      <c r="AK94" s="18">
        <f>100-(AJ94*(AJ94/MAX(AJ80:AJ94)))</f>
        <v>0</v>
      </c>
      <c r="AL94" s="6">
        <v>166</v>
      </c>
    </row>
    <row r="95" spans="1:38" x14ac:dyDescent="0.2">
      <c r="A95" s="35">
        <v>171</v>
      </c>
      <c r="B95" s="35" t="s">
        <v>194</v>
      </c>
      <c r="C95" s="35" t="s">
        <v>2140</v>
      </c>
      <c r="D95" s="35" t="s">
        <v>2162</v>
      </c>
      <c r="E95" s="35" t="s">
        <v>262</v>
      </c>
      <c r="F95" s="36" t="s">
        <v>684</v>
      </c>
      <c r="G95" s="35" t="s">
        <v>262</v>
      </c>
      <c r="H95" s="36" t="s">
        <v>684</v>
      </c>
      <c r="I95" s="35" t="s">
        <v>723</v>
      </c>
      <c r="J95" s="36" t="s">
        <v>927</v>
      </c>
      <c r="K95" s="35" t="s">
        <v>723</v>
      </c>
      <c r="L95" s="36" t="s">
        <v>927</v>
      </c>
      <c r="M95" s="35" t="s">
        <v>723</v>
      </c>
      <c r="N95" s="36" t="s">
        <v>684</v>
      </c>
      <c r="O95" s="35" t="s">
        <v>1152</v>
      </c>
      <c r="P95" s="36" t="s">
        <v>1447</v>
      </c>
      <c r="Q95" s="35" t="s">
        <v>689</v>
      </c>
      <c r="R95" s="36" t="s">
        <v>1524</v>
      </c>
      <c r="S95" s="35" t="s">
        <v>262</v>
      </c>
      <c r="T95" s="36" t="s">
        <v>506</v>
      </c>
      <c r="U95" s="35" t="s">
        <v>723</v>
      </c>
      <c r="V95" s="36" t="s">
        <v>684</v>
      </c>
      <c r="W95" s="35" t="s">
        <v>689</v>
      </c>
      <c r="X95" s="36" t="s">
        <v>1775</v>
      </c>
      <c r="AI95" s="6">
        <f>SUM(Y95:AH95)</f>
        <v>0</v>
      </c>
      <c r="AJ95" s="6">
        <f>100-(AI95*(AI95/20))</f>
        <v>100</v>
      </c>
      <c r="AK95" s="18">
        <f>100-(AJ95*(AJ95/MAX(AJ80:AJ95)))</f>
        <v>0</v>
      </c>
      <c r="AL95" s="6">
        <v>171</v>
      </c>
    </row>
    <row r="96" spans="1:38" x14ac:dyDescent="0.2">
      <c r="A96" s="35">
        <v>193</v>
      </c>
      <c r="B96" s="35" t="s">
        <v>216</v>
      </c>
      <c r="C96" s="35" t="s">
        <v>2140</v>
      </c>
      <c r="D96" s="35" t="s">
        <v>2162</v>
      </c>
      <c r="E96" s="35" t="s">
        <v>262</v>
      </c>
      <c r="F96" s="36" t="s">
        <v>684</v>
      </c>
      <c r="G96" s="35" t="s">
        <v>262</v>
      </c>
      <c r="H96" s="36" t="s">
        <v>684</v>
      </c>
      <c r="I96" s="35" t="s">
        <v>723</v>
      </c>
      <c r="J96" s="36" t="s">
        <v>949</v>
      </c>
      <c r="K96" s="35" t="s">
        <v>723</v>
      </c>
      <c r="L96" s="36" t="s">
        <v>949</v>
      </c>
      <c r="M96" s="35" t="s">
        <v>723</v>
      </c>
      <c r="N96" s="36" t="s">
        <v>684</v>
      </c>
      <c r="O96" s="35" t="s">
        <v>1152</v>
      </c>
      <c r="P96" s="36" t="s">
        <v>1469</v>
      </c>
      <c r="Q96" s="35" t="s">
        <v>689</v>
      </c>
      <c r="R96" s="36" t="s">
        <v>1524</v>
      </c>
      <c r="S96" s="35" t="s">
        <v>262</v>
      </c>
      <c r="T96" s="36" t="s">
        <v>526</v>
      </c>
      <c r="U96" s="35" t="s">
        <v>723</v>
      </c>
      <c r="V96" s="36" t="s">
        <v>684</v>
      </c>
      <c r="W96" s="35" t="s">
        <v>689</v>
      </c>
      <c r="X96" s="36" t="s">
        <v>1775</v>
      </c>
      <c r="AI96" s="6">
        <f>SUM(Y96:AH96)</f>
        <v>0</v>
      </c>
      <c r="AJ96" s="6">
        <f>100-(AI96*(AI96/20))</f>
        <v>100</v>
      </c>
      <c r="AK96" s="18">
        <f>100-(AJ96*(AJ96/MAX(AJ93:AJ96)))</f>
        <v>0</v>
      </c>
      <c r="AL96" s="6">
        <v>193</v>
      </c>
    </row>
    <row r="97" spans="1:38" x14ac:dyDescent="0.2">
      <c r="A97" s="6">
        <v>26</v>
      </c>
      <c r="B97" s="6" t="s">
        <v>49</v>
      </c>
      <c r="C97" s="6" t="s">
        <v>2140</v>
      </c>
      <c r="D97" s="6" t="s">
        <v>2154</v>
      </c>
      <c r="E97" s="6" t="s">
        <v>553</v>
      </c>
      <c r="F97" s="7" t="s">
        <v>684</v>
      </c>
      <c r="G97" s="6" t="s">
        <v>1005</v>
      </c>
      <c r="H97" s="7" t="s">
        <v>684</v>
      </c>
      <c r="I97" s="6" t="s">
        <v>708</v>
      </c>
      <c r="J97" s="7" t="s">
        <v>784</v>
      </c>
      <c r="K97" s="6" t="s">
        <v>1535</v>
      </c>
      <c r="L97" s="7" t="s">
        <v>1600</v>
      </c>
      <c r="M97" s="6" t="s">
        <v>723</v>
      </c>
      <c r="N97" s="7" t="s">
        <v>684</v>
      </c>
      <c r="O97" s="6" t="s">
        <v>1163</v>
      </c>
      <c r="P97" s="7" t="s">
        <v>1304</v>
      </c>
      <c r="Q97" s="6" t="s">
        <v>1480</v>
      </c>
      <c r="R97" s="7" t="s">
        <v>1524</v>
      </c>
      <c r="S97" s="6" t="s">
        <v>232</v>
      </c>
      <c r="T97" s="7" t="s">
        <v>369</v>
      </c>
      <c r="U97" s="6" t="s">
        <v>723</v>
      </c>
      <c r="V97" s="7" t="s">
        <v>684</v>
      </c>
      <c r="W97" s="6" t="s">
        <v>1720</v>
      </c>
      <c r="X97" s="7" t="s">
        <v>1776</v>
      </c>
      <c r="AI97" s="6">
        <f>SUM(Y97:AH97)</f>
        <v>0</v>
      </c>
      <c r="AJ97" s="6">
        <f>100-(AI97*(AI97/20))</f>
        <v>100</v>
      </c>
      <c r="AK97" s="18">
        <f>100-(AJ97*(AJ97/MAX(AJ82:AJ97)))</f>
        <v>0</v>
      </c>
      <c r="AL97" s="6">
        <v>26</v>
      </c>
    </row>
    <row r="98" spans="1:38" x14ac:dyDescent="0.2">
      <c r="A98" s="6">
        <v>31</v>
      </c>
      <c r="B98" s="6" t="s">
        <v>54</v>
      </c>
      <c r="C98" s="6" t="s">
        <v>2140</v>
      </c>
      <c r="D98" s="6" t="s">
        <v>2154</v>
      </c>
      <c r="E98" s="6" t="s">
        <v>558</v>
      </c>
      <c r="F98" s="7" t="s">
        <v>684</v>
      </c>
      <c r="G98" s="6" t="s">
        <v>1012</v>
      </c>
      <c r="H98" s="7" t="s">
        <v>684</v>
      </c>
      <c r="I98" s="6" t="s">
        <v>712</v>
      </c>
      <c r="J98" s="7" t="s">
        <v>789</v>
      </c>
      <c r="K98" s="6" t="s">
        <v>1537</v>
      </c>
      <c r="L98" s="7" t="s">
        <v>1605</v>
      </c>
      <c r="M98" s="6" t="s">
        <v>723</v>
      </c>
      <c r="N98" s="7" t="s">
        <v>684</v>
      </c>
      <c r="O98" s="6" t="s">
        <v>1168</v>
      </c>
      <c r="P98" s="7" t="s">
        <v>1309</v>
      </c>
      <c r="Q98" s="6" t="s">
        <v>1476</v>
      </c>
      <c r="R98" s="7" t="s">
        <v>1524</v>
      </c>
      <c r="S98" s="6" t="s">
        <v>246</v>
      </c>
      <c r="T98" s="7" t="s">
        <v>374</v>
      </c>
      <c r="U98" s="6" t="s">
        <v>723</v>
      </c>
      <c r="V98" s="7" t="s">
        <v>684</v>
      </c>
      <c r="W98" s="6" t="s">
        <v>1716</v>
      </c>
      <c r="X98" s="7" t="s">
        <v>1776</v>
      </c>
      <c r="AI98" s="6">
        <f>SUM(Y98:AH98)</f>
        <v>0</v>
      </c>
      <c r="AJ98" s="6">
        <f>100-(AI98*(AI98/20))</f>
        <v>100</v>
      </c>
      <c r="AK98" s="18">
        <f>100-(AJ98*(AJ98/MAX(AJ83:AJ98)))</f>
        <v>0</v>
      </c>
      <c r="AL98" s="6">
        <v>31</v>
      </c>
    </row>
    <row r="99" spans="1:38" x14ac:dyDescent="0.2">
      <c r="A99" s="6">
        <v>80</v>
      </c>
      <c r="B99" s="6" t="s">
        <v>103</v>
      </c>
      <c r="C99" s="6" t="s">
        <v>2140</v>
      </c>
      <c r="D99" s="6" t="s">
        <v>2154</v>
      </c>
      <c r="E99" s="6" t="s">
        <v>601</v>
      </c>
      <c r="F99" s="7" t="s">
        <v>684</v>
      </c>
      <c r="G99" s="6" t="s">
        <v>1051</v>
      </c>
      <c r="H99" s="7" t="s">
        <v>684</v>
      </c>
      <c r="I99" s="6" t="s">
        <v>742</v>
      </c>
      <c r="J99" s="7" t="s">
        <v>836</v>
      </c>
      <c r="K99" s="6" t="s">
        <v>1558</v>
      </c>
      <c r="L99" s="7" t="s">
        <v>1642</v>
      </c>
      <c r="M99" s="6" t="s">
        <v>723</v>
      </c>
      <c r="N99" s="7" t="s">
        <v>684</v>
      </c>
      <c r="O99" s="6" t="s">
        <v>1199</v>
      </c>
      <c r="P99" s="7" t="s">
        <v>1356</v>
      </c>
      <c r="Q99" s="6" t="s">
        <v>1504</v>
      </c>
      <c r="R99" s="7" t="s">
        <v>1524</v>
      </c>
      <c r="S99" s="6" t="s">
        <v>274</v>
      </c>
      <c r="T99" s="7" t="s">
        <v>419</v>
      </c>
      <c r="U99" s="6" t="s">
        <v>723</v>
      </c>
      <c r="V99" s="7" t="s">
        <v>684</v>
      </c>
      <c r="W99" s="6" t="s">
        <v>1725</v>
      </c>
      <c r="X99" s="7" t="s">
        <v>1775</v>
      </c>
      <c r="AI99" s="6">
        <f>SUM(Y99:AH99)</f>
        <v>0</v>
      </c>
      <c r="AJ99" s="6">
        <f>100-(AI99*(AI99/20))</f>
        <v>100</v>
      </c>
      <c r="AK99" s="18">
        <f>100-(AJ99*(AJ99/MAX(AJ84:AJ99)))</f>
        <v>0</v>
      </c>
      <c r="AL99" s="6">
        <v>80</v>
      </c>
    </row>
    <row r="100" spans="1:38" x14ac:dyDescent="0.2">
      <c r="A100" s="6">
        <v>94</v>
      </c>
      <c r="B100" s="6" t="s">
        <v>117</v>
      </c>
      <c r="C100" s="6" t="s">
        <v>2140</v>
      </c>
      <c r="D100" s="6" t="s">
        <v>2154</v>
      </c>
      <c r="E100" s="6" t="s">
        <v>612</v>
      </c>
      <c r="F100" s="7" t="s">
        <v>684</v>
      </c>
      <c r="G100" s="6" t="s">
        <v>1061</v>
      </c>
      <c r="H100" s="7" t="s">
        <v>684</v>
      </c>
      <c r="I100" s="6" t="s">
        <v>723</v>
      </c>
      <c r="J100" s="7" t="s">
        <v>850</v>
      </c>
      <c r="K100" s="6" t="s">
        <v>723</v>
      </c>
      <c r="L100" s="7" t="s">
        <v>850</v>
      </c>
      <c r="M100" s="6" t="s">
        <v>723</v>
      </c>
      <c r="N100" s="7" t="s">
        <v>684</v>
      </c>
      <c r="O100" s="6" t="s">
        <v>1210</v>
      </c>
      <c r="P100" s="7" t="s">
        <v>1370</v>
      </c>
      <c r="Q100" s="6" t="s">
        <v>1511</v>
      </c>
      <c r="R100" s="7" t="s">
        <v>1524</v>
      </c>
      <c r="S100" s="6" t="s">
        <v>262</v>
      </c>
      <c r="T100" s="7" t="s">
        <v>432</v>
      </c>
      <c r="U100" s="6" t="s">
        <v>723</v>
      </c>
      <c r="V100" s="7" t="s">
        <v>684</v>
      </c>
      <c r="W100" s="6" t="s">
        <v>1727</v>
      </c>
      <c r="X100" s="7" t="s">
        <v>1775</v>
      </c>
      <c r="AI100" s="6">
        <f>SUM(Y100:AH100)</f>
        <v>0</v>
      </c>
      <c r="AJ100" s="6">
        <f>100-(AI100*(AI100/20))</f>
        <v>100</v>
      </c>
      <c r="AK100" s="18">
        <f>100-(AJ100*(AJ100/MAX(AJ85:AJ100)))</f>
        <v>0</v>
      </c>
      <c r="AL100" s="6">
        <v>94</v>
      </c>
    </row>
    <row r="101" spans="1:38" x14ac:dyDescent="0.2">
      <c r="A101" s="6">
        <v>105</v>
      </c>
      <c r="B101" s="6" t="s">
        <v>128</v>
      </c>
      <c r="C101" s="6" t="s">
        <v>2140</v>
      </c>
      <c r="D101" s="6" t="s">
        <v>2154</v>
      </c>
      <c r="E101" s="6" t="s">
        <v>618</v>
      </c>
      <c r="F101" s="7" t="s">
        <v>684</v>
      </c>
      <c r="G101" s="6" t="s">
        <v>1068</v>
      </c>
      <c r="H101" s="7" t="s">
        <v>684</v>
      </c>
      <c r="I101" s="6" t="s">
        <v>754</v>
      </c>
      <c r="J101" s="7" t="s">
        <v>861</v>
      </c>
      <c r="K101" s="6" t="s">
        <v>1564</v>
      </c>
      <c r="L101" s="7" t="s">
        <v>1658</v>
      </c>
      <c r="M101" s="6" t="s">
        <v>723</v>
      </c>
      <c r="N101" s="7" t="s">
        <v>684</v>
      </c>
      <c r="O101" s="6" t="s">
        <v>1219</v>
      </c>
      <c r="P101" s="7" t="s">
        <v>1381</v>
      </c>
      <c r="Q101" s="6" t="s">
        <v>1513</v>
      </c>
      <c r="R101" s="7" t="s">
        <v>1524</v>
      </c>
      <c r="S101" s="6" t="s">
        <v>291</v>
      </c>
      <c r="T101" s="7" t="s">
        <v>443</v>
      </c>
      <c r="U101" s="6" t="s">
        <v>723</v>
      </c>
      <c r="V101" s="7" t="s">
        <v>684</v>
      </c>
      <c r="W101" s="6" t="s">
        <v>1750</v>
      </c>
      <c r="X101" s="7" t="s">
        <v>1776</v>
      </c>
      <c r="AI101" s="6">
        <f>SUM(Y101:AH101)</f>
        <v>0</v>
      </c>
      <c r="AJ101" s="6">
        <f>100-(AI101*(AI101/20))</f>
        <v>100</v>
      </c>
      <c r="AK101" s="18">
        <f>100-(AJ101*(AJ101/MAX(AJ86:AJ101)))</f>
        <v>0</v>
      </c>
      <c r="AL101" s="6">
        <v>105</v>
      </c>
    </row>
    <row r="102" spans="1:38" x14ac:dyDescent="0.2">
      <c r="A102" s="6">
        <v>119</v>
      </c>
      <c r="B102" s="6" t="s">
        <v>142</v>
      </c>
      <c r="C102" s="6" t="s">
        <v>2140</v>
      </c>
      <c r="D102" s="6" t="s">
        <v>2154</v>
      </c>
      <c r="E102" s="6" t="s">
        <v>262</v>
      </c>
      <c r="F102" s="7" t="s">
        <v>684</v>
      </c>
      <c r="G102" s="6" t="s">
        <v>262</v>
      </c>
      <c r="H102" s="7" t="s">
        <v>684</v>
      </c>
      <c r="I102" s="6" t="s">
        <v>723</v>
      </c>
      <c r="J102" s="7" t="s">
        <v>875</v>
      </c>
      <c r="K102" s="6" t="s">
        <v>723</v>
      </c>
      <c r="L102" s="7" t="s">
        <v>875</v>
      </c>
      <c r="M102" s="6" t="s">
        <v>723</v>
      </c>
      <c r="N102" s="7" t="s">
        <v>684</v>
      </c>
      <c r="O102" s="6" t="s">
        <v>1231</v>
      </c>
      <c r="P102" s="7" t="s">
        <v>1395</v>
      </c>
      <c r="Q102" s="6" t="s">
        <v>689</v>
      </c>
      <c r="R102" s="7" t="s">
        <v>1524</v>
      </c>
      <c r="S102" s="6" t="s">
        <v>262</v>
      </c>
      <c r="T102" s="7" t="s">
        <v>456</v>
      </c>
      <c r="U102" s="6" t="s">
        <v>723</v>
      </c>
      <c r="V102" s="7" t="s">
        <v>684</v>
      </c>
      <c r="W102" s="6" t="s">
        <v>1754</v>
      </c>
      <c r="X102" s="7" t="s">
        <v>1776</v>
      </c>
      <c r="AI102" s="6">
        <f>SUM(Y102:AH102)</f>
        <v>0</v>
      </c>
      <c r="AJ102" s="6">
        <f>100-(AI102*(AI102/20))</f>
        <v>100</v>
      </c>
      <c r="AK102" s="18">
        <f>100-(AJ102*(AJ102/MAX(AJ87:AJ102)))</f>
        <v>0</v>
      </c>
      <c r="AL102" s="6">
        <v>119</v>
      </c>
    </row>
    <row r="103" spans="1:38" x14ac:dyDescent="0.2">
      <c r="A103" s="6">
        <v>137</v>
      </c>
      <c r="B103" s="6" t="s">
        <v>160</v>
      </c>
      <c r="C103" s="6" t="s">
        <v>2140</v>
      </c>
      <c r="D103" s="6" t="s">
        <v>2154</v>
      </c>
      <c r="E103" s="6" t="s">
        <v>642</v>
      </c>
      <c r="F103" s="7" t="s">
        <v>684</v>
      </c>
      <c r="G103" s="6" t="s">
        <v>1087</v>
      </c>
      <c r="H103" s="7" t="s">
        <v>684</v>
      </c>
      <c r="I103" s="6" t="s">
        <v>755</v>
      </c>
      <c r="J103" s="7" t="s">
        <v>893</v>
      </c>
      <c r="K103" s="6" t="s">
        <v>755</v>
      </c>
      <c r="L103" s="7" t="s">
        <v>1672</v>
      </c>
      <c r="M103" s="6" t="s">
        <v>723</v>
      </c>
      <c r="N103" s="7" t="s">
        <v>684</v>
      </c>
      <c r="O103" s="6" t="s">
        <v>1246</v>
      </c>
      <c r="P103" s="7" t="s">
        <v>1413</v>
      </c>
      <c r="Q103" s="6" t="s">
        <v>723</v>
      </c>
      <c r="R103" s="7" t="s">
        <v>1524</v>
      </c>
      <c r="S103" s="6" t="s">
        <v>312</v>
      </c>
      <c r="T103" s="7" t="s">
        <v>474</v>
      </c>
      <c r="U103" s="6" t="s">
        <v>723</v>
      </c>
      <c r="V103" s="7" t="s">
        <v>684</v>
      </c>
      <c r="W103" s="6" t="s">
        <v>1759</v>
      </c>
      <c r="X103" s="7" t="s">
        <v>1775</v>
      </c>
      <c r="AI103" s="6">
        <f>SUM(Y103:AH103)</f>
        <v>0</v>
      </c>
      <c r="AJ103" s="6">
        <f>100-(AI103*(AI103/20))</f>
        <v>100</v>
      </c>
      <c r="AK103" s="18">
        <f>100-(AJ103*(AJ103/MAX(AJ88:AJ103)))</f>
        <v>0</v>
      </c>
      <c r="AL103" s="6">
        <v>137</v>
      </c>
    </row>
    <row r="104" spans="1:38" x14ac:dyDescent="0.2">
      <c r="A104" s="6">
        <v>157</v>
      </c>
      <c r="B104" s="6" t="s">
        <v>180</v>
      </c>
      <c r="C104" s="6" t="s">
        <v>2140</v>
      </c>
      <c r="D104" s="6" t="s">
        <v>2154</v>
      </c>
      <c r="E104" s="6" t="s">
        <v>658</v>
      </c>
      <c r="F104" s="7" t="s">
        <v>684</v>
      </c>
      <c r="G104" s="6" t="s">
        <v>1103</v>
      </c>
      <c r="H104" s="7" t="s">
        <v>684</v>
      </c>
      <c r="I104" s="6" t="s">
        <v>755</v>
      </c>
      <c r="J104" s="7" t="s">
        <v>913</v>
      </c>
      <c r="K104" s="6" t="s">
        <v>1573</v>
      </c>
      <c r="L104" s="7" t="s">
        <v>1683</v>
      </c>
      <c r="M104" s="6" t="s">
        <v>980</v>
      </c>
      <c r="N104" s="7" t="s">
        <v>684</v>
      </c>
      <c r="O104" s="6" t="s">
        <v>1259</v>
      </c>
      <c r="P104" s="7" t="s">
        <v>1433</v>
      </c>
      <c r="Q104" s="6" t="s">
        <v>723</v>
      </c>
      <c r="R104" s="7" t="s">
        <v>1524</v>
      </c>
      <c r="S104" s="6" t="s">
        <v>324</v>
      </c>
      <c r="T104" s="7" t="s">
        <v>493</v>
      </c>
      <c r="U104" s="6" t="s">
        <v>723</v>
      </c>
      <c r="V104" s="7" t="s">
        <v>684</v>
      </c>
      <c r="W104" s="6" t="s">
        <v>1762</v>
      </c>
      <c r="X104" s="7" t="s">
        <v>1775</v>
      </c>
      <c r="AI104" s="6">
        <f>SUM(Y104:AH104)</f>
        <v>0</v>
      </c>
      <c r="AJ104" s="6">
        <f>100-(AI104*(AI104/20))</f>
        <v>100</v>
      </c>
      <c r="AK104" s="18">
        <f>100-(AJ104*(AJ104/MAX(AJ89:AJ104)))</f>
        <v>0</v>
      </c>
      <c r="AL104" s="6">
        <v>157</v>
      </c>
    </row>
    <row r="105" spans="1:38" x14ac:dyDescent="0.2">
      <c r="A105" s="6">
        <v>174</v>
      </c>
      <c r="B105" s="6" t="s">
        <v>197</v>
      </c>
      <c r="C105" s="6" t="s">
        <v>2140</v>
      </c>
      <c r="D105" s="6" t="s">
        <v>2154</v>
      </c>
      <c r="E105" s="6" t="s">
        <v>665</v>
      </c>
      <c r="F105" s="7" t="s">
        <v>684</v>
      </c>
      <c r="G105" s="6" t="s">
        <v>1111</v>
      </c>
      <c r="H105" s="7" t="s">
        <v>684</v>
      </c>
      <c r="I105" s="6" t="s">
        <v>755</v>
      </c>
      <c r="J105" s="7" t="s">
        <v>930</v>
      </c>
      <c r="K105" s="6" t="s">
        <v>755</v>
      </c>
      <c r="L105" s="7" t="s">
        <v>1691</v>
      </c>
      <c r="M105" s="6" t="s">
        <v>981</v>
      </c>
      <c r="N105" s="7" t="s">
        <v>684</v>
      </c>
      <c r="O105" s="6" t="s">
        <v>1271</v>
      </c>
      <c r="P105" s="7" t="s">
        <v>1450</v>
      </c>
      <c r="Q105" s="6" t="s">
        <v>723</v>
      </c>
      <c r="R105" s="7" t="s">
        <v>1524</v>
      </c>
      <c r="S105" s="6" t="s">
        <v>331</v>
      </c>
      <c r="T105" s="7" t="s">
        <v>509</v>
      </c>
      <c r="U105" s="6" t="s">
        <v>689</v>
      </c>
      <c r="V105" s="7" t="s">
        <v>684</v>
      </c>
      <c r="W105" s="6" t="s">
        <v>1768</v>
      </c>
      <c r="X105" s="7" t="s">
        <v>1775</v>
      </c>
      <c r="AI105" s="6">
        <f>SUM(Y105:AH105)</f>
        <v>0</v>
      </c>
      <c r="AJ105" s="6">
        <f>100-(AI105*(AI105/20))</f>
        <v>100</v>
      </c>
      <c r="AK105" s="18">
        <f>100-(AJ105*(AJ105/MAX(AJ90:AJ105)))</f>
        <v>0</v>
      </c>
      <c r="AL105" s="6">
        <v>174</v>
      </c>
    </row>
    <row r="106" spans="1:38" x14ac:dyDescent="0.2">
      <c r="A106" s="6">
        <v>175</v>
      </c>
      <c r="B106" s="6" t="s">
        <v>198</v>
      </c>
      <c r="C106" s="6" t="s">
        <v>2140</v>
      </c>
      <c r="D106" s="6" t="s">
        <v>2154</v>
      </c>
      <c r="E106" s="6" t="s">
        <v>262</v>
      </c>
      <c r="F106" s="7" t="s">
        <v>684</v>
      </c>
      <c r="G106" s="6" t="s">
        <v>262</v>
      </c>
      <c r="H106" s="7" t="s">
        <v>684</v>
      </c>
      <c r="I106" s="6" t="s">
        <v>723</v>
      </c>
      <c r="J106" s="7" t="s">
        <v>931</v>
      </c>
      <c r="K106" s="6" t="s">
        <v>723</v>
      </c>
      <c r="L106" s="7" t="s">
        <v>931</v>
      </c>
      <c r="M106" s="6" t="s">
        <v>723</v>
      </c>
      <c r="N106" s="7" t="s">
        <v>684</v>
      </c>
      <c r="O106" s="6" t="s">
        <v>1272</v>
      </c>
      <c r="P106" s="7" t="s">
        <v>1451</v>
      </c>
      <c r="Q106" s="6" t="s">
        <v>723</v>
      </c>
      <c r="R106" s="7" t="s">
        <v>1524</v>
      </c>
      <c r="S106" s="6" t="s">
        <v>262</v>
      </c>
      <c r="T106" s="7" t="s">
        <v>510</v>
      </c>
      <c r="U106" s="6" t="s">
        <v>723</v>
      </c>
      <c r="V106" s="7" t="s">
        <v>684</v>
      </c>
      <c r="W106" s="6" t="s">
        <v>1769</v>
      </c>
      <c r="X106" s="7" t="s">
        <v>1775</v>
      </c>
      <c r="AI106" s="6">
        <f>SUM(Y106:AH106)</f>
        <v>0</v>
      </c>
      <c r="AJ106" s="6">
        <f>100-(AI106*(AI106/20))</f>
        <v>100</v>
      </c>
      <c r="AK106" s="18">
        <f>100-(AJ106*(AJ106/MAX(AJ91:AJ106)))</f>
        <v>0</v>
      </c>
      <c r="AL106" s="6">
        <v>175</v>
      </c>
    </row>
    <row r="107" spans="1:38" x14ac:dyDescent="0.2">
      <c r="A107" s="6">
        <v>192</v>
      </c>
      <c r="B107" s="6" t="s">
        <v>215</v>
      </c>
      <c r="C107" s="6" t="s">
        <v>2140</v>
      </c>
      <c r="D107" s="6" t="s">
        <v>2154</v>
      </c>
      <c r="E107" s="6" t="s">
        <v>677</v>
      </c>
      <c r="F107" s="7" t="s">
        <v>684</v>
      </c>
      <c r="G107" s="6" t="s">
        <v>1118</v>
      </c>
      <c r="H107" s="7" t="s">
        <v>684</v>
      </c>
      <c r="I107" s="6" t="s">
        <v>755</v>
      </c>
      <c r="J107" s="7" t="s">
        <v>948</v>
      </c>
      <c r="K107" s="6" t="s">
        <v>755</v>
      </c>
      <c r="L107" s="7" t="s">
        <v>1702</v>
      </c>
      <c r="M107" s="6" t="s">
        <v>723</v>
      </c>
      <c r="N107" s="7" t="s">
        <v>684</v>
      </c>
      <c r="O107" s="6" t="s">
        <v>1279</v>
      </c>
      <c r="P107" s="7" t="s">
        <v>1468</v>
      </c>
      <c r="Q107" s="6" t="s">
        <v>689</v>
      </c>
      <c r="R107" s="7" t="s">
        <v>1524</v>
      </c>
      <c r="S107" s="6" t="s">
        <v>342</v>
      </c>
      <c r="T107" s="7" t="s">
        <v>525</v>
      </c>
      <c r="U107" s="6" t="s">
        <v>723</v>
      </c>
      <c r="V107" s="7" t="s">
        <v>684</v>
      </c>
      <c r="W107" s="6" t="s">
        <v>689</v>
      </c>
      <c r="X107" s="7" t="s">
        <v>1775</v>
      </c>
      <c r="AI107" s="6">
        <f>SUM(Y107:AH107)</f>
        <v>0</v>
      </c>
      <c r="AJ107" s="6">
        <f>100-(AI107*(AI107/20))</f>
        <v>100</v>
      </c>
      <c r="AK107" s="18">
        <f>100-(AJ107*(AJ107/MAX(AJ103:AJ107)))</f>
        <v>0</v>
      </c>
      <c r="AL107" s="6">
        <v>192</v>
      </c>
    </row>
    <row r="108" spans="1:38" x14ac:dyDescent="0.2">
      <c r="A108" s="6">
        <v>9</v>
      </c>
      <c r="B108" s="6" t="s">
        <v>32</v>
      </c>
      <c r="C108" s="6" t="s">
        <v>2140</v>
      </c>
      <c r="D108" s="6" t="s">
        <v>2148</v>
      </c>
      <c r="E108" s="6" t="s">
        <v>536</v>
      </c>
      <c r="F108" s="7" t="s">
        <v>684</v>
      </c>
      <c r="G108" s="6" t="s">
        <v>993</v>
      </c>
      <c r="H108" s="7" t="s">
        <v>684</v>
      </c>
      <c r="I108" s="6" t="s">
        <v>692</v>
      </c>
      <c r="J108" s="7" t="s">
        <v>767</v>
      </c>
      <c r="K108" s="6" t="s">
        <v>723</v>
      </c>
      <c r="L108" s="7" t="s">
        <v>1583</v>
      </c>
      <c r="M108" s="6" t="s">
        <v>958</v>
      </c>
      <c r="N108" s="7" t="s">
        <v>684</v>
      </c>
      <c r="O108" s="6" t="s">
        <v>1148</v>
      </c>
      <c r="P108" s="7" t="s">
        <v>1287</v>
      </c>
      <c r="Q108" s="6" t="s">
        <v>1476</v>
      </c>
      <c r="R108" s="7" t="s">
        <v>1524</v>
      </c>
      <c r="S108" s="6" t="s">
        <v>228</v>
      </c>
      <c r="T108" s="7" t="s">
        <v>352</v>
      </c>
      <c r="U108" s="6" t="s">
        <v>723</v>
      </c>
      <c r="V108" s="7" t="s">
        <v>684</v>
      </c>
      <c r="W108" s="6" t="s">
        <v>1708</v>
      </c>
      <c r="X108" s="7" t="s">
        <v>1776</v>
      </c>
      <c r="AI108" s="6">
        <f>SUM(Y108:AH108)</f>
        <v>0</v>
      </c>
      <c r="AJ108" s="6">
        <f>100-(AI108*(AI108/20))</f>
        <v>100</v>
      </c>
      <c r="AK108" s="18">
        <f>100-(AJ108*(AJ108/MAX(AJ101:AJ108)))</f>
        <v>0</v>
      </c>
      <c r="AL108" s="6">
        <v>9</v>
      </c>
    </row>
    <row r="109" spans="1:38" x14ac:dyDescent="0.2">
      <c r="A109" s="6">
        <v>12</v>
      </c>
      <c r="B109" s="6" t="s">
        <v>35</v>
      </c>
      <c r="C109" s="6" t="s">
        <v>2140</v>
      </c>
      <c r="D109" s="6" t="s">
        <v>2148</v>
      </c>
      <c r="E109" s="6" t="s">
        <v>539</v>
      </c>
      <c r="F109" s="7" t="s">
        <v>684</v>
      </c>
      <c r="G109" s="6" t="s">
        <v>996</v>
      </c>
      <c r="H109" s="7" t="s">
        <v>684</v>
      </c>
      <c r="I109" s="6" t="s">
        <v>695</v>
      </c>
      <c r="J109" s="7" t="s">
        <v>770</v>
      </c>
      <c r="K109" s="6" t="s">
        <v>723</v>
      </c>
      <c r="L109" s="7" t="s">
        <v>1586</v>
      </c>
      <c r="M109" s="6" t="s">
        <v>961</v>
      </c>
      <c r="N109" s="7" t="s">
        <v>684</v>
      </c>
      <c r="O109" s="6" t="s">
        <v>1148</v>
      </c>
      <c r="P109" s="7" t="s">
        <v>1290</v>
      </c>
      <c r="Q109" s="6" t="s">
        <v>1476</v>
      </c>
      <c r="R109" s="7" t="s">
        <v>1524</v>
      </c>
      <c r="S109" s="6" t="s">
        <v>231</v>
      </c>
      <c r="T109" s="7" t="s">
        <v>355</v>
      </c>
      <c r="U109" s="6" t="s">
        <v>723</v>
      </c>
      <c r="V109" s="7" t="s">
        <v>684</v>
      </c>
      <c r="W109" s="6" t="s">
        <v>1710</v>
      </c>
      <c r="X109" s="7" t="s">
        <v>1776</v>
      </c>
      <c r="AI109" s="6">
        <f>SUM(Y109:AH109)</f>
        <v>0</v>
      </c>
      <c r="AJ109" s="6">
        <f>100-(AI109*(AI109/20))</f>
        <v>100</v>
      </c>
      <c r="AK109" s="18">
        <f>100-(AJ109*(AJ109/MAX(AJ99:AJ109)))</f>
        <v>0</v>
      </c>
      <c r="AL109" s="6">
        <v>12</v>
      </c>
    </row>
    <row r="110" spans="1:38" x14ac:dyDescent="0.2">
      <c r="A110" s="43">
        <v>66</v>
      </c>
      <c r="B110" s="43" t="s">
        <v>89</v>
      </c>
      <c r="C110" s="43" t="s">
        <v>2140</v>
      </c>
      <c r="D110" s="43" t="s">
        <v>2143</v>
      </c>
      <c r="E110" s="43" t="s">
        <v>589</v>
      </c>
      <c r="F110" s="44" t="s">
        <v>684</v>
      </c>
      <c r="G110" s="43" t="s">
        <v>1043</v>
      </c>
      <c r="H110" s="44" t="s">
        <v>684</v>
      </c>
      <c r="I110" s="43" t="s">
        <v>725</v>
      </c>
      <c r="J110" s="44" t="s">
        <v>822</v>
      </c>
      <c r="K110" s="43" t="s">
        <v>723</v>
      </c>
      <c r="L110" s="44" t="s">
        <v>1633</v>
      </c>
      <c r="M110" s="43" t="s">
        <v>975</v>
      </c>
      <c r="N110" s="44" t="s">
        <v>684</v>
      </c>
      <c r="O110" s="43" t="s">
        <v>1160</v>
      </c>
      <c r="P110" s="44" t="s">
        <v>1342</v>
      </c>
      <c r="Q110" s="43" t="s">
        <v>723</v>
      </c>
      <c r="R110" s="44" t="s">
        <v>1524</v>
      </c>
      <c r="S110" s="43" t="s">
        <v>267</v>
      </c>
      <c r="T110" s="44" t="s">
        <v>405</v>
      </c>
      <c r="U110" s="43" t="s">
        <v>723</v>
      </c>
      <c r="V110" s="44" t="s">
        <v>684</v>
      </c>
      <c r="W110" s="43" t="s">
        <v>1733</v>
      </c>
      <c r="X110" s="44" t="s">
        <v>1776</v>
      </c>
      <c r="AI110" s="6">
        <f>SUM(Y110:AH110)</f>
        <v>0</v>
      </c>
      <c r="AJ110" s="6">
        <f>100-(AI110*(AI110/20))</f>
        <v>100</v>
      </c>
      <c r="AK110" s="18">
        <f>100-(AJ110*(AJ110/MAX(AJ95:AJ110)))</f>
        <v>0</v>
      </c>
      <c r="AL110" s="6">
        <v>66</v>
      </c>
    </row>
    <row r="111" spans="1:38" x14ac:dyDescent="0.2">
      <c r="A111" s="6">
        <v>87</v>
      </c>
      <c r="B111" s="6" t="s">
        <v>110</v>
      </c>
      <c r="C111" s="6" t="s">
        <v>2140</v>
      </c>
      <c r="D111" s="6" t="s">
        <v>2164</v>
      </c>
      <c r="E111" s="6" t="s">
        <v>607</v>
      </c>
      <c r="F111" s="7" t="s">
        <v>684</v>
      </c>
      <c r="G111" s="6" t="s">
        <v>1056</v>
      </c>
      <c r="H111" s="7" t="s">
        <v>684</v>
      </c>
      <c r="I111" s="6" t="s">
        <v>747</v>
      </c>
      <c r="J111" s="7" t="s">
        <v>843</v>
      </c>
      <c r="K111" s="6" t="s">
        <v>1560</v>
      </c>
      <c r="L111" s="7" t="s">
        <v>1647</v>
      </c>
      <c r="M111" s="6" t="s">
        <v>977</v>
      </c>
      <c r="N111" s="7" t="s">
        <v>684</v>
      </c>
      <c r="O111" s="6" t="s">
        <v>1206</v>
      </c>
      <c r="P111" s="7" t="s">
        <v>1363</v>
      </c>
      <c r="Q111" s="6" t="s">
        <v>723</v>
      </c>
      <c r="R111" s="7" t="s">
        <v>1524</v>
      </c>
      <c r="S111" s="6" t="s">
        <v>279</v>
      </c>
      <c r="T111" s="7" t="s">
        <v>425</v>
      </c>
      <c r="U111" s="6" t="s">
        <v>723</v>
      </c>
      <c r="V111" s="7" t="s">
        <v>684</v>
      </c>
      <c r="W111" s="6" t="s">
        <v>1707</v>
      </c>
      <c r="X111" s="7" t="s">
        <v>1776</v>
      </c>
      <c r="AI111" s="6">
        <f>SUM(Y111:AH111)</f>
        <v>0</v>
      </c>
      <c r="AJ111" s="6">
        <f>100-(AI111*(AI111/20))</f>
        <v>100</v>
      </c>
      <c r="AK111" s="18">
        <f>100-(AJ111*(AJ111/MAX(AJ96:AJ111)))</f>
        <v>0</v>
      </c>
      <c r="AL111" s="6">
        <v>87</v>
      </c>
    </row>
    <row r="112" spans="1:38" x14ac:dyDescent="0.2">
      <c r="A112" s="6">
        <v>14</v>
      </c>
      <c r="B112" s="6" t="s">
        <v>37</v>
      </c>
      <c r="C112" s="6" t="s">
        <v>2140</v>
      </c>
      <c r="D112" s="6" t="s">
        <v>2152</v>
      </c>
      <c r="E112" s="6" t="s">
        <v>541</v>
      </c>
      <c r="F112" s="7" t="s">
        <v>684</v>
      </c>
      <c r="G112" s="6" t="s">
        <v>998</v>
      </c>
      <c r="H112" s="7" t="s">
        <v>684</v>
      </c>
      <c r="I112" s="6" t="s">
        <v>697</v>
      </c>
      <c r="J112" s="7" t="s">
        <v>772</v>
      </c>
      <c r="K112" s="6" t="s">
        <v>723</v>
      </c>
      <c r="L112" s="7" t="s">
        <v>1588</v>
      </c>
      <c r="M112" s="6" t="s">
        <v>723</v>
      </c>
      <c r="N112" s="7" t="s">
        <v>684</v>
      </c>
      <c r="O112" s="6" t="s">
        <v>1152</v>
      </c>
      <c r="P112" s="7" t="s">
        <v>1292</v>
      </c>
      <c r="Q112" s="6" t="s">
        <v>1477</v>
      </c>
      <c r="R112" s="7" t="s">
        <v>1524</v>
      </c>
      <c r="S112" s="6" t="s">
        <v>233</v>
      </c>
      <c r="T112" s="7" t="s">
        <v>357</v>
      </c>
      <c r="U112" s="6" t="s">
        <v>723</v>
      </c>
      <c r="V112" s="7" t="s">
        <v>684</v>
      </c>
      <c r="W112" s="6" t="s">
        <v>1711</v>
      </c>
      <c r="X112" s="7" t="s">
        <v>1776</v>
      </c>
      <c r="AI112" s="6">
        <f>SUM(Y112:AH112)</f>
        <v>0</v>
      </c>
      <c r="AJ112" s="6">
        <f>100-(AI112*(AI112/20))</f>
        <v>100</v>
      </c>
      <c r="AK112" s="18">
        <f>100-(AJ112*(AJ112/MAX(AJ100:AJ112)))</f>
        <v>0</v>
      </c>
      <c r="AL112" s="6">
        <v>14</v>
      </c>
    </row>
    <row r="113" spans="1:44" x14ac:dyDescent="0.2">
      <c r="A113" s="6">
        <v>92</v>
      </c>
      <c r="B113" s="6" t="s">
        <v>115</v>
      </c>
      <c r="C113" s="6" t="s">
        <v>2140</v>
      </c>
      <c r="D113" s="6" t="s">
        <v>2152</v>
      </c>
      <c r="E113" s="6" t="s">
        <v>610</v>
      </c>
      <c r="F113" s="7" t="s">
        <v>684</v>
      </c>
      <c r="G113" s="6" t="s">
        <v>262</v>
      </c>
      <c r="H113" s="7" t="s">
        <v>684</v>
      </c>
      <c r="I113" s="6" t="s">
        <v>723</v>
      </c>
      <c r="J113" s="7" t="s">
        <v>848</v>
      </c>
      <c r="K113" s="6" t="s">
        <v>723</v>
      </c>
      <c r="L113" s="7" t="s">
        <v>848</v>
      </c>
      <c r="M113" s="6" t="s">
        <v>723</v>
      </c>
      <c r="N113" s="7" t="s">
        <v>684</v>
      </c>
      <c r="O113" s="6" t="s">
        <v>1209</v>
      </c>
      <c r="P113" s="7" t="s">
        <v>1368</v>
      </c>
      <c r="Q113" s="6" t="s">
        <v>1510</v>
      </c>
      <c r="R113" s="7" t="s">
        <v>1524</v>
      </c>
      <c r="S113" s="6" t="s">
        <v>283</v>
      </c>
      <c r="T113" s="7" t="s">
        <v>430</v>
      </c>
      <c r="U113" s="6" t="s">
        <v>723</v>
      </c>
      <c r="V113" s="7" t="s">
        <v>684</v>
      </c>
      <c r="W113" s="6" t="s">
        <v>1745</v>
      </c>
      <c r="X113" s="7" t="s">
        <v>1776</v>
      </c>
      <c r="AI113" s="6">
        <f>SUM(Y113:AH113)</f>
        <v>0</v>
      </c>
      <c r="AJ113" s="6">
        <f>100-(AI113*(AI113/20))</f>
        <v>100</v>
      </c>
      <c r="AK113" s="18">
        <f>100-(AJ113*(AJ113/MAX(AJ98:AJ113)))</f>
        <v>0</v>
      </c>
      <c r="AL113" s="6">
        <v>92</v>
      </c>
    </row>
    <row r="114" spans="1:44" x14ac:dyDescent="0.2">
      <c r="A114" s="6">
        <v>130</v>
      </c>
      <c r="B114" s="6" t="s">
        <v>153</v>
      </c>
      <c r="C114" s="6" t="s">
        <v>2140</v>
      </c>
      <c r="D114" s="6" t="s">
        <v>2152</v>
      </c>
      <c r="E114" s="6" t="s">
        <v>636</v>
      </c>
      <c r="F114" s="7" t="s">
        <v>684</v>
      </c>
      <c r="G114" s="6" t="s">
        <v>1085</v>
      </c>
      <c r="H114" s="7" t="s">
        <v>684</v>
      </c>
      <c r="I114" s="6" t="s">
        <v>723</v>
      </c>
      <c r="J114" s="7" t="s">
        <v>886</v>
      </c>
      <c r="K114" s="6" t="s">
        <v>723</v>
      </c>
      <c r="L114" s="7" t="s">
        <v>886</v>
      </c>
      <c r="M114" s="6" t="s">
        <v>723</v>
      </c>
      <c r="N114" s="7" t="s">
        <v>684</v>
      </c>
      <c r="O114" s="6" t="s">
        <v>1152</v>
      </c>
      <c r="P114" s="7" t="s">
        <v>1406</v>
      </c>
      <c r="Q114" s="6" t="s">
        <v>689</v>
      </c>
      <c r="R114" s="7" t="s">
        <v>1524</v>
      </c>
      <c r="S114" s="6" t="s">
        <v>307</v>
      </c>
      <c r="T114" s="7" t="s">
        <v>467</v>
      </c>
      <c r="U114" s="6" t="s">
        <v>723</v>
      </c>
      <c r="V114" s="7" t="s">
        <v>684</v>
      </c>
      <c r="W114" s="6" t="s">
        <v>689</v>
      </c>
      <c r="X114" s="7" t="s">
        <v>1775</v>
      </c>
      <c r="AI114" s="6">
        <f>SUM(Y114:AH114)</f>
        <v>0</v>
      </c>
      <c r="AJ114" s="6">
        <f>100-(AI114*(AI114/20))</f>
        <v>100</v>
      </c>
      <c r="AK114" s="18">
        <f>100-(AJ114*(AJ114/MAX(AJ99:AJ114)))</f>
        <v>0</v>
      </c>
      <c r="AL114" s="6">
        <v>130</v>
      </c>
    </row>
    <row r="115" spans="1:44" x14ac:dyDescent="0.2">
      <c r="A115" s="6">
        <v>140</v>
      </c>
      <c r="B115" s="6" t="s">
        <v>163</v>
      </c>
      <c r="C115" s="6" t="s">
        <v>2140</v>
      </c>
      <c r="D115" s="6" t="s">
        <v>2152</v>
      </c>
      <c r="E115" s="6" t="s">
        <v>644</v>
      </c>
      <c r="F115" s="7" t="s">
        <v>684</v>
      </c>
      <c r="G115" s="6" t="s">
        <v>1090</v>
      </c>
      <c r="H115" s="7" t="s">
        <v>684</v>
      </c>
      <c r="I115" s="6" t="s">
        <v>723</v>
      </c>
      <c r="J115" s="7" t="s">
        <v>896</v>
      </c>
      <c r="K115" s="6" t="s">
        <v>723</v>
      </c>
      <c r="L115" s="7" t="s">
        <v>896</v>
      </c>
      <c r="M115" s="6" t="s">
        <v>723</v>
      </c>
      <c r="N115" s="7" t="s">
        <v>684</v>
      </c>
      <c r="O115" s="6" t="s">
        <v>1152</v>
      </c>
      <c r="P115" s="7" t="s">
        <v>1416</v>
      </c>
      <c r="Q115" s="6" t="s">
        <v>689</v>
      </c>
      <c r="R115" s="7" t="s">
        <v>1524</v>
      </c>
      <c r="S115" s="6" t="s">
        <v>315</v>
      </c>
      <c r="T115" s="7" t="s">
        <v>477</v>
      </c>
      <c r="U115" s="6" t="s">
        <v>723</v>
      </c>
      <c r="V115" s="7" t="s">
        <v>684</v>
      </c>
      <c r="W115" s="6" t="s">
        <v>689</v>
      </c>
      <c r="X115" s="7" t="s">
        <v>1775</v>
      </c>
      <c r="AI115" s="6">
        <f>SUM(Y115:AH115)</f>
        <v>0</v>
      </c>
      <c r="AJ115" s="6">
        <f>100-(AI115*(AI115/20))</f>
        <v>100</v>
      </c>
      <c r="AK115" s="18">
        <f>100-(AJ115*(AJ115/MAX(AJ100:AJ115)))</f>
        <v>0</v>
      </c>
      <c r="AL115" s="6">
        <v>140</v>
      </c>
    </row>
    <row r="116" spans="1:44" x14ac:dyDescent="0.2">
      <c r="A116" s="6">
        <v>152</v>
      </c>
      <c r="B116" s="6" t="s">
        <v>175</v>
      </c>
      <c r="C116" s="6" t="s">
        <v>2140</v>
      </c>
      <c r="D116" s="6" t="s">
        <v>2152</v>
      </c>
      <c r="E116" s="6" t="s">
        <v>653</v>
      </c>
      <c r="F116" s="7" t="s">
        <v>684</v>
      </c>
      <c r="G116" s="6" t="s">
        <v>1098</v>
      </c>
      <c r="H116" s="7" t="s">
        <v>684</v>
      </c>
      <c r="I116" s="6" t="s">
        <v>723</v>
      </c>
      <c r="J116" s="7" t="s">
        <v>908</v>
      </c>
      <c r="K116" s="6" t="s">
        <v>723</v>
      </c>
      <c r="L116" s="7" t="s">
        <v>908</v>
      </c>
      <c r="M116" s="6" t="s">
        <v>723</v>
      </c>
      <c r="N116" s="7" t="s">
        <v>684</v>
      </c>
      <c r="O116" s="6" t="s">
        <v>1255</v>
      </c>
      <c r="P116" s="7" t="s">
        <v>1428</v>
      </c>
      <c r="Q116" s="6" t="s">
        <v>689</v>
      </c>
      <c r="R116" s="7" t="s">
        <v>1524</v>
      </c>
      <c r="S116" s="6" t="s">
        <v>321</v>
      </c>
      <c r="T116" s="7" t="s">
        <v>488</v>
      </c>
      <c r="U116" s="6" t="s">
        <v>723</v>
      </c>
      <c r="V116" s="7" t="s">
        <v>684</v>
      </c>
      <c r="W116" s="6" t="s">
        <v>689</v>
      </c>
      <c r="X116" s="7" t="s">
        <v>1775</v>
      </c>
      <c r="AI116" s="6">
        <f>SUM(Y116:AH116)</f>
        <v>0</v>
      </c>
      <c r="AJ116" s="6">
        <f>100-(AI116*(AI116/20))</f>
        <v>100</v>
      </c>
      <c r="AK116" s="18">
        <f>100-(AJ116*(AJ116/MAX(AJ101:AJ116)))</f>
        <v>0</v>
      </c>
      <c r="AL116" s="6">
        <v>152</v>
      </c>
    </row>
    <row r="117" spans="1:44" x14ac:dyDescent="0.2">
      <c r="A117" s="6">
        <v>185</v>
      </c>
      <c r="B117" s="6" t="s">
        <v>208</v>
      </c>
      <c r="C117" s="6" t="s">
        <v>2140</v>
      </c>
      <c r="D117" s="6" t="s">
        <v>2152</v>
      </c>
      <c r="E117" s="6" t="s">
        <v>672</v>
      </c>
      <c r="F117" s="7" t="s">
        <v>684</v>
      </c>
      <c r="G117" s="6" t="s">
        <v>1117</v>
      </c>
      <c r="H117" s="7" t="s">
        <v>684</v>
      </c>
      <c r="I117" s="6" t="s">
        <v>755</v>
      </c>
      <c r="J117" s="7" t="s">
        <v>941</v>
      </c>
      <c r="K117" s="6" t="s">
        <v>1576</v>
      </c>
      <c r="L117" s="7" t="s">
        <v>1698</v>
      </c>
      <c r="M117" s="6" t="s">
        <v>723</v>
      </c>
      <c r="N117" s="7" t="s">
        <v>684</v>
      </c>
      <c r="O117" s="6" t="s">
        <v>1278</v>
      </c>
      <c r="P117" s="7" t="s">
        <v>1461</v>
      </c>
      <c r="Q117" s="6" t="s">
        <v>689</v>
      </c>
      <c r="R117" s="7" t="s">
        <v>1524</v>
      </c>
      <c r="S117" s="6" t="s">
        <v>336</v>
      </c>
      <c r="T117" s="7" t="s">
        <v>519</v>
      </c>
      <c r="U117" s="6" t="s">
        <v>723</v>
      </c>
      <c r="V117" s="7" t="s">
        <v>684</v>
      </c>
      <c r="W117" s="6" t="s">
        <v>1770</v>
      </c>
      <c r="X117" s="7" t="s">
        <v>1776</v>
      </c>
      <c r="AI117" s="6">
        <f>SUM(Y117:AH117)</f>
        <v>0</v>
      </c>
      <c r="AJ117" s="6">
        <f>100-(AI117*(AI117/20))</f>
        <v>100</v>
      </c>
      <c r="AK117" s="18">
        <f>100-(AJ117*(AJ117/MAX(AJ106:AJ117)))</f>
        <v>0</v>
      </c>
      <c r="AL117" s="6">
        <v>185</v>
      </c>
    </row>
    <row r="118" spans="1:44" x14ac:dyDescent="0.2">
      <c r="A118" s="6">
        <v>84</v>
      </c>
      <c r="B118" s="6" t="s">
        <v>107</v>
      </c>
      <c r="C118" s="6" t="s">
        <v>2140</v>
      </c>
      <c r="D118" s="6" t="s">
        <v>2163</v>
      </c>
      <c r="E118" s="6" t="s">
        <v>604</v>
      </c>
      <c r="F118" s="7" t="s">
        <v>684</v>
      </c>
      <c r="G118" s="6" t="s">
        <v>1053</v>
      </c>
      <c r="H118" s="7" t="s">
        <v>684</v>
      </c>
      <c r="I118" s="6" t="s">
        <v>744</v>
      </c>
      <c r="J118" s="7" t="s">
        <v>840</v>
      </c>
      <c r="K118" s="6" t="s">
        <v>1559</v>
      </c>
      <c r="L118" s="7" t="s">
        <v>1644</v>
      </c>
      <c r="M118" s="6" t="s">
        <v>976</v>
      </c>
      <c r="N118" s="7" t="s">
        <v>684</v>
      </c>
      <c r="O118" s="6" t="s">
        <v>1203</v>
      </c>
      <c r="P118" s="7" t="s">
        <v>1360</v>
      </c>
      <c r="Q118" s="6" t="s">
        <v>723</v>
      </c>
      <c r="R118" s="7" t="s">
        <v>1524</v>
      </c>
      <c r="S118" s="6" t="s">
        <v>277</v>
      </c>
      <c r="T118" s="7" t="s">
        <v>422</v>
      </c>
      <c r="U118" s="6" t="s">
        <v>723</v>
      </c>
      <c r="V118" s="7" t="s">
        <v>684</v>
      </c>
      <c r="W118" s="6" t="s">
        <v>1739</v>
      </c>
      <c r="X118" s="7" t="s">
        <v>1776</v>
      </c>
      <c r="AI118" s="6">
        <f>SUM(Y118:AH118)</f>
        <v>0</v>
      </c>
      <c r="AJ118" s="6">
        <f>100-(AI118*(AI118/20))</f>
        <v>100</v>
      </c>
      <c r="AK118" s="18">
        <f>100-(AJ118*(AJ118/MAX(AJ103:AJ118)))</f>
        <v>0</v>
      </c>
      <c r="AL118" s="6">
        <v>84</v>
      </c>
    </row>
    <row r="119" spans="1:44" x14ac:dyDescent="0.2">
      <c r="A119" s="6">
        <v>141</v>
      </c>
      <c r="B119" s="6" t="s">
        <v>164</v>
      </c>
      <c r="C119" s="6" t="s">
        <v>2140</v>
      </c>
      <c r="D119" s="6" t="s">
        <v>2163</v>
      </c>
      <c r="E119" s="6" t="s">
        <v>645</v>
      </c>
      <c r="F119" s="7" t="s">
        <v>684</v>
      </c>
      <c r="G119" s="6" t="s">
        <v>1091</v>
      </c>
      <c r="H119" s="7" t="s">
        <v>684</v>
      </c>
      <c r="I119" s="6" t="s">
        <v>689</v>
      </c>
      <c r="J119" s="7" t="s">
        <v>897</v>
      </c>
      <c r="K119" s="6" t="s">
        <v>689</v>
      </c>
      <c r="L119" s="7" t="s">
        <v>1675</v>
      </c>
      <c r="M119" s="6" t="s">
        <v>979</v>
      </c>
      <c r="N119" s="7" t="s">
        <v>684</v>
      </c>
      <c r="O119" s="6" t="s">
        <v>1247</v>
      </c>
      <c r="P119" s="7" t="s">
        <v>1417</v>
      </c>
      <c r="Q119" s="6" t="s">
        <v>723</v>
      </c>
      <c r="R119" s="7" t="s">
        <v>1524</v>
      </c>
      <c r="S119" s="6" t="s">
        <v>316</v>
      </c>
      <c r="T119" s="7" t="s">
        <v>365</v>
      </c>
      <c r="U119" s="6" t="s">
        <v>689</v>
      </c>
      <c r="V119" s="7" t="s">
        <v>684</v>
      </c>
      <c r="W119" s="6" t="s">
        <v>1760</v>
      </c>
      <c r="X119" s="7" t="s">
        <v>1776</v>
      </c>
      <c r="AI119" s="6">
        <f>SUM(Y119:AH119)</f>
        <v>0</v>
      </c>
      <c r="AJ119" s="6">
        <f>100-(AI119*(AI119/20))</f>
        <v>100</v>
      </c>
      <c r="AK119" s="18">
        <f>100-(AJ119*(AJ119/MAX(AJ104:AJ119)))</f>
        <v>0</v>
      </c>
      <c r="AL119" s="6">
        <v>141</v>
      </c>
    </row>
    <row r="120" spans="1:44" x14ac:dyDescent="0.2">
      <c r="A120" s="21">
        <v>2</v>
      </c>
      <c r="B120" s="21" t="s">
        <v>25</v>
      </c>
      <c r="C120" s="21" t="s">
        <v>2140</v>
      </c>
      <c r="D120" s="21" t="s">
        <v>2141</v>
      </c>
      <c r="E120" s="21" t="s">
        <v>529</v>
      </c>
      <c r="F120" s="22" t="s">
        <v>680</v>
      </c>
      <c r="G120" s="21" t="s">
        <v>986</v>
      </c>
      <c r="H120" s="22" t="s">
        <v>684</v>
      </c>
      <c r="I120" s="21" t="s">
        <v>685</v>
      </c>
      <c r="J120" s="22" t="s">
        <v>760</v>
      </c>
      <c r="K120" s="21" t="s">
        <v>1525</v>
      </c>
      <c r="L120" s="22" t="s">
        <v>760</v>
      </c>
      <c r="M120" s="21" t="s">
        <v>952</v>
      </c>
      <c r="N120" s="22" t="s">
        <v>982</v>
      </c>
      <c r="O120" s="21" t="s">
        <v>1141</v>
      </c>
      <c r="P120" s="22" t="s">
        <v>1280</v>
      </c>
      <c r="Q120" s="21" t="s">
        <v>1472</v>
      </c>
      <c r="R120" s="22" t="s">
        <v>1521</v>
      </c>
      <c r="S120" s="21" t="s">
        <v>221</v>
      </c>
      <c r="T120" s="22" t="s">
        <v>345</v>
      </c>
      <c r="U120" s="21" t="s">
        <v>1121</v>
      </c>
      <c r="V120" s="22" t="s">
        <v>1139</v>
      </c>
      <c r="W120" s="21" t="s">
        <v>1704</v>
      </c>
      <c r="X120" s="22" t="s">
        <v>1771</v>
      </c>
      <c r="Y120" s="23"/>
      <c r="Z120" s="23"/>
      <c r="AA120" s="23"/>
      <c r="AB120" s="23"/>
      <c r="AC120" s="23"/>
      <c r="AD120" s="23"/>
      <c r="AE120" s="23"/>
      <c r="AF120" s="23"/>
      <c r="AG120" s="23"/>
      <c r="AH120" s="23"/>
      <c r="AI120" s="21">
        <f>SUM(Y120:AH120)</f>
        <v>0</v>
      </c>
      <c r="AJ120" s="21">
        <f>100-(AI120*(AI120/20))</f>
        <v>100</v>
      </c>
      <c r="AK120" s="24">
        <f>MAX(AJ120:AJ284)-(AJ120*(AJ120/MAX(AJ120:AJ284)))</f>
        <v>0</v>
      </c>
      <c r="AL120" s="21">
        <v>2</v>
      </c>
      <c r="AM120" s="21"/>
      <c r="AN120" s="21"/>
      <c r="AO120" s="21"/>
      <c r="AP120" s="21"/>
      <c r="AQ120" s="21"/>
      <c r="AR120" s="21"/>
    </row>
    <row r="121" spans="1:44" x14ac:dyDescent="0.2">
      <c r="A121" s="6">
        <v>15</v>
      </c>
      <c r="B121" s="6" t="s">
        <v>38</v>
      </c>
      <c r="C121" s="6" t="s">
        <v>2140</v>
      </c>
      <c r="D121" s="6" t="s">
        <v>2141</v>
      </c>
      <c r="E121" s="6" t="s">
        <v>542</v>
      </c>
      <c r="F121" s="7" t="s">
        <v>684</v>
      </c>
      <c r="G121" s="6" t="s">
        <v>999</v>
      </c>
      <c r="H121" s="7" t="s">
        <v>684</v>
      </c>
      <c r="I121" s="6" t="s">
        <v>698</v>
      </c>
      <c r="J121" s="7" t="s">
        <v>773</v>
      </c>
      <c r="K121" s="6" t="s">
        <v>1531</v>
      </c>
      <c r="L121" s="7" t="s">
        <v>1589</v>
      </c>
      <c r="M121" s="6" t="s">
        <v>723</v>
      </c>
      <c r="N121" s="7" t="s">
        <v>684</v>
      </c>
      <c r="O121" s="6" t="s">
        <v>1153</v>
      </c>
      <c r="P121" s="7" t="s">
        <v>1293</v>
      </c>
      <c r="Q121" s="6" t="s">
        <v>1478</v>
      </c>
      <c r="R121" s="7" t="s">
        <v>1524</v>
      </c>
      <c r="S121" s="6" t="s">
        <v>234</v>
      </c>
      <c r="T121" s="7" t="s">
        <v>358</v>
      </c>
      <c r="U121" s="6" t="s">
        <v>723</v>
      </c>
      <c r="V121" s="7" t="s">
        <v>684</v>
      </c>
      <c r="W121" s="6" t="s">
        <v>1712</v>
      </c>
      <c r="X121" s="7" t="s">
        <v>1776</v>
      </c>
      <c r="AI121" s="6">
        <f>SUM(Y121:AH121)</f>
        <v>0</v>
      </c>
      <c r="AJ121" s="6">
        <f>100-(AI121*(AI121/20))</f>
        <v>100</v>
      </c>
      <c r="AK121" s="18">
        <f>100-(AJ121*(AJ121/MAX(AJ108:AJ121)))</f>
        <v>0</v>
      </c>
      <c r="AL121" s="6">
        <v>15</v>
      </c>
    </row>
    <row r="122" spans="1:44" x14ac:dyDescent="0.2">
      <c r="A122" s="6">
        <v>21</v>
      </c>
      <c r="B122" s="6" t="s">
        <v>44</v>
      </c>
      <c r="C122" s="6" t="s">
        <v>2140</v>
      </c>
      <c r="D122" s="6" t="s">
        <v>2141</v>
      </c>
      <c r="E122" s="6" t="s">
        <v>548</v>
      </c>
      <c r="F122" s="7" t="s">
        <v>684</v>
      </c>
      <c r="G122" s="6" t="s">
        <v>1005</v>
      </c>
      <c r="H122" s="7" t="s">
        <v>684</v>
      </c>
      <c r="I122" s="6" t="s">
        <v>703</v>
      </c>
      <c r="J122" s="7" t="s">
        <v>779</v>
      </c>
      <c r="K122" s="6" t="s">
        <v>723</v>
      </c>
      <c r="L122" s="7" t="s">
        <v>1595</v>
      </c>
      <c r="M122" s="6" t="s">
        <v>723</v>
      </c>
      <c r="N122" s="7" t="s">
        <v>684</v>
      </c>
      <c r="O122" s="6" t="s">
        <v>1158</v>
      </c>
      <c r="P122" s="7" t="s">
        <v>1299</v>
      </c>
      <c r="Q122" s="6" t="s">
        <v>1476</v>
      </c>
      <c r="R122" s="7" t="s">
        <v>1524</v>
      </c>
      <c r="S122" s="6" t="s">
        <v>239</v>
      </c>
      <c r="T122" s="7" t="s">
        <v>364</v>
      </c>
      <c r="U122" s="6" t="s">
        <v>723</v>
      </c>
      <c r="V122" s="7" t="s">
        <v>684</v>
      </c>
      <c r="W122" s="6" t="s">
        <v>1715</v>
      </c>
      <c r="X122" s="7" t="s">
        <v>1776</v>
      </c>
      <c r="AI122" s="6">
        <f>SUM(Y122:AH122)</f>
        <v>0</v>
      </c>
      <c r="AJ122" s="6">
        <f>100-(AI122*(AI122/20))</f>
        <v>100</v>
      </c>
      <c r="AK122" s="18">
        <f>100-(AJ122*(AJ122/MAX(AJ107:AJ122)))</f>
        <v>0</v>
      </c>
      <c r="AL122" s="6">
        <v>21</v>
      </c>
    </row>
    <row r="123" spans="1:44" x14ac:dyDescent="0.2">
      <c r="A123" s="6">
        <v>79</v>
      </c>
      <c r="B123" s="6" t="s">
        <v>102</v>
      </c>
      <c r="C123" s="6" t="s">
        <v>2140</v>
      </c>
      <c r="D123" s="6" t="s">
        <v>2141</v>
      </c>
      <c r="E123" s="6" t="s">
        <v>600</v>
      </c>
      <c r="F123" s="7" t="s">
        <v>684</v>
      </c>
      <c r="G123" s="6" t="s">
        <v>1050</v>
      </c>
      <c r="H123" s="7" t="s">
        <v>684</v>
      </c>
      <c r="I123" s="6" t="s">
        <v>741</v>
      </c>
      <c r="J123" s="7" t="s">
        <v>835</v>
      </c>
      <c r="K123" s="6" t="s">
        <v>1557</v>
      </c>
      <c r="L123" s="7" t="s">
        <v>1641</v>
      </c>
      <c r="M123" s="6" t="s">
        <v>723</v>
      </c>
      <c r="N123" s="7" t="s">
        <v>684</v>
      </c>
      <c r="O123" s="6" t="s">
        <v>1198</v>
      </c>
      <c r="P123" s="7" t="s">
        <v>1355</v>
      </c>
      <c r="Q123" s="6" t="s">
        <v>1503</v>
      </c>
      <c r="R123" s="7" t="s">
        <v>1524</v>
      </c>
      <c r="S123" s="6" t="s">
        <v>273</v>
      </c>
      <c r="T123" s="7" t="s">
        <v>418</v>
      </c>
      <c r="U123" s="6" t="s">
        <v>723</v>
      </c>
      <c r="V123" s="7" t="s">
        <v>684</v>
      </c>
      <c r="W123" s="6" t="s">
        <v>1738</v>
      </c>
      <c r="X123" s="7" t="s">
        <v>1776</v>
      </c>
      <c r="AI123" s="6">
        <f>SUM(Y123:AH123)</f>
        <v>0</v>
      </c>
      <c r="AJ123" s="6">
        <f>100-(AI123*(AI123/20))</f>
        <v>100</v>
      </c>
      <c r="AK123" s="18">
        <f>100-(AJ123*(AJ123/MAX(AJ108:AJ123)))</f>
        <v>0</v>
      </c>
      <c r="AL123" s="6">
        <v>79</v>
      </c>
    </row>
    <row r="124" spans="1:44" x14ac:dyDescent="0.2">
      <c r="A124" s="6">
        <v>106</v>
      </c>
      <c r="B124" s="6" t="s">
        <v>129</v>
      </c>
      <c r="C124" s="6" t="s">
        <v>2140</v>
      </c>
      <c r="D124" s="6" t="s">
        <v>2141</v>
      </c>
      <c r="E124" s="6" t="s">
        <v>619</v>
      </c>
      <c r="F124" s="7" t="s">
        <v>684</v>
      </c>
      <c r="G124" s="6" t="s">
        <v>1069</v>
      </c>
      <c r="H124" s="7" t="s">
        <v>684</v>
      </c>
      <c r="I124" s="6" t="s">
        <v>723</v>
      </c>
      <c r="J124" s="7" t="s">
        <v>862</v>
      </c>
      <c r="K124" s="6" t="s">
        <v>723</v>
      </c>
      <c r="L124" s="7" t="s">
        <v>862</v>
      </c>
      <c r="M124" s="6" t="s">
        <v>723</v>
      </c>
      <c r="N124" s="7" t="s">
        <v>684</v>
      </c>
      <c r="O124" s="6" t="s">
        <v>1220</v>
      </c>
      <c r="P124" s="7" t="s">
        <v>1382</v>
      </c>
      <c r="Q124" s="6" t="s">
        <v>689</v>
      </c>
      <c r="R124" s="7" t="s">
        <v>1524</v>
      </c>
      <c r="S124" s="6" t="s">
        <v>292</v>
      </c>
      <c r="T124" s="7" t="s">
        <v>444</v>
      </c>
      <c r="U124" s="6" t="s">
        <v>723</v>
      </c>
      <c r="V124" s="7" t="s">
        <v>684</v>
      </c>
      <c r="W124" s="6" t="s">
        <v>1742</v>
      </c>
      <c r="X124" s="7" t="s">
        <v>1776</v>
      </c>
      <c r="AI124" s="6">
        <f>SUM(Y124:AH124)</f>
        <v>0</v>
      </c>
      <c r="AJ124" s="6">
        <f>100-(AI124*(AI124/20))</f>
        <v>100</v>
      </c>
      <c r="AK124" s="18">
        <f>100-(AJ124*(AJ124/MAX(AJ109:AJ124)))</f>
        <v>0</v>
      </c>
      <c r="AL124" s="6">
        <v>106</v>
      </c>
    </row>
    <row r="125" spans="1:44" x14ac:dyDescent="0.2">
      <c r="A125" s="6">
        <v>122</v>
      </c>
      <c r="B125" s="6" t="s">
        <v>145</v>
      </c>
      <c r="C125" s="6" t="s">
        <v>2140</v>
      </c>
      <c r="D125" s="6" t="s">
        <v>2141</v>
      </c>
      <c r="E125" s="6" t="s">
        <v>629</v>
      </c>
      <c r="F125" s="7" t="s">
        <v>684</v>
      </c>
      <c r="G125" s="6" t="s">
        <v>1078</v>
      </c>
      <c r="H125" s="7" t="s">
        <v>684</v>
      </c>
      <c r="I125" s="6" t="s">
        <v>723</v>
      </c>
      <c r="J125" s="7" t="s">
        <v>878</v>
      </c>
      <c r="K125" s="6" t="s">
        <v>1567</v>
      </c>
      <c r="L125" s="7" t="s">
        <v>878</v>
      </c>
      <c r="M125" s="6" t="s">
        <v>723</v>
      </c>
      <c r="N125" s="7" t="s">
        <v>684</v>
      </c>
      <c r="O125" s="6" t="s">
        <v>1234</v>
      </c>
      <c r="P125" s="7" t="s">
        <v>1398</v>
      </c>
      <c r="Q125" s="6" t="s">
        <v>723</v>
      </c>
      <c r="R125" s="7" t="s">
        <v>1524</v>
      </c>
      <c r="S125" s="6" t="s">
        <v>301</v>
      </c>
      <c r="T125" s="7" t="s">
        <v>459</v>
      </c>
      <c r="U125" s="6" t="s">
        <v>723</v>
      </c>
      <c r="V125" s="7" t="s">
        <v>684</v>
      </c>
      <c r="W125" s="6" t="s">
        <v>1749</v>
      </c>
      <c r="X125" s="7" t="s">
        <v>1776</v>
      </c>
      <c r="AI125" s="6">
        <f>SUM(Y125:AH125)</f>
        <v>0</v>
      </c>
      <c r="AJ125" s="6">
        <f>100-(AI125*(AI125/20))</f>
        <v>100</v>
      </c>
      <c r="AK125" s="18">
        <f>100-(AJ125*(AJ125/MAX(AJ110:AJ125)))</f>
        <v>0</v>
      </c>
      <c r="AL125" s="6">
        <v>122</v>
      </c>
    </row>
    <row r="126" spans="1:44" x14ac:dyDescent="0.2">
      <c r="A126" s="6">
        <v>131</v>
      </c>
      <c r="B126" s="6" t="s">
        <v>154</v>
      </c>
      <c r="C126" s="6" t="s">
        <v>2140</v>
      </c>
      <c r="D126" s="6" t="s">
        <v>2141</v>
      </c>
      <c r="E126" s="6" t="s">
        <v>637</v>
      </c>
      <c r="F126" s="7" t="s">
        <v>684</v>
      </c>
      <c r="G126" s="6" t="s">
        <v>1078</v>
      </c>
      <c r="H126" s="7" t="s">
        <v>684</v>
      </c>
      <c r="I126" s="6" t="s">
        <v>723</v>
      </c>
      <c r="J126" s="7" t="s">
        <v>887</v>
      </c>
      <c r="K126" s="6" t="s">
        <v>723</v>
      </c>
      <c r="L126" s="7" t="s">
        <v>887</v>
      </c>
      <c r="M126" s="6" t="s">
        <v>723</v>
      </c>
      <c r="N126" s="7" t="s">
        <v>684</v>
      </c>
      <c r="O126" s="6" t="s">
        <v>1241</v>
      </c>
      <c r="P126" s="7" t="s">
        <v>1407</v>
      </c>
      <c r="Q126" s="6" t="s">
        <v>689</v>
      </c>
      <c r="R126" s="7" t="s">
        <v>1524</v>
      </c>
      <c r="S126" s="6" t="s">
        <v>308</v>
      </c>
      <c r="T126" s="7" t="s">
        <v>468</v>
      </c>
      <c r="U126" s="6" t="s">
        <v>723</v>
      </c>
      <c r="V126" s="7" t="s">
        <v>684</v>
      </c>
      <c r="W126" s="6" t="s">
        <v>1757</v>
      </c>
      <c r="X126" s="7" t="s">
        <v>1776</v>
      </c>
      <c r="AI126" s="6">
        <f>SUM(Y126:AH126)</f>
        <v>0</v>
      </c>
      <c r="AJ126" s="6">
        <f>100-(AI126*(AI126/20))</f>
        <v>100</v>
      </c>
      <c r="AK126" s="18">
        <f>100-(AJ126*(AJ126/MAX(AJ111:AJ126)))</f>
        <v>0</v>
      </c>
      <c r="AL126" s="6">
        <v>131</v>
      </c>
    </row>
    <row r="127" spans="1:44" x14ac:dyDescent="0.2">
      <c r="A127" s="6">
        <v>165</v>
      </c>
      <c r="B127" s="6" t="s">
        <v>188</v>
      </c>
      <c r="C127" s="6" t="s">
        <v>2140</v>
      </c>
      <c r="D127" s="6" t="s">
        <v>2141</v>
      </c>
      <c r="E127" s="6" t="s">
        <v>661</v>
      </c>
      <c r="F127" s="7" t="s">
        <v>684</v>
      </c>
      <c r="G127" s="6" t="s">
        <v>1108</v>
      </c>
      <c r="H127" s="7" t="s">
        <v>684</v>
      </c>
      <c r="I127" s="6" t="s">
        <v>755</v>
      </c>
      <c r="J127" s="7" t="s">
        <v>921</v>
      </c>
      <c r="K127" s="6" t="s">
        <v>755</v>
      </c>
      <c r="L127" s="7" t="s">
        <v>1688</v>
      </c>
      <c r="M127" s="6" t="s">
        <v>723</v>
      </c>
      <c r="N127" s="7" t="s">
        <v>684</v>
      </c>
      <c r="O127" s="6" t="s">
        <v>1264</v>
      </c>
      <c r="P127" s="7" t="s">
        <v>1441</v>
      </c>
      <c r="Q127" s="6" t="s">
        <v>723</v>
      </c>
      <c r="R127" s="7" t="s">
        <v>1524</v>
      </c>
      <c r="S127" s="6" t="s">
        <v>328</v>
      </c>
      <c r="T127" s="7" t="s">
        <v>501</v>
      </c>
      <c r="U127" s="6" t="s">
        <v>723</v>
      </c>
      <c r="V127" s="7" t="s">
        <v>684</v>
      </c>
      <c r="W127" s="6" t="s">
        <v>1764</v>
      </c>
      <c r="X127" s="7" t="s">
        <v>1776</v>
      </c>
      <c r="AI127" s="6">
        <f>SUM(Y127:AH127)</f>
        <v>0</v>
      </c>
      <c r="AJ127" s="6">
        <f>100-(AI127*(AI127/20))</f>
        <v>100</v>
      </c>
      <c r="AK127" s="18">
        <f>100-(AJ127*(AJ127/MAX(AJ112:AJ127)))</f>
        <v>0</v>
      </c>
      <c r="AL127" s="6">
        <v>165</v>
      </c>
    </row>
    <row r="128" spans="1:44" x14ac:dyDescent="0.2">
      <c r="A128" s="6">
        <v>37</v>
      </c>
      <c r="B128" s="6" t="s">
        <v>60</v>
      </c>
      <c r="C128" s="6" t="s">
        <v>2140</v>
      </c>
      <c r="D128" s="6" t="s">
        <v>2159</v>
      </c>
      <c r="E128" s="6" t="s">
        <v>563</v>
      </c>
      <c r="F128" s="7" t="s">
        <v>684</v>
      </c>
      <c r="G128" s="6" t="s">
        <v>1017</v>
      </c>
      <c r="H128" s="7" t="s">
        <v>684</v>
      </c>
      <c r="I128" s="6" t="s">
        <v>714</v>
      </c>
      <c r="J128" s="7" t="s">
        <v>794</v>
      </c>
      <c r="K128" s="6" t="s">
        <v>1539</v>
      </c>
      <c r="L128" s="7" t="s">
        <v>1610</v>
      </c>
      <c r="M128" s="6" t="s">
        <v>968</v>
      </c>
      <c r="N128" s="7" t="s">
        <v>684</v>
      </c>
      <c r="O128" s="6" t="s">
        <v>1172</v>
      </c>
      <c r="P128" s="7" t="s">
        <v>1314</v>
      </c>
      <c r="Q128" s="6" t="s">
        <v>1484</v>
      </c>
      <c r="R128" s="7" t="s">
        <v>1524</v>
      </c>
      <c r="S128" s="6" t="s">
        <v>249</v>
      </c>
      <c r="T128" s="7" t="s">
        <v>380</v>
      </c>
      <c r="U128" s="6" t="s">
        <v>1130</v>
      </c>
      <c r="V128" s="7" t="s">
        <v>684</v>
      </c>
      <c r="W128" s="6" t="s">
        <v>1723</v>
      </c>
      <c r="X128" s="7" t="s">
        <v>1776</v>
      </c>
      <c r="AI128" s="6">
        <f>SUM(Y128:AH128)</f>
        <v>0</v>
      </c>
      <c r="AJ128" s="6">
        <f>100-(AI128*(AI128/20))</f>
        <v>100</v>
      </c>
      <c r="AK128" s="18">
        <f>100-(AJ128*(AJ128/MAX(AJ118:AJ128)))</f>
        <v>0</v>
      </c>
      <c r="AL128" s="6">
        <v>37</v>
      </c>
    </row>
    <row r="129" spans="1:38" x14ac:dyDescent="0.2">
      <c r="A129" s="6">
        <v>47</v>
      </c>
      <c r="B129" s="6" t="s">
        <v>70</v>
      </c>
      <c r="C129" s="6" t="s">
        <v>2140</v>
      </c>
      <c r="D129" s="6" t="s">
        <v>2159</v>
      </c>
      <c r="E129" s="6" t="s">
        <v>573</v>
      </c>
      <c r="F129" s="7" t="s">
        <v>684</v>
      </c>
      <c r="G129" s="6" t="s">
        <v>1027</v>
      </c>
      <c r="H129" s="7" t="s">
        <v>684</v>
      </c>
      <c r="I129" s="6" t="s">
        <v>723</v>
      </c>
      <c r="J129" s="7" t="s">
        <v>804</v>
      </c>
      <c r="K129" s="6" t="s">
        <v>723</v>
      </c>
      <c r="L129" s="7" t="s">
        <v>804</v>
      </c>
      <c r="M129" s="6" t="s">
        <v>723</v>
      </c>
      <c r="N129" s="7" t="s">
        <v>684</v>
      </c>
      <c r="O129" s="6" t="s">
        <v>1152</v>
      </c>
      <c r="P129" s="7" t="s">
        <v>1324</v>
      </c>
      <c r="Q129" s="6" t="s">
        <v>1489</v>
      </c>
      <c r="R129" s="7" t="s">
        <v>1524</v>
      </c>
      <c r="S129" s="6" t="s">
        <v>257</v>
      </c>
      <c r="T129" s="7" t="s">
        <v>388</v>
      </c>
      <c r="U129" s="6" t="s">
        <v>723</v>
      </c>
      <c r="V129" s="7" t="s">
        <v>684</v>
      </c>
      <c r="W129" s="6" t="s">
        <v>1724</v>
      </c>
      <c r="X129" s="7" t="s">
        <v>1775</v>
      </c>
      <c r="AI129" s="6">
        <f>SUM(Y129:AH129)</f>
        <v>0</v>
      </c>
      <c r="AJ129" s="6">
        <f>100-(AI129*(AI129/20))</f>
        <v>100</v>
      </c>
      <c r="AK129" s="18">
        <f>100-(AJ129*(AJ129/MAX(AJ118:AJ129)))</f>
        <v>0</v>
      </c>
      <c r="AL129" s="6">
        <v>47</v>
      </c>
    </row>
    <row r="130" spans="1:38" x14ac:dyDescent="0.2">
      <c r="A130" s="6">
        <v>81</v>
      </c>
      <c r="B130" s="6" t="s">
        <v>104</v>
      </c>
      <c r="C130" s="6" t="s">
        <v>2140</v>
      </c>
      <c r="D130" s="6" t="s">
        <v>2159</v>
      </c>
      <c r="E130" s="6" t="s">
        <v>596</v>
      </c>
      <c r="F130" s="7" t="s">
        <v>684</v>
      </c>
      <c r="G130" s="6" t="s">
        <v>262</v>
      </c>
      <c r="H130" s="7" t="s">
        <v>684</v>
      </c>
      <c r="I130" s="6" t="s">
        <v>723</v>
      </c>
      <c r="J130" s="7" t="s">
        <v>837</v>
      </c>
      <c r="K130" s="6" t="s">
        <v>723</v>
      </c>
      <c r="L130" s="7" t="s">
        <v>837</v>
      </c>
      <c r="M130" s="6" t="s">
        <v>723</v>
      </c>
      <c r="N130" s="7" t="s">
        <v>684</v>
      </c>
      <c r="O130" s="6" t="s">
        <v>1200</v>
      </c>
      <c r="P130" s="7" t="s">
        <v>1357</v>
      </c>
      <c r="Q130" s="6" t="s">
        <v>1505</v>
      </c>
      <c r="R130" s="7" t="s">
        <v>1524</v>
      </c>
      <c r="S130" s="6" t="s">
        <v>275</v>
      </c>
      <c r="T130" s="7" t="s">
        <v>365</v>
      </c>
      <c r="U130" s="6" t="s">
        <v>723</v>
      </c>
      <c r="V130" s="7" t="s">
        <v>684</v>
      </c>
      <c r="W130" s="6" t="s">
        <v>1731</v>
      </c>
      <c r="X130" s="7" t="s">
        <v>1776</v>
      </c>
      <c r="AI130" s="6">
        <f>SUM(Y130:AH130)</f>
        <v>0</v>
      </c>
      <c r="AJ130" s="6">
        <f>100-(AI130*(AI130/20))</f>
        <v>100</v>
      </c>
      <c r="AK130" s="18">
        <f>100-(AJ130*(AJ130/MAX(AJ118:AJ130)))</f>
        <v>0</v>
      </c>
      <c r="AL130" s="6">
        <v>81</v>
      </c>
    </row>
    <row r="131" spans="1:38" x14ac:dyDescent="0.2">
      <c r="A131" s="6">
        <v>89</v>
      </c>
      <c r="B131" s="6" t="s">
        <v>112</v>
      </c>
      <c r="C131" s="6" t="s">
        <v>2140</v>
      </c>
      <c r="D131" s="6" t="s">
        <v>2159</v>
      </c>
      <c r="E131" s="6" t="s">
        <v>608</v>
      </c>
      <c r="F131" s="7" t="s">
        <v>684</v>
      </c>
      <c r="G131" s="6" t="s">
        <v>1058</v>
      </c>
      <c r="H131" s="7" t="s">
        <v>684</v>
      </c>
      <c r="I131" s="6" t="s">
        <v>749</v>
      </c>
      <c r="J131" s="7" t="s">
        <v>845</v>
      </c>
      <c r="K131" s="6" t="s">
        <v>723</v>
      </c>
      <c r="L131" s="7" t="s">
        <v>1649</v>
      </c>
      <c r="M131" s="6" t="s">
        <v>723</v>
      </c>
      <c r="N131" s="7" t="s">
        <v>684</v>
      </c>
      <c r="O131" s="6" t="s">
        <v>1207</v>
      </c>
      <c r="P131" s="7" t="s">
        <v>1365</v>
      </c>
      <c r="Q131" s="6" t="s">
        <v>1507</v>
      </c>
      <c r="R131" s="7" t="s">
        <v>1524</v>
      </c>
      <c r="S131" s="6" t="s">
        <v>281</v>
      </c>
      <c r="T131" s="7" t="s">
        <v>427</v>
      </c>
      <c r="U131" s="6" t="s">
        <v>723</v>
      </c>
      <c r="V131" s="7" t="s">
        <v>684</v>
      </c>
      <c r="W131" s="6" t="s">
        <v>1742</v>
      </c>
      <c r="X131" s="7" t="s">
        <v>1776</v>
      </c>
      <c r="AI131" s="6">
        <f>SUM(Y131:AH131)</f>
        <v>0</v>
      </c>
      <c r="AJ131" s="6">
        <f>100-(AI131*(AI131/20))</f>
        <v>100</v>
      </c>
      <c r="AK131" s="18">
        <f>100-(AJ131*(AJ131/MAX(AJ118:AJ131)))</f>
        <v>0</v>
      </c>
      <c r="AL131" s="6">
        <v>89</v>
      </c>
    </row>
    <row r="132" spans="1:38" x14ac:dyDescent="0.2">
      <c r="A132" s="6">
        <v>93</v>
      </c>
      <c r="B132" s="6" t="s">
        <v>116</v>
      </c>
      <c r="C132" s="6" t="s">
        <v>2140</v>
      </c>
      <c r="D132" s="6" t="s">
        <v>2159</v>
      </c>
      <c r="E132" s="6" t="s">
        <v>611</v>
      </c>
      <c r="F132" s="7" t="s">
        <v>684</v>
      </c>
      <c r="G132" s="6" t="s">
        <v>1060</v>
      </c>
      <c r="H132" s="7" t="s">
        <v>684</v>
      </c>
      <c r="I132" s="6" t="s">
        <v>751</v>
      </c>
      <c r="J132" s="7" t="s">
        <v>849</v>
      </c>
      <c r="K132" s="6" t="s">
        <v>723</v>
      </c>
      <c r="L132" s="7" t="s">
        <v>1651</v>
      </c>
      <c r="M132" s="6" t="s">
        <v>723</v>
      </c>
      <c r="N132" s="7" t="s">
        <v>684</v>
      </c>
      <c r="O132" s="6" t="s">
        <v>1207</v>
      </c>
      <c r="P132" s="7" t="s">
        <v>1369</v>
      </c>
      <c r="Q132" s="6" t="s">
        <v>1507</v>
      </c>
      <c r="R132" s="7" t="s">
        <v>1524</v>
      </c>
      <c r="S132" s="6" t="s">
        <v>284</v>
      </c>
      <c r="T132" s="7" t="s">
        <v>431</v>
      </c>
      <c r="U132" s="6" t="s">
        <v>723</v>
      </c>
      <c r="V132" s="7" t="s">
        <v>684</v>
      </c>
      <c r="W132" s="6" t="s">
        <v>1746</v>
      </c>
      <c r="X132" s="7" t="s">
        <v>1775</v>
      </c>
      <c r="AI132" s="6">
        <f>SUM(Y132:AH132)</f>
        <v>0</v>
      </c>
      <c r="AJ132" s="6">
        <f>100-(AI132*(AI132/20))</f>
        <v>100</v>
      </c>
      <c r="AK132" s="18">
        <f>100-(AJ132*(AJ132/MAX(AJ118:AJ132)))</f>
        <v>0</v>
      </c>
      <c r="AL132" s="6">
        <v>93</v>
      </c>
    </row>
    <row r="133" spans="1:38" x14ac:dyDescent="0.2">
      <c r="A133" s="6">
        <v>115</v>
      </c>
      <c r="B133" s="6" t="s">
        <v>138</v>
      </c>
      <c r="C133" s="6" t="s">
        <v>2140</v>
      </c>
      <c r="D133" s="6" t="s">
        <v>2159</v>
      </c>
      <c r="E133" s="6" t="s">
        <v>625</v>
      </c>
      <c r="F133" s="7" t="s">
        <v>684</v>
      </c>
      <c r="G133" s="6" t="s">
        <v>1075</v>
      </c>
      <c r="H133" s="7" t="s">
        <v>684</v>
      </c>
      <c r="I133" s="6" t="s">
        <v>755</v>
      </c>
      <c r="J133" s="7" t="s">
        <v>871</v>
      </c>
      <c r="K133" s="6" t="s">
        <v>723</v>
      </c>
      <c r="L133" s="7" t="s">
        <v>1663</v>
      </c>
      <c r="M133" s="6" t="s">
        <v>723</v>
      </c>
      <c r="N133" s="7" t="s">
        <v>684</v>
      </c>
      <c r="O133" s="6" t="s">
        <v>1227</v>
      </c>
      <c r="P133" s="7" t="s">
        <v>1391</v>
      </c>
      <c r="Q133" s="6" t="s">
        <v>723</v>
      </c>
      <c r="R133" s="7" t="s">
        <v>1524</v>
      </c>
      <c r="S133" s="6" t="s">
        <v>297</v>
      </c>
      <c r="T133" s="7" t="s">
        <v>452</v>
      </c>
      <c r="U133" s="6" t="s">
        <v>723</v>
      </c>
      <c r="V133" s="7" t="s">
        <v>684</v>
      </c>
      <c r="W133" s="6" t="s">
        <v>1747</v>
      </c>
      <c r="X133" s="7" t="s">
        <v>1775</v>
      </c>
      <c r="AI133" s="6">
        <f>SUM(Y133:AH133)</f>
        <v>0</v>
      </c>
      <c r="AJ133" s="6">
        <f>100-(AI133*(AI133/20))</f>
        <v>100</v>
      </c>
      <c r="AK133" s="18">
        <f>100-(AJ133*(AJ133/MAX(AJ118:AJ133)))</f>
        <v>0</v>
      </c>
      <c r="AL133" s="6">
        <v>115</v>
      </c>
    </row>
    <row r="134" spans="1:38" x14ac:dyDescent="0.2">
      <c r="A134" s="6">
        <v>172</v>
      </c>
      <c r="B134" s="6" t="s">
        <v>195</v>
      </c>
      <c r="C134" s="6" t="s">
        <v>2140</v>
      </c>
      <c r="D134" s="6" t="s">
        <v>2159</v>
      </c>
      <c r="E134" s="6" t="s">
        <v>663</v>
      </c>
      <c r="F134" s="7" t="s">
        <v>684</v>
      </c>
      <c r="G134" s="6" t="s">
        <v>262</v>
      </c>
      <c r="H134" s="7" t="s">
        <v>684</v>
      </c>
      <c r="I134" s="6" t="s">
        <v>723</v>
      </c>
      <c r="J134" s="7" t="s">
        <v>928</v>
      </c>
      <c r="K134" s="6" t="s">
        <v>723</v>
      </c>
      <c r="L134" s="7" t="s">
        <v>928</v>
      </c>
      <c r="M134" s="6" t="s">
        <v>723</v>
      </c>
      <c r="N134" s="7" t="s">
        <v>684</v>
      </c>
      <c r="O134" s="6" t="s">
        <v>1269</v>
      </c>
      <c r="P134" s="7" t="s">
        <v>1448</v>
      </c>
      <c r="Q134" s="6" t="s">
        <v>1518</v>
      </c>
      <c r="R134" s="7" t="s">
        <v>1524</v>
      </c>
      <c r="S134" s="6" t="s">
        <v>262</v>
      </c>
      <c r="T134" s="7" t="s">
        <v>507</v>
      </c>
      <c r="U134" s="6" t="s">
        <v>723</v>
      </c>
      <c r="V134" s="7" t="s">
        <v>684</v>
      </c>
      <c r="W134" s="6" t="s">
        <v>1755</v>
      </c>
      <c r="X134" s="7" t="s">
        <v>1776</v>
      </c>
      <c r="AI134" s="6">
        <f>SUM(Y134:AH134)</f>
        <v>0</v>
      </c>
      <c r="AJ134" s="6">
        <f>100-(AI134*(AI134/20))</f>
        <v>100</v>
      </c>
      <c r="AK134" s="18">
        <f>100-(AJ134*(AJ134/MAX(AJ119:AJ134)))</f>
        <v>0</v>
      </c>
      <c r="AL134" s="6">
        <v>172</v>
      </c>
    </row>
    <row r="135" spans="1:38" x14ac:dyDescent="0.2">
      <c r="A135" s="6">
        <v>181</v>
      </c>
      <c r="B135" s="6" t="s">
        <v>204</v>
      </c>
      <c r="C135" s="6" t="s">
        <v>2140</v>
      </c>
      <c r="D135" s="6" t="s">
        <v>2159</v>
      </c>
      <c r="E135" s="6" t="s">
        <v>262</v>
      </c>
      <c r="F135" s="7" t="s">
        <v>684</v>
      </c>
      <c r="G135" s="6" t="s">
        <v>262</v>
      </c>
      <c r="H135" s="7" t="s">
        <v>684</v>
      </c>
      <c r="I135" s="6" t="s">
        <v>723</v>
      </c>
      <c r="J135" s="7" t="s">
        <v>937</v>
      </c>
      <c r="K135" s="6" t="s">
        <v>723</v>
      </c>
      <c r="L135" s="7" t="s">
        <v>937</v>
      </c>
      <c r="M135" s="6" t="s">
        <v>723</v>
      </c>
      <c r="N135" s="7" t="s">
        <v>684</v>
      </c>
      <c r="O135" s="6" t="s">
        <v>1152</v>
      </c>
      <c r="P135" s="7" t="s">
        <v>1457</v>
      </c>
      <c r="Q135" s="6" t="s">
        <v>689</v>
      </c>
      <c r="R135" s="7" t="s">
        <v>1524</v>
      </c>
      <c r="S135" s="6" t="s">
        <v>262</v>
      </c>
      <c r="T135" s="7" t="s">
        <v>515</v>
      </c>
      <c r="U135" s="6" t="s">
        <v>723</v>
      </c>
      <c r="V135" s="7" t="s">
        <v>684</v>
      </c>
      <c r="W135" s="6" t="s">
        <v>689</v>
      </c>
      <c r="X135" s="7" t="s">
        <v>1775</v>
      </c>
      <c r="AI135" s="6">
        <f>SUM(Y135:AH135)</f>
        <v>0</v>
      </c>
      <c r="AJ135" s="6">
        <f>100-(AI135*(AI135/20))</f>
        <v>100</v>
      </c>
      <c r="AK135" s="18">
        <f>100-(AJ135*(AJ135/MAX(AJ120:AJ135)))</f>
        <v>0</v>
      </c>
      <c r="AL135" s="6">
        <v>181</v>
      </c>
    </row>
    <row r="136" spans="1:38" x14ac:dyDescent="0.2">
      <c r="A136" s="6">
        <v>189</v>
      </c>
      <c r="B136" s="6" t="s">
        <v>212</v>
      </c>
      <c r="C136" s="6" t="s">
        <v>2140</v>
      </c>
      <c r="D136" s="6" t="s">
        <v>2159</v>
      </c>
      <c r="E136" s="6" t="s">
        <v>676</v>
      </c>
      <c r="F136" s="7" t="s">
        <v>684</v>
      </c>
      <c r="G136" s="6" t="s">
        <v>1118</v>
      </c>
      <c r="H136" s="7" t="s">
        <v>684</v>
      </c>
      <c r="I136" s="6" t="s">
        <v>723</v>
      </c>
      <c r="J136" s="7" t="s">
        <v>945</v>
      </c>
      <c r="K136" s="6" t="s">
        <v>723</v>
      </c>
      <c r="L136" s="7" t="s">
        <v>945</v>
      </c>
      <c r="M136" s="6" t="s">
        <v>723</v>
      </c>
      <c r="N136" s="7" t="s">
        <v>684</v>
      </c>
      <c r="O136" s="6" t="s">
        <v>1152</v>
      </c>
      <c r="P136" s="7" t="s">
        <v>1465</v>
      </c>
      <c r="Q136" s="6" t="s">
        <v>689</v>
      </c>
      <c r="R136" s="7" t="s">
        <v>1524</v>
      </c>
      <c r="S136" s="6" t="s">
        <v>340</v>
      </c>
      <c r="T136" s="7" t="s">
        <v>523</v>
      </c>
      <c r="U136" s="6" t="s">
        <v>723</v>
      </c>
      <c r="V136" s="7" t="s">
        <v>684</v>
      </c>
      <c r="W136" s="6" t="s">
        <v>689</v>
      </c>
      <c r="X136" s="7" t="s">
        <v>1775</v>
      </c>
      <c r="AI136" s="6">
        <f>SUM(Y136:AH136)</f>
        <v>0</v>
      </c>
      <c r="AJ136" s="6">
        <f>100-(AI136*(AI136/20))</f>
        <v>100</v>
      </c>
      <c r="AK136" s="18">
        <f>100-(AJ136*(AJ136/MAX(AJ129:AJ136)))</f>
        <v>0</v>
      </c>
      <c r="AL136" s="6">
        <v>189</v>
      </c>
    </row>
    <row r="137" spans="1:38" x14ac:dyDescent="0.2">
      <c r="A137" s="6">
        <v>17</v>
      </c>
      <c r="B137" s="6" t="s">
        <v>40</v>
      </c>
      <c r="C137" s="6" t="s">
        <v>2142</v>
      </c>
      <c r="D137" s="6" t="s">
        <v>2148</v>
      </c>
      <c r="E137" s="6" t="s">
        <v>544</v>
      </c>
      <c r="F137" s="7" t="s">
        <v>684</v>
      </c>
      <c r="G137" s="6" t="s">
        <v>1001</v>
      </c>
      <c r="H137" s="7" t="s">
        <v>684</v>
      </c>
      <c r="I137" s="6" t="s">
        <v>700</v>
      </c>
      <c r="J137" s="7" t="s">
        <v>775</v>
      </c>
      <c r="K137" s="6" t="s">
        <v>723</v>
      </c>
      <c r="L137" s="7" t="s">
        <v>1591</v>
      </c>
      <c r="M137" s="6" t="s">
        <v>963</v>
      </c>
      <c r="N137" s="7" t="s">
        <v>684</v>
      </c>
      <c r="O137" s="6" t="s">
        <v>1155</v>
      </c>
      <c r="P137" s="7" t="s">
        <v>1295</v>
      </c>
      <c r="Q137" s="6" t="s">
        <v>1479</v>
      </c>
      <c r="R137" s="7" t="s">
        <v>1524</v>
      </c>
      <c r="S137" s="6" t="s">
        <v>236</v>
      </c>
      <c r="T137" s="7" t="s">
        <v>360</v>
      </c>
      <c r="U137" s="6" t="s">
        <v>723</v>
      </c>
      <c r="V137" s="7" t="s">
        <v>684</v>
      </c>
      <c r="W137" s="6" t="s">
        <v>1713</v>
      </c>
      <c r="X137" s="7" t="s">
        <v>1776</v>
      </c>
      <c r="AI137" s="6">
        <f>SUM(Y137:AH137)</f>
        <v>0</v>
      </c>
      <c r="AJ137" s="6">
        <f>100-(AI137*(AI137/20))</f>
        <v>100</v>
      </c>
      <c r="AK137" s="18">
        <f>100-(AJ137*(AJ137/MAX(AJ122:AJ137)))</f>
        <v>0</v>
      </c>
      <c r="AL137" s="6">
        <v>17</v>
      </c>
    </row>
    <row r="138" spans="1:38" x14ac:dyDescent="0.2">
      <c r="A138" s="6">
        <v>144</v>
      </c>
      <c r="B138" s="6" t="s">
        <v>167</v>
      </c>
      <c r="C138" s="6" t="s">
        <v>2142</v>
      </c>
      <c r="D138" s="6" t="s">
        <v>2148</v>
      </c>
      <c r="E138" s="6" t="s">
        <v>647</v>
      </c>
      <c r="F138" s="7" t="s">
        <v>684</v>
      </c>
      <c r="G138" s="6" t="s">
        <v>1094</v>
      </c>
      <c r="H138" s="7" t="s">
        <v>684</v>
      </c>
      <c r="I138" s="6" t="s">
        <v>723</v>
      </c>
      <c r="J138" s="7" t="s">
        <v>900</v>
      </c>
      <c r="K138" s="6" t="s">
        <v>723</v>
      </c>
      <c r="L138" s="7" t="s">
        <v>900</v>
      </c>
      <c r="M138" s="6" t="s">
        <v>723</v>
      </c>
      <c r="N138" s="7" t="s">
        <v>684</v>
      </c>
      <c r="O138" s="6" t="s">
        <v>1249</v>
      </c>
      <c r="P138" s="7" t="s">
        <v>1420</v>
      </c>
      <c r="Q138" s="6" t="s">
        <v>689</v>
      </c>
      <c r="R138" s="7" t="s">
        <v>1524</v>
      </c>
      <c r="S138" s="6" t="s">
        <v>316</v>
      </c>
      <c r="T138" s="7" t="s">
        <v>480</v>
      </c>
      <c r="U138" s="6" t="s">
        <v>723</v>
      </c>
      <c r="V138" s="7" t="s">
        <v>684</v>
      </c>
      <c r="W138" s="6" t="s">
        <v>689</v>
      </c>
      <c r="X138" s="7" t="s">
        <v>1775</v>
      </c>
      <c r="AI138" s="6">
        <f>SUM(Y138:AH138)</f>
        <v>0</v>
      </c>
      <c r="AJ138" s="6">
        <f>100-(AI138*(AI138/20))</f>
        <v>100</v>
      </c>
      <c r="AK138" s="18">
        <f>100-(AJ138*(AJ138/MAX(AJ123:AJ138)))</f>
        <v>0</v>
      </c>
      <c r="AL138" s="6">
        <v>144</v>
      </c>
    </row>
    <row r="139" spans="1:38" x14ac:dyDescent="0.2">
      <c r="A139" s="43">
        <v>3</v>
      </c>
      <c r="B139" s="43" t="s">
        <v>26</v>
      </c>
      <c r="C139" s="43" t="s">
        <v>2142</v>
      </c>
      <c r="D139" s="43" t="s">
        <v>2143</v>
      </c>
      <c r="E139" s="43" t="s">
        <v>530</v>
      </c>
      <c r="F139" s="44" t="s">
        <v>681</v>
      </c>
      <c r="G139" s="43" t="s">
        <v>987</v>
      </c>
      <c r="H139" s="44" t="s">
        <v>1119</v>
      </c>
      <c r="I139" s="43" t="s">
        <v>686</v>
      </c>
      <c r="J139" s="44" t="s">
        <v>761</v>
      </c>
      <c r="K139" s="43" t="s">
        <v>1526</v>
      </c>
      <c r="L139" s="44" t="s">
        <v>1577</v>
      </c>
      <c r="M139" s="43" t="s">
        <v>953</v>
      </c>
      <c r="N139" s="44" t="s">
        <v>983</v>
      </c>
      <c r="O139" s="43" t="s">
        <v>1142</v>
      </c>
      <c r="P139" s="44" t="s">
        <v>1281</v>
      </c>
      <c r="Q139" s="43" t="s">
        <v>1473</v>
      </c>
      <c r="R139" s="44" t="s">
        <v>1522</v>
      </c>
      <c r="S139" s="43" t="s">
        <v>222</v>
      </c>
      <c r="T139" s="44" t="s">
        <v>346</v>
      </c>
      <c r="U139" s="43" t="s">
        <v>1122</v>
      </c>
      <c r="V139" s="44" t="s">
        <v>681</v>
      </c>
      <c r="W139" s="43" t="s">
        <v>1705</v>
      </c>
      <c r="X139" s="44" t="s">
        <v>1772</v>
      </c>
      <c r="AI139" s="6">
        <f>SUM(Y139:AH139)</f>
        <v>0</v>
      </c>
      <c r="AJ139" s="6">
        <f>100-(AI139*(AI139/20))</f>
        <v>100</v>
      </c>
      <c r="AK139" s="18">
        <f>MAX(AJ138:AJ302)-(AJ139*(AJ139/MAX(AJ138:AJ302)))</f>
        <v>0</v>
      </c>
      <c r="AL139" s="6">
        <v>3</v>
      </c>
    </row>
    <row r="140" spans="1:38" x14ac:dyDescent="0.2">
      <c r="A140" s="43">
        <v>5</v>
      </c>
      <c r="B140" s="43" t="s">
        <v>28</v>
      </c>
      <c r="C140" s="43" t="s">
        <v>2142</v>
      </c>
      <c r="D140" s="43" t="s">
        <v>2143</v>
      </c>
      <c r="E140" s="43" t="s">
        <v>532</v>
      </c>
      <c r="F140" s="44" t="s">
        <v>683</v>
      </c>
      <c r="G140" s="43" t="s">
        <v>989</v>
      </c>
      <c r="H140" s="44" t="s">
        <v>1120</v>
      </c>
      <c r="I140" s="43" t="s">
        <v>688</v>
      </c>
      <c r="J140" s="44" t="s">
        <v>763</v>
      </c>
      <c r="K140" s="43" t="s">
        <v>1526</v>
      </c>
      <c r="L140" s="44" t="s">
        <v>1579</v>
      </c>
      <c r="M140" s="43" t="s">
        <v>955</v>
      </c>
      <c r="N140" s="44" t="s">
        <v>985</v>
      </c>
      <c r="O140" s="43" t="s">
        <v>1144</v>
      </c>
      <c r="P140" s="44" t="s">
        <v>1283</v>
      </c>
      <c r="Q140" s="43" t="s">
        <v>1475</v>
      </c>
      <c r="R140" s="44" t="s">
        <v>1523</v>
      </c>
      <c r="S140" s="43" t="s">
        <v>224</v>
      </c>
      <c r="T140" s="44" t="s">
        <v>348</v>
      </c>
      <c r="U140" s="43" t="s">
        <v>1124</v>
      </c>
      <c r="V140" s="44" t="s">
        <v>763</v>
      </c>
      <c r="W140" s="43" t="s">
        <v>1705</v>
      </c>
      <c r="X140" s="44" t="s">
        <v>1774</v>
      </c>
      <c r="AI140" s="6">
        <f>SUM(Y140:AH140)</f>
        <v>0</v>
      </c>
      <c r="AJ140" s="6">
        <f>100-(AI140*(AI140/20))</f>
        <v>100</v>
      </c>
      <c r="AK140" s="18">
        <f>MAX(AJ137:AJ301)-(AJ140*(AJ140/MAX(AJ137:AJ301)))</f>
        <v>0</v>
      </c>
      <c r="AL140" s="6">
        <v>5</v>
      </c>
    </row>
    <row r="141" spans="1:38" x14ac:dyDescent="0.2">
      <c r="A141" s="43">
        <v>23</v>
      </c>
      <c r="B141" s="43" t="s">
        <v>46</v>
      </c>
      <c r="C141" s="43" t="s">
        <v>2142</v>
      </c>
      <c r="D141" s="43" t="s">
        <v>2143</v>
      </c>
      <c r="E141" s="43" t="s">
        <v>550</v>
      </c>
      <c r="F141" s="44" t="s">
        <v>684</v>
      </c>
      <c r="G141" s="43" t="s">
        <v>1007</v>
      </c>
      <c r="H141" s="44" t="s">
        <v>684</v>
      </c>
      <c r="I141" s="43" t="s">
        <v>705</v>
      </c>
      <c r="J141" s="44" t="s">
        <v>781</v>
      </c>
      <c r="K141" s="43" t="s">
        <v>1533</v>
      </c>
      <c r="L141" s="44" t="s">
        <v>1597</v>
      </c>
      <c r="M141" s="43" t="s">
        <v>964</v>
      </c>
      <c r="N141" s="44" t="s">
        <v>684</v>
      </c>
      <c r="O141" s="43" t="s">
        <v>1160</v>
      </c>
      <c r="P141" s="44" t="s">
        <v>1301</v>
      </c>
      <c r="Q141" s="43" t="s">
        <v>1476</v>
      </c>
      <c r="R141" s="44" t="s">
        <v>1524</v>
      </c>
      <c r="S141" s="43" t="s">
        <v>241</v>
      </c>
      <c r="T141" s="44" t="s">
        <v>366</v>
      </c>
      <c r="U141" s="43" t="s">
        <v>1127</v>
      </c>
      <c r="V141" s="44" t="s">
        <v>684</v>
      </c>
      <c r="W141" s="43" t="s">
        <v>1717</v>
      </c>
      <c r="X141" s="44" t="s">
        <v>1776</v>
      </c>
      <c r="AI141" s="6">
        <f>SUM(Y141:AH141)</f>
        <v>0</v>
      </c>
      <c r="AJ141" s="6">
        <f>100-(AI141*(AI141/20))</f>
        <v>100</v>
      </c>
      <c r="AK141" s="18">
        <f>100-(AJ141*(AJ141/MAX(AJ126:AJ141)))</f>
        <v>0</v>
      </c>
      <c r="AL141" s="6">
        <v>23</v>
      </c>
    </row>
    <row r="142" spans="1:38" x14ac:dyDescent="0.2">
      <c r="A142" s="43">
        <v>78</v>
      </c>
      <c r="B142" s="43" t="s">
        <v>101</v>
      </c>
      <c r="C142" s="43" t="s">
        <v>2142</v>
      </c>
      <c r="D142" s="43" t="s">
        <v>2143</v>
      </c>
      <c r="E142" s="43" t="s">
        <v>599</v>
      </c>
      <c r="F142" s="44" t="s">
        <v>684</v>
      </c>
      <c r="G142" s="43" t="s">
        <v>1049</v>
      </c>
      <c r="H142" s="44" t="s">
        <v>684</v>
      </c>
      <c r="I142" s="43" t="s">
        <v>740</v>
      </c>
      <c r="J142" s="44" t="s">
        <v>834</v>
      </c>
      <c r="K142" s="43" t="s">
        <v>1556</v>
      </c>
      <c r="L142" s="44" t="s">
        <v>1640</v>
      </c>
      <c r="M142" s="43" t="s">
        <v>971</v>
      </c>
      <c r="N142" s="44" t="s">
        <v>684</v>
      </c>
      <c r="O142" s="43" t="s">
        <v>1197</v>
      </c>
      <c r="P142" s="44" t="s">
        <v>1354</v>
      </c>
      <c r="Q142" s="43" t="s">
        <v>723</v>
      </c>
      <c r="R142" s="44" t="s">
        <v>1524</v>
      </c>
      <c r="S142" s="43" t="s">
        <v>272</v>
      </c>
      <c r="T142" s="44" t="s">
        <v>417</v>
      </c>
      <c r="U142" s="43" t="s">
        <v>689</v>
      </c>
      <c r="V142" s="44" t="s">
        <v>684</v>
      </c>
      <c r="W142" s="43" t="s">
        <v>1707</v>
      </c>
      <c r="X142" s="44" t="s">
        <v>1776</v>
      </c>
      <c r="AI142" s="6">
        <f>SUM(Y142:AH142)</f>
        <v>0</v>
      </c>
      <c r="AJ142" s="6">
        <f>100-(AI142*(AI142/20))</f>
        <v>100</v>
      </c>
      <c r="AK142" s="18">
        <f>100-(AJ142*(AJ142/MAX(AJ127:AJ142)))</f>
        <v>0</v>
      </c>
      <c r="AL142" s="6">
        <v>78</v>
      </c>
    </row>
    <row r="143" spans="1:38" x14ac:dyDescent="0.2">
      <c r="A143" s="43">
        <v>100</v>
      </c>
      <c r="B143" s="43" t="s">
        <v>123</v>
      </c>
      <c r="C143" s="43" t="s">
        <v>2142</v>
      </c>
      <c r="D143" s="43" t="s">
        <v>2143</v>
      </c>
      <c r="E143" s="43" t="s">
        <v>615</v>
      </c>
      <c r="F143" s="44" t="s">
        <v>684</v>
      </c>
      <c r="G143" s="43" t="s">
        <v>1064</v>
      </c>
      <c r="H143" s="44" t="s">
        <v>684</v>
      </c>
      <c r="I143" s="43" t="s">
        <v>753</v>
      </c>
      <c r="J143" s="44" t="s">
        <v>856</v>
      </c>
      <c r="K143" s="43" t="s">
        <v>1563</v>
      </c>
      <c r="L143" s="44" t="s">
        <v>1654</v>
      </c>
      <c r="M143" s="43" t="s">
        <v>689</v>
      </c>
      <c r="N143" s="44" t="s">
        <v>684</v>
      </c>
      <c r="O143" s="43" t="s">
        <v>1216</v>
      </c>
      <c r="P143" s="44" t="s">
        <v>1376</v>
      </c>
      <c r="Q143" s="43" t="s">
        <v>723</v>
      </c>
      <c r="R143" s="44" t="s">
        <v>1524</v>
      </c>
      <c r="S143" s="43" t="s">
        <v>287</v>
      </c>
      <c r="T143" s="44" t="s">
        <v>438</v>
      </c>
      <c r="U143" s="43" t="s">
        <v>689</v>
      </c>
      <c r="V143" s="44" t="s">
        <v>684</v>
      </c>
      <c r="W143" s="43" t="s">
        <v>1740</v>
      </c>
      <c r="X143" s="44" t="s">
        <v>1776</v>
      </c>
      <c r="AI143" s="6">
        <f>SUM(Y143:AH143)</f>
        <v>0</v>
      </c>
      <c r="AJ143" s="6">
        <f>100-(AI143*(AI143/20))</f>
        <v>100</v>
      </c>
      <c r="AK143" s="18">
        <f>100-(AJ143*(AJ143/MAX(AJ128:AJ143)))</f>
        <v>0</v>
      </c>
      <c r="AL143" s="6">
        <v>100</v>
      </c>
    </row>
    <row r="144" spans="1:38" x14ac:dyDescent="0.2">
      <c r="A144" s="43">
        <v>114</v>
      </c>
      <c r="B144" s="43" t="s">
        <v>137</v>
      </c>
      <c r="C144" s="43" t="s">
        <v>2142</v>
      </c>
      <c r="D144" s="43" t="s">
        <v>2143</v>
      </c>
      <c r="E144" s="43" t="s">
        <v>624</v>
      </c>
      <c r="F144" s="44" t="s">
        <v>684</v>
      </c>
      <c r="G144" s="43" t="s">
        <v>1074</v>
      </c>
      <c r="H144" s="44" t="s">
        <v>684</v>
      </c>
      <c r="I144" s="43" t="s">
        <v>689</v>
      </c>
      <c r="J144" s="44" t="s">
        <v>870</v>
      </c>
      <c r="K144" s="43" t="s">
        <v>689</v>
      </c>
      <c r="L144" s="44" t="s">
        <v>1662</v>
      </c>
      <c r="M144" s="43" t="s">
        <v>689</v>
      </c>
      <c r="N144" s="44" t="s">
        <v>684</v>
      </c>
      <c r="O144" s="43" t="s">
        <v>1226</v>
      </c>
      <c r="P144" s="44" t="s">
        <v>1390</v>
      </c>
      <c r="Q144" s="43" t="s">
        <v>723</v>
      </c>
      <c r="R144" s="44" t="s">
        <v>1524</v>
      </c>
      <c r="S144" s="43" t="s">
        <v>296</v>
      </c>
      <c r="T144" s="44" t="s">
        <v>451</v>
      </c>
      <c r="U144" s="43" t="s">
        <v>689</v>
      </c>
      <c r="V144" s="44" t="s">
        <v>684</v>
      </c>
      <c r="W144" s="43" t="s">
        <v>723</v>
      </c>
      <c r="X144" s="44" t="s">
        <v>1775</v>
      </c>
      <c r="AI144" s="6">
        <f>SUM(Y144:AH144)</f>
        <v>0</v>
      </c>
      <c r="AJ144" s="6">
        <f>100-(AI144*(AI144/20))</f>
        <v>100</v>
      </c>
      <c r="AK144" s="18">
        <f>100-(AJ144*(AJ144/MAX(AJ129:AJ144)))</f>
        <v>0</v>
      </c>
      <c r="AL144" s="6">
        <v>114</v>
      </c>
    </row>
    <row r="145" spans="1:38" x14ac:dyDescent="0.2">
      <c r="A145" s="43">
        <v>116</v>
      </c>
      <c r="B145" s="43" t="s">
        <v>139</v>
      </c>
      <c r="C145" s="43" t="s">
        <v>2142</v>
      </c>
      <c r="D145" s="43" t="s">
        <v>2143</v>
      </c>
      <c r="E145" s="43" t="s">
        <v>626</v>
      </c>
      <c r="F145" s="44" t="s">
        <v>684</v>
      </c>
      <c r="G145" s="43" t="s">
        <v>1076</v>
      </c>
      <c r="H145" s="44" t="s">
        <v>684</v>
      </c>
      <c r="I145" s="43" t="s">
        <v>689</v>
      </c>
      <c r="J145" s="44" t="s">
        <v>872</v>
      </c>
      <c r="K145" s="43" t="s">
        <v>1566</v>
      </c>
      <c r="L145" s="44" t="s">
        <v>1664</v>
      </c>
      <c r="M145" s="43" t="s">
        <v>689</v>
      </c>
      <c r="N145" s="44" t="s">
        <v>684</v>
      </c>
      <c r="O145" s="43" t="s">
        <v>1228</v>
      </c>
      <c r="P145" s="44" t="s">
        <v>1392</v>
      </c>
      <c r="Q145" s="43" t="s">
        <v>723</v>
      </c>
      <c r="R145" s="44" t="s">
        <v>1524</v>
      </c>
      <c r="S145" s="43" t="s">
        <v>298</v>
      </c>
      <c r="T145" s="44" t="s">
        <v>453</v>
      </c>
      <c r="U145" s="43" t="s">
        <v>689</v>
      </c>
      <c r="V145" s="44" t="s">
        <v>684</v>
      </c>
      <c r="W145" s="43" t="s">
        <v>723</v>
      </c>
      <c r="X145" s="44" t="s">
        <v>1775</v>
      </c>
      <c r="AI145" s="6">
        <f>SUM(Y145:AH145)</f>
        <v>0</v>
      </c>
      <c r="AJ145" s="6">
        <f>100-(AI145*(AI145/20))</f>
        <v>100</v>
      </c>
      <c r="AK145" s="18">
        <f>100-(AJ145*(AJ145/MAX(AJ130:AJ145)))</f>
        <v>0</v>
      </c>
      <c r="AL145" s="6">
        <v>116</v>
      </c>
    </row>
    <row r="146" spans="1:38" x14ac:dyDescent="0.2">
      <c r="A146" s="43">
        <v>128</v>
      </c>
      <c r="B146" s="43" t="s">
        <v>151</v>
      </c>
      <c r="C146" s="43" t="s">
        <v>2142</v>
      </c>
      <c r="D146" s="43" t="s">
        <v>2143</v>
      </c>
      <c r="E146" s="43" t="s">
        <v>634</v>
      </c>
      <c r="F146" s="44" t="s">
        <v>684</v>
      </c>
      <c r="G146" s="43" t="s">
        <v>1083</v>
      </c>
      <c r="H146" s="44" t="s">
        <v>684</v>
      </c>
      <c r="I146" s="43" t="s">
        <v>689</v>
      </c>
      <c r="J146" s="44" t="s">
        <v>884</v>
      </c>
      <c r="K146" s="43" t="s">
        <v>1569</v>
      </c>
      <c r="L146" s="44" t="s">
        <v>1668</v>
      </c>
      <c r="M146" s="43" t="s">
        <v>689</v>
      </c>
      <c r="N146" s="44" t="s">
        <v>684</v>
      </c>
      <c r="O146" s="43" t="s">
        <v>1239</v>
      </c>
      <c r="P146" s="44" t="s">
        <v>1404</v>
      </c>
      <c r="Q146" s="43" t="s">
        <v>723</v>
      </c>
      <c r="R146" s="44" t="s">
        <v>1524</v>
      </c>
      <c r="S146" s="43" t="s">
        <v>305</v>
      </c>
      <c r="T146" s="44" t="s">
        <v>465</v>
      </c>
      <c r="U146" s="43" t="s">
        <v>689</v>
      </c>
      <c r="V146" s="44" t="s">
        <v>684</v>
      </c>
      <c r="W146" s="43" t="s">
        <v>723</v>
      </c>
      <c r="X146" s="44" t="s">
        <v>1775</v>
      </c>
      <c r="AI146" s="6">
        <f>SUM(Y146:AH146)</f>
        <v>0</v>
      </c>
      <c r="AJ146" s="6">
        <f>100-(AI146*(AI146/20))</f>
        <v>100</v>
      </c>
      <c r="AK146" s="18">
        <f>100-(AJ146*(AJ146/MAX(AJ131:AJ146)))</f>
        <v>0</v>
      </c>
      <c r="AL146" s="6">
        <v>128</v>
      </c>
    </row>
    <row r="147" spans="1:38" x14ac:dyDescent="0.2">
      <c r="A147" s="43">
        <v>129</v>
      </c>
      <c r="B147" s="43" t="s">
        <v>152</v>
      </c>
      <c r="C147" s="43" t="s">
        <v>2142</v>
      </c>
      <c r="D147" s="43" t="s">
        <v>2143</v>
      </c>
      <c r="E147" s="43" t="s">
        <v>635</v>
      </c>
      <c r="F147" s="44" t="s">
        <v>684</v>
      </c>
      <c r="G147" s="43" t="s">
        <v>1084</v>
      </c>
      <c r="H147" s="44" t="s">
        <v>684</v>
      </c>
      <c r="I147" s="43" t="s">
        <v>689</v>
      </c>
      <c r="J147" s="44" t="s">
        <v>885</v>
      </c>
      <c r="K147" s="43" t="s">
        <v>689</v>
      </c>
      <c r="L147" s="44" t="s">
        <v>1669</v>
      </c>
      <c r="M147" s="43" t="s">
        <v>689</v>
      </c>
      <c r="N147" s="44" t="s">
        <v>684</v>
      </c>
      <c r="O147" s="43" t="s">
        <v>1240</v>
      </c>
      <c r="P147" s="44" t="s">
        <v>1405</v>
      </c>
      <c r="Q147" s="43" t="s">
        <v>723</v>
      </c>
      <c r="R147" s="44" t="s">
        <v>1524</v>
      </c>
      <c r="S147" s="43" t="s">
        <v>306</v>
      </c>
      <c r="T147" s="44" t="s">
        <v>466</v>
      </c>
      <c r="U147" s="43" t="s">
        <v>689</v>
      </c>
      <c r="V147" s="44" t="s">
        <v>684</v>
      </c>
      <c r="W147" s="43" t="s">
        <v>723</v>
      </c>
      <c r="X147" s="44" t="s">
        <v>1775</v>
      </c>
      <c r="AI147" s="6">
        <f>SUM(Y147:AH147)</f>
        <v>0</v>
      </c>
      <c r="AJ147" s="6">
        <f>100-(AI147*(AI147/20))</f>
        <v>100</v>
      </c>
      <c r="AK147" s="18">
        <f>100-(AJ147*(AJ147/MAX(AJ132:AJ147)))</f>
        <v>0</v>
      </c>
      <c r="AL147" s="6">
        <v>129</v>
      </c>
    </row>
    <row r="148" spans="1:38" x14ac:dyDescent="0.2">
      <c r="A148" s="43">
        <v>142</v>
      </c>
      <c r="B148" s="43" t="s">
        <v>165</v>
      </c>
      <c r="C148" s="43" t="s">
        <v>2142</v>
      </c>
      <c r="D148" s="43" t="s">
        <v>2143</v>
      </c>
      <c r="E148" s="43" t="s">
        <v>646</v>
      </c>
      <c r="F148" s="44" t="s">
        <v>684</v>
      </c>
      <c r="G148" s="43" t="s">
        <v>1092</v>
      </c>
      <c r="H148" s="44" t="s">
        <v>684</v>
      </c>
      <c r="I148" s="43" t="s">
        <v>755</v>
      </c>
      <c r="J148" s="44" t="s">
        <v>898</v>
      </c>
      <c r="K148" s="43" t="s">
        <v>755</v>
      </c>
      <c r="L148" s="44" t="s">
        <v>1676</v>
      </c>
      <c r="M148" s="43" t="s">
        <v>689</v>
      </c>
      <c r="N148" s="44" t="s">
        <v>684</v>
      </c>
      <c r="O148" s="43" t="s">
        <v>1246</v>
      </c>
      <c r="P148" s="44" t="s">
        <v>1418</v>
      </c>
      <c r="Q148" s="43" t="s">
        <v>1517</v>
      </c>
      <c r="R148" s="44" t="s">
        <v>1524</v>
      </c>
      <c r="S148" s="43" t="s">
        <v>317</v>
      </c>
      <c r="T148" s="44" t="s">
        <v>478</v>
      </c>
      <c r="U148" s="43" t="s">
        <v>723</v>
      </c>
      <c r="V148" s="44" t="s">
        <v>684</v>
      </c>
      <c r="W148" s="43" t="s">
        <v>689</v>
      </c>
      <c r="X148" s="44" t="s">
        <v>1775</v>
      </c>
      <c r="AI148" s="6">
        <f>SUM(Y148:AH148)</f>
        <v>0</v>
      </c>
      <c r="AJ148" s="6">
        <f>100-(AI148*(AI148/20))</f>
        <v>100</v>
      </c>
      <c r="AK148" s="18">
        <f>100-(AJ148*(AJ148/MAX(AJ133:AJ148)))</f>
        <v>0</v>
      </c>
      <c r="AL148" s="6">
        <v>142</v>
      </c>
    </row>
    <row r="149" spans="1:38" x14ac:dyDescent="0.2">
      <c r="A149" s="43">
        <v>150</v>
      </c>
      <c r="B149" s="43" t="s">
        <v>173</v>
      </c>
      <c r="C149" s="43" t="s">
        <v>2142</v>
      </c>
      <c r="D149" s="43" t="s">
        <v>2143</v>
      </c>
      <c r="E149" s="43" t="s">
        <v>652</v>
      </c>
      <c r="F149" s="44" t="s">
        <v>684</v>
      </c>
      <c r="G149" s="43" t="s">
        <v>1097</v>
      </c>
      <c r="H149" s="44" t="s">
        <v>684</v>
      </c>
      <c r="I149" s="43" t="s">
        <v>689</v>
      </c>
      <c r="J149" s="44" t="s">
        <v>906</v>
      </c>
      <c r="K149" s="43" t="s">
        <v>1571</v>
      </c>
      <c r="L149" s="44" t="s">
        <v>1679</v>
      </c>
      <c r="M149" s="43" t="s">
        <v>689</v>
      </c>
      <c r="N149" s="44" t="s">
        <v>684</v>
      </c>
      <c r="O149" s="43" t="s">
        <v>1253</v>
      </c>
      <c r="P149" s="44" t="s">
        <v>1426</v>
      </c>
      <c r="Q149" s="43" t="s">
        <v>723</v>
      </c>
      <c r="R149" s="44" t="s">
        <v>1524</v>
      </c>
      <c r="S149" s="43" t="s">
        <v>320</v>
      </c>
      <c r="T149" s="44" t="s">
        <v>486</v>
      </c>
      <c r="U149" s="43" t="s">
        <v>689</v>
      </c>
      <c r="V149" s="44" t="s">
        <v>684</v>
      </c>
      <c r="W149" s="43" t="s">
        <v>723</v>
      </c>
      <c r="X149" s="44" t="s">
        <v>1775</v>
      </c>
      <c r="AI149" s="6">
        <f>SUM(Y149:AH149)</f>
        <v>0</v>
      </c>
      <c r="AJ149" s="6">
        <f>100-(AI149*(AI149/20))</f>
        <v>100</v>
      </c>
      <c r="AK149" s="18">
        <f>100-(AJ149*(AJ149/MAX(AJ134:AJ149)))</f>
        <v>0</v>
      </c>
      <c r="AL149" s="6">
        <v>150</v>
      </c>
    </row>
    <row r="150" spans="1:38" x14ac:dyDescent="0.2">
      <c r="A150" s="43">
        <v>154</v>
      </c>
      <c r="B150" s="43" t="s">
        <v>177</v>
      </c>
      <c r="C150" s="43" t="s">
        <v>2142</v>
      </c>
      <c r="D150" s="43" t="s">
        <v>2143</v>
      </c>
      <c r="E150" s="43" t="s">
        <v>655</v>
      </c>
      <c r="F150" s="44" t="s">
        <v>684</v>
      </c>
      <c r="G150" s="43" t="s">
        <v>1100</v>
      </c>
      <c r="H150" s="44" t="s">
        <v>684</v>
      </c>
      <c r="I150" s="43" t="s">
        <v>689</v>
      </c>
      <c r="J150" s="44" t="s">
        <v>910</v>
      </c>
      <c r="K150" s="43" t="s">
        <v>1572</v>
      </c>
      <c r="L150" s="44" t="s">
        <v>1681</v>
      </c>
      <c r="M150" s="43" t="s">
        <v>689</v>
      </c>
      <c r="N150" s="44" t="s">
        <v>684</v>
      </c>
      <c r="O150" s="43" t="s">
        <v>1239</v>
      </c>
      <c r="P150" s="44" t="s">
        <v>1430</v>
      </c>
      <c r="Q150" s="43" t="s">
        <v>723</v>
      </c>
      <c r="R150" s="44" t="s">
        <v>1524</v>
      </c>
      <c r="S150" s="43" t="s">
        <v>323</v>
      </c>
      <c r="T150" s="44" t="s">
        <v>490</v>
      </c>
      <c r="U150" s="43" t="s">
        <v>689</v>
      </c>
      <c r="V150" s="44" t="s">
        <v>684</v>
      </c>
      <c r="W150" s="43" t="s">
        <v>723</v>
      </c>
      <c r="X150" s="44" t="s">
        <v>1775</v>
      </c>
      <c r="AI150" s="6">
        <f>SUM(Y150:AH150)</f>
        <v>0</v>
      </c>
      <c r="AJ150" s="6">
        <f>100-(AI150*(AI150/20))</f>
        <v>100</v>
      </c>
      <c r="AK150" s="18">
        <f>100-(AJ150*(AJ150/MAX(AJ135:AJ150)))</f>
        <v>0</v>
      </c>
      <c r="AL150" s="6">
        <v>154</v>
      </c>
    </row>
    <row r="151" spans="1:38" x14ac:dyDescent="0.2">
      <c r="A151" s="43">
        <v>170</v>
      </c>
      <c r="B151" s="43" t="s">
        <v>193</v>
      </c>
      <c r="C151" s="43" t="s">
        <v>2142</v>
      </c>
      <c r="D151" s="43" t="s">
        <v>2143</v>
      </c>
      <c r="E151" s="43" t="s">
        <v>664</v>
      </c>
      <c r="F151" s="44" t="s">
        <v>684</v>
      </c>
      <c r="G151" s="43" t="s">
        <v>1110</v>
      </c>
      <c r="H151" s="44" t="s">
        <v>684</v>
      </c>
      <c r="I151" s="43" t="s">
        <v>689</v>
      </c>
      <c r="J151" s="44" t="s">
        <v>926</v>
      </c>
      <c r="K151" s="43" t="s">
        <v>689</v>
      </c>
      <c r="L151" s="44" t="s">
        <v>1690</v>
      </c>
      <c r="M151" s="43" t="s">
        <v>689</v>
      </c>
      <c r="N151" s="44" t="s">
        <v>684</v>
      </c>
      <c r="O151" s="43" t="s">
        <v>1260</v>
      </c>
      <c r="P151" s="44" t="s">
        <v>1446</v>
      </c>
      <c r="Q151" s="43" t="s">
        <v>723</v>
      </c>
      <c r="R151" s="44" t="s">
        <v>1524</v>
      </c>
      <c r="S151" s="43" t="s">
        <v>330</v>
      </c>
      <c r="T151" s="44" t="s">
        <v>505</v>
      </c>
      <c r="U151" s="43" t="s">
        <v>689</v>
      </c>
      <c r="V151" s="44" t="s">
        <v>684</v>
      </c>
      <c r="W151" s="43" t="s">
        <v>723</v>
      </c>
      <c r="X151" s="44" t="s">
        <v>1775</v>
      </c>
      <c r="AI151" s="6">
        <f>SUM(Y151:AH151)</f>
        <v>0</v>
      </c>
      <c r="AJ151" s="6">
        <f>100-(AI151*(AI151/20))</f>
        <v>100</v>
      </c>
      <c r="AK151" s="18">
        <f>100-(AJ151*(AJ151/MAX(AJ136:AJ151)))</f>
        <v>0</v>
      </c>
      <c r="AL151" s="6">
        <v>170</v>
      </c>
    </row>
    <row r="152" spans="1:38" x14ac:dyDescent="0.2">
      <c r="A152" s="43">
        <v>180</v>
      </c>
      <c r="B152" s="43" t="s">
        <v>203</v>
      </c>
      <c r="C152" s="43" t="s">
        <v>2142</v>
      </c>
      <c r="D152" s="43" t="s">
        <v>2143</v>
      </c>
      <c r="E152" s="43" t="s">
        <v>669</v>
      </c>
      <c r="F152" s="44" t="s">
        <v>684</v>
      </c>
      <c r="G152" s="43" t="s">
        <v>1114</v>
      </c>
      <c r="H152" s="44" t="s">
        <v>684</v>
      </c>
      <c r="I152" s="43" t="s">
        <v>755</v>
      </c>
      <c r="J152" s="44" t="s">
        <v>936</v>
      </c>
      <c r="K152" s="43" t="s">
        <v>755</v>
      </c>
      <c r="L152" s="44" t="s">
        <v>1695</v>
      </c>
      <c r="M152" s="43" t="s">
        <v>723</v>
      </c>
      <c r="N152" s="44" t="s">
        <v>684</v>
      </c>
      <c r="O152" s="43" t="s">
        <v>1267</v>
      </c>
      <c r="P152" s="44" t="s">
        <v>1456</v>
      </c>
      <c r="Q152" s="43" t="s">
        <v>1520</v>
      </c>
      <c r="R152" s="44" t="s">
        <v>1524</v>
      </c>
      <c r="S152" s="43" t="s">
        <v>334</v>
      </c>
      <c r="T152" s="44" t="s">
        <v>365</v>
      </c>
      <c r="U152" s="43" t="s">
        <v>723</v>
      </c>
      <c r="V152" s="44" t="s">
        <v>684</v>
      </c>
      <c r="W152" s="43" t="s">
        <v>1765</v>
      </c>
      <c r="X152" s="44" t="s">
        <v>1775</v>
      </c>
      <c r="AI152" s="6">
        <f>SUM(Y152:AH152)</f>
        <v>0</v>
      </c>
      <c r="AJ152" s="6">
        <f>100-(AI152*(AI152/20))</f>
        <v>100</v>
      </c>
      <c r="AK152" s="18">
        <f>100-(AJ152*(AJ152/MAX(AJ137:AJ152)))</f>
        <v>0</v>
      </c>
      <c r="AL152" s="6">
        <v>180</v>
      </c>
    </row>
    <row r="153" spans="1:38" x14ac:dyDescent="0.2">
      <c r="A153" s="43">
        <v>184</v>
      </c>
      <c r="B153" s="43" t="s">
        <v>207</v>
      </c>
      <c r="C153" s="43" t="s">
        <v>2142</v>
      </c>
      <c r="D153" s="43" t="s">
        <v>2143</v>
      </c>
      <c r="E153" s="43" t="s">
        <v>671</v>
      </c>
      <c r="F153" s="44" t="s">
        <v>684</v>
      </c>
      <c r="G153" s="43" t="s">
        <v>1116</v>
      </c>
      <c r="H153" s="44" t="s">
        <v>684</v>
      </c>
      <c r="I153" s="43" t="s">
        <v>755</v>
      </c>
      <c r="J153" s="44" t="s">
        <v>940</v>
      </c>
      <c r="K153" s="43" t="s">
        <v>1575</v>
      </c>
      <c r="L153" s="44" t="s">
        <v>1697</v>
      </c>
      <c r="M153" s="43" t="s">
        <v>980</v>
      </c>
      <c r="N153" s="44" t="s">
        <v>684</v>
      </c>
      <c r="O153" s="43" t="s">
        <v>1277</v>
      </c>
      <c r="P153" s="44" t="s">
        <v>1460</v>
      </c>
      <c r="Q153" s="43" t="s">
        <v>723</v>
      </c>
      <c r="R153" s="44" t="s">
        <v>1524</v>
      </c>
      <c r="S153" s="43" t="s">
        <v>335</v>
      </c>
      <c r="T153" s="44" t="s">
        <v>518</v>
      </c>
      <c r="U153" s="43" t="s">
        <v>723</v>
      </c>
      <c r="V153" s="44" t="s">
        <v>684</v>
      </c>
      <c r="W153" s="43" t="s">
        <v>723</v>
      </c>
      <c r="X153" s="44" t="s">
        <v>1775</v>
      </c>
      <c r="AI153" s="6">
        <f>SUM(Y153:AH153)</f>
        <v>0</v>
      </c>
      <c r="AJ153" s="6">
        <f>100-(AI153*(AI153/20))</f>
        <v>100</v>
      </c>
      <c r="AK153" s="18">
        <f>100-(AJ153*(AJ153/MAX(AJ141:AJ153)))</f>
        <v>0</v>
      </c>
      <c r="AL153" s="6">
        <v>184</v>
      </c>
    </row>
    <row r="154" spans="1:38" x14ac:dyDescent="0.2">
      <c r="A154" s="33">
        <v>11</v>
      </c>
      <c r="B154" s="33" t="s">
        <v>34</v>
      </c>
      <c r="C154" s="33" t="s">
        <v>2142</v>
      </c>
      <c r="D154" s="33" t="s">
        <v>2151</v>
      </c>
      <c r="E154" s="33" t="s">
        <v>538</v>
      </c>
      <c r="F154" s="34" t="s">
        <v>684</v>
      </c>
      <c r="G154" s="33" t="s">
        <v>995</v>
      </c>
      <c r="H154" s="34" t="s">
        <v>684</v>
      </c>
      <c r="I154" s="33" t="s">
        <v>694</v>
      </c>
      <c r="J154" s="34" t="s">
        <v>769</v>
      </c>
      <c r="K154" s="33" t="s">
        <v>1530</v>
      </c>
      <c r="L154" s="34" t="s">
        <v>1585</v>
      </c>
      <c r="M154" s="33" t="s">
        <v>960</v>
      </c>
      <c r="N154" s="34" t="s">
        <v>684</v>
      </c>
      <c r="O154" s="33" t="s">
        <v>1150</v>
      </c>
      <c r="P154" s="34" t="s">
        <v>1289</v>
      </c>
      <c r="Q154" s="33" t="s">
        <v>1476</v>
      </c>
      <c r="R154" s="34" t="s">
        <v>1524</v>
      </c>
      <c r="S154" s="33" t="s">
        <v>230</v>
      </c>
      <c r="T154" s="34" t="s">
        <v>354</v>
      </c>
      <c r="U154" s="33" t="s">
        <v>1126</v>
      </c>
      <c r="V154" s="34" t="s">
        <v>1140</v>
      </c>
      <c r="W154" s="33" t="s">
        <v>1709</v>
      </c>
      <c r="X154" s="34" t="s">
        <v>1776</v>
      </c>
      <c r="AI154" s="6">
        <f>SUM(Y154:AH154)</f>
        <v>0</v>
      </c>
      <c r="AJ154" s="6">
        <f>100-(AI154*(AI154/20))</f>
        <v>100</v>
      </c>
      <c r="AK154" s="18">
        <f>100-(AJ154*(AJ154/MAX(AJ145:AJ154)))</f>
        <v>0</v>
      </c>
      <c r="AL154" s="6">
        <v>11</v>
      </c>
    </row>
    <row r="155" spans="1:38" x14ac:dyDescent="0.2">
      <c r="A155" s="33">
        <v>18</v>
      </c>
      <c r="B155" s="33" t="s">
        <v>41</v>
      </c>
      <c r="C155" s="33" t="s">
        <v>2142</v>
      </c>
      <c r="D155" s="33" t="s">
        <v>2151</v>
      </c>
      <c r="E155" s="33" t="s">
        <v>545</v>
      </c>
      <c r="F155" s="34" t="s">
        <v>684</v>
      </c>
      <c r="G155" s="33" t="s">
        <v>1002</v>
      </c>
      <c r="H155" s="34" t="s">
        <v>684</v>
      </c>
      <c r="I155" s="33" t="s">
        <v>701</v>
      </c>
      <c r="J155" s="34" t="s">
        <v>776</v>
      </c>
      <c r="K155" s="33" t="s">
        <v>1532</v>
      </c>
      <c r="L155" s="34" t="s">
        <v>1592</v>
      </c>
      <c r="M155" s="33" t="s">
        <v>960</v>
      </c>
      <c r="N155" s="34" t="s">
        <v>684</v>
      </c>
      <c r="O155" s="33" t="s">
        <v>1156</v>
      </c>
      <c r="P155" s="34" t="s">
        <v>1296</v>
      </c>
      <c r="Q155" s="33" t="s">
        <v>1476</v>
      </c>
      <c r="R155" s="34" t="s">
        <v>1524</v>
      </c>
      <c r="S155" s="33" t="s">
        <v>237</v>
      </c>
      <c r="T155" s="34" t="s">
        <v>361</v>
      </c>
      <c r="U155" s="33" t="s">
        <v>1126</v>
      </c>
      <c r="V155" s="34" t="s">
        <v>1140</v>
      </c>
      <c r="W155" s="33" t="s">
        <v>1707</v>
      </c>
      <c r="X155" s="34" t="s">
        <v>1776</v>
      </c>
      <c r="AI155" s="6">
        <f>SUM(Y155:AH155)</f>
        <v>0</v>
      </c>
      <c r="AJ155" s="6">
        <f>100-(AI155*(AI155/20))</f>
        <v>100</v>
      </c>
      <c r="AK155" s="18">
        <f>100-(AJ155*(AJ155/MAX(AJ140:AJ155)))</f>
        <v>0</v>
      </c>
      <c r="AL155" s="6">
        <v>18</v>
      </c>
    </row>
    <row r="156" spans="1:38" x14ac:dyDescent="0.2">
      <c r="A156" s="33">
        <v>27</v>
      </c>
      <c r="B156" s="33" t="s">
        <v>50</v>
      </c>
      <c r="C156" s="33" t="s">
        <v>2142</v>
      </c>
      <c r="D156" s="33" t="s">
        <v>2151</v>
      </c>
      <c r="E156" s="33" t="s">
        <v>554</v>
      </c>
      <c r="F156" s="34" t="s">
        <v>684</v>
      </c>
      <c r="G156" s="33" t="s">
        <v>1009</v>
      </c>
      <c r="H156" s="34" t="s">
        <v>684</v>
      </c>
      <c r="I156" s="33" t="s">
        <v>709</v>
      </c>
      <c r="J156" s="34" t="s">
        <v>785</v>
      </c>
      <c r="K156" s="33" t="s">
        <v>1536</v>
      </c>
      <c r="L156" s="34" t="s">
        <v>1601</v>
      </c>
      <c r="M156" s="33" t="s">
        <v>960</v>
      </c>
      <c r="N156" s="34" t="s">
        <v>684</v>
      </c>
      <c r="O156" s="33" t="s">
        <v>1164</v>
      </c>
      <c r="P156" s="34" t="s">
        <v>1305</v>
      </c>
      <c r="Q156" s="33" t="s">
        <v>1476</v>
      </c>
      <c r="R156" s="34" t="s">
        <v>1524</v>
      </c>
      <c r="S156" s="33" t="s">
        <v>244</v>
      </c>
      <c r="T156" s="34" t="s">
        <v>370</v>
      </c>
      <c r="U156" s="33" t="s">
        <v>1126</v>
      </c>
      <c r="V156" s="34" t="s">
        <v>1140</v>
      </c>
      <c r="W156" s="33" t="s">
        <v>1707</v>
      </c>
      <c r="X156" s="34" t="s">
        <v>1776</v>
      </c>
      <c r="AI156" s="6">
        <f>SUM(Y156:AH156)</f>
        <v>0</v>
      </c>
      <c r="AJ156" s="6">
        <f>100-(AI156*(AI156/20))</f>
        <v>100</v>
      </c>
      <c r="AK156" s="18">
        <f>100-(AJ156*(AJ156/MAX(AJ141:AJ156)))</f>
        <v>0</v>
      </c>
      <c r="AL156" s="6">
        <v>27</v>
      </c>
    </row>
    <row r="157" spans="1:38" x14ac:dyDescent="0.2">
      <c r="A157" s="33">
        <v>42</v>
      </c>
      <c r="B157" s="33" t="s">
        <v>65</v>
      </c>
      <c r="C157" s="33" t="s">
        <v>2142</v>
      </c>
      <c r="D157" s="33" t="s">
        <v>2151</v>
      </c>
      <c r="E157" s="33" t="s">
        <v>568</v>
      </c>
      <c r="F157" s="34" t="s">
        <v>684</v>
      </c>
      <c r="G157" s="33" t="s">
        <v>1022</v>
      </c>
      <c r="H157" s="34" t="s">
        <v>684</v>
      </c>
      <c r="I157" s="33" t="s">
        <v>718</v>
      </c>
      <c r="J157" s="34" t="s">
        <v>799</v>
      </c>
      <c r="K157" s="33" t="s">
        <v>1542</v>
      </c>
      <c r="L157" s="34" t="s">
        <v>1615</v>
      </c>
      <c r="M157" s="33" t="s">
        <v>960</v>
      </c>
      <c r="N157" s="34" t="s">
        <v>684</v>
      </c>
      <c r="O157" s="33" t="s">
        <v>1177</v>
      </c>
      <c r="P157" s="34" t="s">
        <v>1319</v>
      </c>
      <c r="Q157" s="33" t="s">
        <v>1476</v>
      </c>
      <c r="R157" s="34" t="s">
        <v>1524</v>
      </c>
      <c r="S157" s="33" t="s">
        <v>252</v>
      </c>
      <c r="T157" s="34" t="s">
        <v>384</v>
      </c>
      <c r="U157" s="33" t="s">
        <v>1132</v>
      </c>
      <c r="V157" s="34" t="s">
        <v>1140</v>
      </c>
      <c r="W157" s="33" t="s">
        <v>1709</v>
      </c>
      <c r="X157" s="34" t="s">
        <v>1776</v>
      </c>
      <c r="AI157" s="6">
        <f>SUM(Y157:AH157)</f>
        <v>0</v>
      </c>
      <c r="AJ157" s="6">
        <f>100-(AI157*(AI157/20))</f>
        <v>100</v>
      </c>
      <c r="AK157" s="18">
        <f>100-(AJ157*(AJ157/MAX(AJ142:AJ157)))</f>
        <v>0</v>
      </c>
      <c r="AL157" s="6">
        <v>42</v>
      </c>
    </row>
    <row r="158" spans="1:38" x14ac:dyDescent="0.2">
      <c r="A158" s="33">
        <v>44</v>
      </c>
      <c r="B158" s="33" t="s">
        <v>67</v>
      </c>
      <c r="C158" s="33" t="s">
        <v>2142</v>
      </c>
      <c r="D158" s="33" t="s">
        <v>2151</v>
      </c>
      <c r="E158" s="33" t="s">
        <v>570</v>
      </c>
      <c r="F158" s="34" t="s">
        <v>684</v>
      </c>
      <c r="G158" s="33" t="s">
        <v>1024</v>
      </c>
      <c r="H158" s="34" t="s">
        <v>684</v>
      </c>
      <c r="I158" s="33" t="s">
        <v>720</v>
      </c>
      <c r="J158" s="34" t="s">
        <v>801</v>
      </c>
      <c r="K158" s="33" t="s">
        <v>1543</v>
      </c>
      <c r="L158" s="34" t="s">
        <v>1617</v>
      </c>
      <c r="M158" s="33" t="s">
        <v>960</v>
      </c>
      <c r="N158" s="34" t="s">
        <v>684</v>
      </c>
      <c r="O158" s="33" t="s">
        <v>1179</v>
      </c>
      <c r="P158" s="34" t="s">
        <v>1321</v>
      </c>
      <c r="Q158" s="33" t="s">
        <v>1476</v>
      </c>
      <c r="R158" s="34" t="s">
        <v>1524</v>
      </c>
      <c r="S158" s="33" t="s">
        <v>254</v>
      </c>
      <c r="T158" s="34" t="s">
        <v>386</v>
      </c>
      <c r="U158" s="33" t="s">
        <v>1132</v>
      </c>
      <c r="V158" s="34" t="s">
        <v>1140</v>
      </c>
      <c r="W158" s="33" t="s">
        <v>1709</v>
      </c>
      <c r="X158" s="34" t="s">
        <v>1776</v>
      </c>
      <c r="AI158" s="6">
        <f>SUM(Y158:AH158)</f>
        <v>0</v>
      </c>
      <c r="AJ158" s="6">
        <f>100-(AI158*(AI158/20))</f>
        <v>100</v>
      </c>
      <c r="AK158" s="18">
        <f>100-(AJ158*(AJ158/MAX(AJ143:AJ158)))</f>
        <v>0</v>
      </c>
      <c r="AL158" s="6">
        <v>44</v>
      </c>
    </row>
    <row r="159" spans="1:38" x14ac:dyDescent="0.2">
      <c r="A159" s="33">
        <v>45</v>
      </c>
      <c r="B159" s="33" t="s">
        <v>68</v>
      </c>
      <c r="C159" s="33" t="s">
        <v>2142</v>
      </c>
      <c r="D159" s="33" t="s">
        <v>2151</v>
      </c>
      <c r="E159" s="33" t="s">
        <v>571</v>
      </c>
      <c r="F159" s="34" t="s">
        <v>684</v>
      </c>
      <c r="G159" s="33" t="s">
        <v>1025</v>
      </c>
      <c r="H159" s="34" t="s">
        <v>684</v>
      </c>
      <c r="I159" s="33" t="s">
        <v>721</v>
      </c>
      <c r="J159" s="34" t="s">
        <v>802</v>
      </c>
      <c r="K159" s="33" t="s">
        <v>1544</v>
      </c>
      <c r="L159" s="34" t="s">
        <v>1618</v>
      </c>
      <c r="M159" s="33" t="s">
        <v>960</v>
      </c>
      <c r="N159" s="34" t="s">
        <v>684</v>
      </c>
      <c r="O159" s="33" t="s">
        <v>1180</v>
      </c>
      <c r="P159" s="34" t="s">
        <v>1322</v>
      </c>
      <c r="Q159" s="33" t="s">
        <v>1476</v>
      </c>
      <c r="R159" s="34" t="s">
        <v>1524</v>
      </c>
      <c r="S159" s="33" t="s">
        <v>255</v>
      </c>
      <c r="T159" s="34" t="s">
        <v>387</v>
      </c>
      <c r="U159" s="33" t="s">
        <v>1132</v>
      </c>
      <c r="V159" s="34" t="s">
        <v>1140</v>
      </c>
      <c r="W159" s="33" t="s">
        <v>1709</v>
      </c>
      <c r="X159" s="34" t="s">
        <v>1776</v>
      </c>
      <c r="AI159" s="6">
        <f>SUM(Y159:AH159)</f>
        <v>0</v>
      </c>
      <c r="AJ159" s="6">
        <f>100-(AI159*(AI159/20))</f>
        <v>100</v>
      </c>
      <c r="AK159" s="18">
        <f>100-(AJ159*(AJ159/MAX(AJ144:AJ159)))</f>
        <v>0</v>
      </c>
      <c r="AL159" s="6">
        <v>45</v>
      </c>
    </row>
    <row r="160" spans="1:38" x14ac:dyDescent="0.2">
      <c r="A160" s="33">
        <v>49</v>
      </c>
      <c r="B160" s="33" t="s">
        <v>72</v>
      </c>
      <c r="C160" s="33" t="s">
        <v>2142</v>
      </c>
      <c r="D160" s="33" t="s">
        <v>2151</v>
      </c>
      <c r="E160" s="33" t="s">
        <v>575</v>
      </c>
      <c r="F160" s="34" t="s">
        <v>684</v>
      </c>
      <c r="G160" s="33" t="s">
        <v>1029</v>
      </c>
      <c r="H160" s="34" t="s">
        <v>684</v>
      </c>
      <c r="I160" s="33" t="s">
        <v>724</v>
      </c>
      <c r="J160" s="34" t="s">
        <v>806</v>
      </c>
      <c r="K160" s="33" t="s">
        <v>1545</v>
      </c>
      <c r="L160" s="34" t="s">
        <v>1621</v>
      </c>
      <c r="M160" s="33" t="s">
        <v>971</v>
      </c>
      <c r="N160" s="34" t="s">
        <v>684</v>
      </c>
      <c r="O160" s="33" t="s">
        <v>1181</v>
      </c>
      <c r="P160" s="34" t="s">
        <v>1326</v>
      </c>
      <c r="Q160" s="33" t="s">
        <v>1476</v>
      </c>
      <c r="R160" s="34" t="s">
        <v>1524</v>
      </c>
      <c r="S160" s="33" t="s">
        <v>258</v>
      </c>
      <c r="T160" s="34" t="s">
        <v>389</v>
      </c>
      <c r="U160" s="33" t="s">
        <v>1133</v>
      </c>
      <c r="V160" s="34" t="s">
        <v>1140</v>
      </c>
      <c r="W160" s="33" t="s">
        <v>1709</v>
      </c>
      <c r="X160" s="34" t="s">
        <v>1776</v>
      </c>
      <c r="AI160" s="6">
        <f>SUM(Y160:AH160)</f>
        <v>0</v>
      </c>
      <c r="AJ160" s="6">
        <f>100-(AI160*(AI160/20))</f>
        <v>100</v>
      </c>
      <c r="AK160" s="18">
        <f>100-(AJ160*(AJ160/MAX(AJ145:AJ160)))</f>
        <v>0</v>
      </c>
      <c r="AL160" s="6">
        <v>49</v>
      </c>
    </row>
    <row r="161" spans="1:38" x14ac:dyDescent="0.2">
      <c r="A161" s="33">
        <v>58</v>
      </c>
      <c r="B161" s="33" t="s">
        <v>81</v>
      </c>
      <c r="C161" s="33" t="s">
        <v>2142</v>
      </c>
      <c r="D161" s="33" t="s">
        <v>2151</v>
      </c>
      <c r="E161" s="33" t="s">
        <v>582</v>
      </c>
      <c r="F161" s="34" t="s">
        <v>684</v>
      </c>
      <c r="G161" s="33" t="s">
        <v>1037</v>
      </c>
      <c r="H161" s="34" t="s">
        <v>684</v>
      </c>
      <c r="I161" s="33" t="s">
        <v>729</v>
      </c>
      <c r="J161" s="34" t="s">
        <v>815</v>
      </c>
      <c r="K161" s="33" t="s">
        <v>1545</v>
      </c>
      <c r="L161" s="34" t="s">
        <v>1627</v>
      </c>
      <c r="M161" s="33" t="s">
        <v>973</v>
      </c>
      <c r="N161" s="34" t="s">
        <v>684</v>
      </c>
      <c r="O161" s="33" t="s">
        <v>1186</v>
      </c>
      <c r="P161" s="34" t="s">
        <v>1335</v>
      </c>
      <c r="Q161" s="33" t="s">
        <v>723</v>
      </c>
      <c r="R161" s="34" t="s">
        <v>1524</v>
      </c>
      <c r="S161" s="33" t="s">
        <v>263</v>
      </c>
      <c r="T161" s="34" t="s">
        <v>398</v>
      </c>
      <c r="U161" s="33" t="s">
        <v>1133</v>
      </c>
      <c r="V161" s="34" t="s">
        <v>1140</v>
      </c>
      <c r="W161" s="33" t="s">
        <v>1730</v>
      </c>
      <c r="X161" s="34" t="s">
        <v>1776</v>
      </c>
      <c r="AI161" s="6">
        <f>SUM(Y161:AH161)</f>
        <v>0</v>
      </c>
      <c r="AJ161" s="6">
        <f>100-(AI161*(AI161/20))</f>
        <v>100</v>
      </c>
      <c r="AK161" s="18">
        <f>100-(AJ161*(AJ161/MAX(AJ146:AJ161)))</f>
        <v>0</v>
      </c>
      <c r="AL161" s="6">
        <v>58</v>
      </c>
    </row>
    <row r="162" spans="1:38" x14ac:dyDescent="0.2">
      <c r="A162" s="33">
        <v>62</v>
      </c>
      <c r="B162" s="33" t="s">
        <v>85</v>
      </c>
      <c r="C162" s="33" t="s">
        <v>2142</v>
      </c>
      <c r="D162" s="33" t="s">
        <v>2151</v>
      </c>
      <c r="E162" s="33" t="s">
        <v>585</v>
      </c>
      <c r="F162" s="34" t="s">
        <v>684</v>
      </c>
      <c r="G162" s="33" t="s">
        <v>1040</v>
      </c>
      <c r="H162" s="34" t="s">
        <v>684</v>
      </c>
      <c r="I162" s="33" t="s">
        <v>732</v>
      </c>
      <c r="J162" s="34" t="s">
        <v>818</v>
      </c>
      <c r="K162" s="33" t="s">
        <v>1550</v>
      </c>
      <c r="L162" s="34" t="s">
        <v>1630</v>
      </c>
      <c r="M162" s="33" t="s">
        <v>689</v>
      </c>
      <c r="N162" s="34" t="s">
        <v>684</v>
      </c>
      <c r="O162" s="33" t="s">
        <v>1181</v>
      </c>
      <c r="P162" s="34" t="s">
        <v>1338</v>
      </c>
      <c r="Q162" s="33" t="s">
        <v>723</v>
      </c>
      <c r="R162" s="34" t="s">
        <v>1524</v>
      </c>
      <c r="S162" s="33" t="s">
        <v>265</v>
      </c>
      <c r="T162" s="34" t="s">
        <v>401</v>
      </c>
      <c r="U162" s="33" t="s">
        <v>1133</v>
      </c>
      <c r="V162" s="34" t="s">
        <v>1140</v>
      </c>
      <c r="W162" s="33" t="s">
        <v>1707</v>
      </c>
      <c r="X162" s="34" t="s">
        <v>1776</v>
      </c>
      <c r="AI162" s="6">
        <f>SUM(Y162:AH162)</f>
        <v>0</v>
      </c>
      <c r="AJ162" s="6">
        <f>100-(AI162*(AI162/20))</f>
        <v>100</v>
      </c>
      <c r="AK162" s="18">
        <f>100-(AJ162*(AJ162/MAX(AJ147:AJ162)))</f>
        <v>0</v>
      </c>
      <c r="AL162" s="6">
        <v>62</v>
      </c>
    </row>
    <row r="163" spans="1:38" x14ac:dyDescent="0.2">
      <c r="A163" s="33">
        <v>63</v>
      </c>
      <c r="B163" s="33" t="s">
        <v>86</v>
      </c>
      <c r="C163" s="33" t="s">
        <v>2142</v>
      </c>
      <c r="D163" s="33" t="s">
        <v>2151</v>
      </c>
      <c r="E163" s="33" t="s">
        <v>586</v>
      </c>
      <c r="F163" s="34" t="s">
        <v>684</v>
      </c>
      <c r="G163" s="33" t="s">
        <v>1041</v>
      </c>
      <c r="H163" s="34" t="s">
        <v>684</v>
      </c>
      <c r="I163" s="33" t="s">
        <v>733</v>
      </c>
      <c r="J163" s="34" t="s">
        <v>819</v>
      </c>
      <c r="K163" s="33" t="s">
        <v>1551</v>
      </c>
      <c r="L163" s="34" t="s">
        <v>1631</v>
      </c>
      <c r="M163" s="33" t="s">
        <v>971</v>
      </c>
      <c r="N163" s="34" t="s">
        <v>684</v>
      </c>
      <c r="O163" s="33" t="s">
        <v>1189</v>
      </c>
      <c r="P163" s="34" t="s">
        <v>1339</v>
      </c>
      <c r="Q163" s="33" t="s">
        <v>723</v>
      </c>
      <c r="R163" s="34" t="s">
        <v>1524</v>
      </c>
      <c r="S163" s="33" t="s">
        <v>266</v>
      </c>
      <c r="T163" s="34" t="s">
        <v>402</v>
      </c>
      <c r="U163" s="33" t="s">
        <v>1133</v>
      </c>
      <c r="V163" s="34" t="s">
        <v>1140</v>
      </c>
      <c r="W163" s="33" t="s">
        <v>1709</v>
      </c>
      <c r="X163" s="34" t="s">
        <v>1776</v>
      </c>
      <c r="AI163" s="6">
        <f>SUM(Y163:AH163)</f>
        <v>0</v>
      </c>
      <c r="AJ163" s="6">
        <f>100-(AI163*(AI163/20))</f>
        <v>100</v>
      </c>
      <c r="AK163" s="18">
        <f>100-(AJ163*(AJ163/MAX(AJ148:AJ163)))</f>
        <v>0</v>
      </c>
      <c r="AL163" s="6">
        <v>63</v>
      </c>
    </row>
    <row r="164" spans="1:38" x14ac:dyDescent="0.2">
      <c r="A164" s="33">
        <v>67</v>
      </c>
      <c r="B164" s="33" t="s">
        <v>90</v>
      </c>
      <c r="C164" s="33" t="s">
        <v>2142</v>
      </c>
      <c r="D164" s="33" t="s">
        <v>2151</v>
      </c>
      <c r="E164" s="33" t="s">
        <v>590</v>
      </c>
      <c r="F164" s="34" t="s">
        <v>684</v>
      </c>
      <c r="G164" s="33" t="s">
        <v>1044</v>
      </c>
      <c r="H164" s="34" t="s">
        <v>684</v>
      </c>
      <c r="I164" s="33" t="s">
        <v>735</v>
      </c>
      <c r="J164" s="34" t="s">
        <v>823</v>
      </c>
      <c r="K164" s="33" t="s">
        <v>1552</v>
      </c>
      <c r="L164" s="34" t="s">
        <v>1634</v>
      </c>
      <c r="M164" s="33" t="s">
        <v>689</v>
      </c>
      <c r="N164" s="34" t="s">
        <v>684</v>
      </c>
      <c r="O164" s="33" t="s">
        <v>1191</v>
      </c>
      <c r="P164" s="34" t="s">
        <v>1343</v>
      </c>
      <c r="Q164" s="33" t="s">
        <v>723</v>
      </c>
      <c r="R164" s="34" t="s">
        <v>1524</v>
      </c>
      <c r="S164" s="33" t="s">
        <v>268</v>
      </c>
      <c r="T164" s="34" t="s">
        <v>406</v>
      </c>
      <c r="U164" s="33" t="s">
        <v>1133</v>
      </c>
      <c r="V164" s="34" t="s">
        <v>1140</v>
      </c>
      <c r="W164" s="33" t="s">
        <v>1709</v>
      </c>
      <c r="X164" s="34" t="s">
        <v>1776</v>
      </c>
      <c r="AI164" s="6">
        <f>SUM(Y164:AH164)</f>
        <v>0</v>
      </c>
      <c r="AJ164" s="6">
        <f>100-(AI164*(AI164/20))</f>
        <v>100</v>
      </c>
      <c r="AK164" s="18">
        <f>100-(AJ164*(AJ164/MAX(AJ149:AJ164)))</f>
        <v>0</v>
      </c>
      <c r="AL164" s="6">
        <v>67</v>
      </c>
    </row>
    <row r="165" spans="1:38" x14ac:dyDescent="0.2">
      <c r="A165" s="33">
        <v>69</v>
      </c>
      <c r="B165" s="33" t="s">
        <v>92</v>
      </c>
      <c r="C165" s="33" t="s">
        <v>2142</v>
      </c>
      <c r="D165" s="33" t="s">
        <v>2151</v>
      </c>
      <c r="E165" s="33" t="s">
        <v>592</v>
      </c>
      <c r="F165" s="34" t="s">
        <v>684</v>
      </c>
      <c r="G165" s="33" t="s">
        <v>1046</v>
      </c>
      <c r="H165" s="34" t="s">
        <v>684</v>
      </c>
      <c r="I165" s="33" t="s">
        <v>737</v>
      </c>
      <c r="J165" s="34" t="s">
        <v>825</v>
      </c>
      <c r="K165" s="33" t="s">
        <v>1554</v>
      </c>
      <c r="L165" s="34" t="s">
        <v>1636</v>
      </c>
      <c r="M165" s="33" t="s">
        <v>971</v>
      </c>
      <c r="N165" s="34" t="s">
        <v>684</v>
      </c>
      <c r="O165" s="33" t="s">
        <v>1192</v>
      </c>
      <c r="P165" s="34" t="s">
        <v>1345</v>
      </c>
      <c r="Q165" s="33" t="s">
        <v>723</v>
      </c>
      <c r="R165" s="34" t="s">
        <v>1524</v>
      </c>
      <c r="S165" s="33" t="s">
        <v>270</v>
      </c>
      <c r="T165" s="34" t="s">
        <v>408</v>
      </c>
      <c r="U165" s="33" t="s">
        <v>689</v>
      </c>
      <c r="V165" s="34" t="s">
        <v>1140</v>
      </c>
      <c r="W165" s="33" t="s">
        <v>1735</v>
      </c>
      <c r="X165" s="34" t="s">
        <v>1776</v>
      </c>
      <c r="AI165" s="6">
        <f>SUM(Y165:AH165)</f>
        <v>0</v>
      </c>
      <c r="AJ165" s="6">
        <f>100-(AI165*(AI165/20))</f>
        <v>100</v>
      </c>
      <c r="AK165" s="18">
        <f>100-(AJ165*(AJ165/MAX(AJ150:AJ165)))</f>
        <v>0</v>
      </c>
      <c r="AL165" s="6">
        <v>69</v>
      </c>
    </row>
    <row r="166" spans="1:38" x14ac:dyDescent="0.2">
      <c r="A166" s="33">
        <v>77</v>
      </c>
      <c r="B166" s="33" t="s">
        <v>100</v>
      </c>
      <c r="C166" s="33" t="s">
        <v>2142</v>
      </c>
      <c r="D166" s="33" t="s">
        <v>2151</v>
      </c>
      <c r="E166" s="33" t="s">
        <v>598</v>
      </c>
      <c r="F166" s="34" t="s">
        <v>684</v>
      </c>
      <c r="G166" s="33" t="s">
        <v>1048</v>
      </c>
      <c r="H166" s="34" t="s">
        <v>684</v>
      </c>
      <c r="I166" s="33" t="s">
        <v>739</v>
      </c>
      <c r="J166" s="34" t="s">
        <v>833</v>
      </c>
      <c r="K166" s="33" t="s">
        <v>1555</v>
      </c>
      <c r="L166" s="34" t="s">
        <v>1639</v>
      </c>
      <c r="M166" s="33" t="s">
        <v>971</v>
      </c>
      <c r="N166" s="34" t="s">
        <v>684</v>
      </c>
      <c r="O166" s="33" t="s">
        <v>1196</v>
      </c>
      <c r="P166" s="34" t="s">
        <v>1353</v>
      </c>
      <c r="Q166" s="33" t="s">
        <v>1502</v>
      </c>
      <c r="R166" s="34" t="s">
        <v>1524</v>
      </c>
      <c r="S166" s="33" t="s">
        <v>271</v>
      </c>
      <c r="T166" s="34" t="s">
        <v>416</v>
      </c>
      <c r="U166" s="33" t="s">
        <v>1133</v>
      </c>
      <c r="V166" s="34" t="s">
        <v>1140</v>
      </c>
      <c r="W166" s="33" t="s">
        <v>1707</v>
      </c>
      <c r="X166" s="34" t="s">
        <v>1776</v>
      </c>
      <c r="AI166" s="6">
        <f>SUM(Y166:AH166)</f>
        <v>0</v>
      </c>
      <c r="AJ166" s="6">
        <f>100-(AI166*(AI166/20))</f>
        <v>100</v>
      </c>
      <c r="AK166" s="18">
        <f>100-(AJ166*(AJ166/MAX(AJ151:AJ166)))</f>
        <v>0</v>
      </c>
      <c r="AL166" s="6">
        <v>77</v>
      </c>
    </row>
    <row r="167" spans="1:38" x14ac:dyDescent="0.2">
      <c r="A167" s="33">
        <v>83</v>
      </c>
      <c r="B167" s="33" t="s">
        <v>106</v>
      </c>
      <c r="C167" s="33" t="s">
        <v>2142</v>
      </c>
      <c r="D167" s="33" t="s">
        <v>2151</v>
      </c>
      <c r="E167" s="33" t="s">
        <v>603</v>
      </c>
      <c r="F167" s="34" t="s">
        <v>684</v>
      </c>
      <c r="G167" s="33" t="s">
        <v>1052</v>
      </c>
      <c r="H167" s="34" t="s">
        <v>684</v>
      </c>
      <c r="I167" s="33" t="s">
        <v>743</v>
      </c>
      <c r="J167" s="34" t="s">
        <v>839</v>
      </c>
      <c r="K167" s="33" t="s">
        <v>1555</v>
      </c>
      <c r="L167" s="34" t="s">
        <v>1643</v>
      </c>
      <c r="M167" s="33" t="s">
        <v>689</v>
      </c>
      <c r="N167" s="34" t="s">
        <v>684</v>
      </c>
      <c r="O167" s="33" t="s">
        <v>1202</v>
      </c>
      <c r="P167" s="34" t="s">
        <v>1359</v>
      </c>
      <c r="Q167" s="33" t="s">
        <v>723</v>
      </c>
      <c r="R167" s="34" t="s">
        <v>1524</v>
      </c>
      <c r="S167" s="33" t="s">
        <v>276</v>
      </c>
      <c r="T167" s="34" t="s">
        <v>421</v>
      </c>
      <c r="U167" s="33" t="s">
        <v>689</v>
      </c>
      <c r="V167" s="34" t="s">
        <v>1140</v>
      </c>
      <c r="W167" s="33" t="s">
        <v>1707</v>
      </c>
      <c r="X167" s="34" t="s">
        <v>1776</v>
      </c>
      <c r="AI167" s="6">
        <f>SUM(Y167:AH167)</f>
        <v>0</v>
      </c>
      <c r="AJ167" s="6">
        <f>100-(AI167*(AI167/20))</f>
        <v>100</v>
      </c>
      <c r="AK167" s="18">
        <f>100-(AJ167*(AJ167/MAX(AJ152:AJ167)))</f>
        <v>0</v>
      </c>
      <c r="AL167" s="6">
        <v>83</v>
      </c>
    </row>
    <row r="168" spans="1:38" x14ac:dyDescent="0.2">
      <c r="A168" s="33">
        <v>85</v>
      </c>
      <c r="B168" s="33" t="s">
        <v>108</v>
      </c>
      <c r="C168" s="33" t="s">
        <v>2142</v>
      </c>
      <c r="D168" s="33" t="s">
        <v>2151</v>
      </c>
      <c r="E168" s="33" t="s">
        <v>605</v>
      </c>
      <c r="F168" s="34" t="s">
        <v>684</v>
      </c>
      <c r="G168" s="33" t="s">
        <v>1054</v>
      </c>
      <c r="H168" s="34" t="s">
        <v>684</v>
      </c>
      <c r="I168" s="33" t="s">
        <v>745</v>
      </c>
      <c r="J168" s="34" t="s">
        <v>841</v>
      </c>
      <c r="K168" s="33" t="s">
        <v>1555</v>
      </c>
      <c r="L168" s="34" t="s">
        <v>1645</v>
      </c>
      <c r="M168" s="33" t="s">
        <v>689</v>
      </c>
      <c r="N168" s="34" t="s">
        <v>684</v>
      </c>
      <c r="O168" s="33" t="s">
        <v>1204</v>
      </c>
      <c r="P168" s="34" t="s">
        <v>1361</v>
      </c>
      <c r="Q168" s="33" t="s">
        <v>723</v>
      </c>
      <c r="R168" s="34" t="s">
        <v>1524</v>
      </c>
      <c r="S168" s="33" t="s">
        <v>278</v>
      </c>
      <c r="T168" s="34" t="s">
        <v>423</v>
      </c>
      <c r="U168" s="33" t="s">
        <v>689</v>
      </c>
      <c r="V168" s="34" t="s">
        <v>1140</v>
      </c>
      <c r="W168" s="33" t="s">
        <v>1740</v>
      </c>
      <c r="X168" s="34" t="s">
        <v>1776</v>
      </c>
      <c r="AI168" s="6">
        <f>SUM(Y168:AH168)</f>
        <v>0</v>
      </c>
      <c r="AJ168" s="6">
        <f>100-(AI168*(AI168/20))</f>
        <v>100</v>
      </c>
      <c r="AK168" s="18">
        <f>100-(AJ168*(AJ168/MAX(AJ153:AJ168)))</f>
        <v>0</v>
      </c>
      <c r="AL168" s="6">
        <v>85</v>
      </c>
    </row>
    <row r="169" spans="1:38" x14ac:dyDescent="0.2">
      <c r="A169" s="33">
        <v>95</v>
      </c>
      <c r="B169" s="33" t="s">
        <v>118</v>
      </c>
      <c r="C169" s="33" t="s">
        <v>2142</v>
      </c>
      <c r="D169" s="33" t="s">
        <v>2151</v>
      </c>
      <c r="E169" s="33" t="s">
        <v>613</v>
      </c>
      <c r="F169" s="34" t="s">
        <v>684</v>
      </c>
      <c r="G169" s="33" t="s">
        <v>1062</v>
      </c>
      <c r="H169" s="34" t="s">
        <v>684</v>
      </c>
      <c r="I169" s="33" t="s">
        <v>752</v>
      </c>
      <c r="J169" s="34" t="s">
        <v>851</v>
      </c>
      <c r="K169" s="33" t="s">
        <v>1562</v>
      </c>
      <c r="L169" s="34" t="s">
        <v>1652</v>
      </c>
      <c r="M169" s="33" t="s">
        <v>689</v>
      </c>
      <c r="N169" s="34" t="s">
        <v>684</v>
      </c>
      <c r="O169" s="33" t="s">
        <v>1211</v>
      </c>
      <c r="P169" s="34" t="s">
        <v>1371</v>
      </c>
      <c r="Q169" s="33" t="s">
        <v>723</v>
      </c>
      <c r="R169" s="34" t="s">
        <v>1524</v>
      </c>
      <c r="S169" s="33" t="s">
        <v>285</v>
      </c>
      <c r="T169" s="34" t="s">
        <v>433</v>
      </c>
      <c r="U169" s="33" t="s">
        <v>689</v>
      </c>
      <c r="V169" s="34" t="s">
        <v>1140</v>
      </c>
      <c r="W169" s="33" t="s">
        <v>1740</v>
      </c>
      <c r="X169" s="34" t="s">
        <v>1776</v>
      </c>
      <c r="AI169" s="6">
        <f>SUM(Y169:AH169)</f>
        <v>0</v>
      </c>
      <c r="AJ169" s="6">
        <f>100-(AI169*(AI169/20))</f>
        <v>100</v>
      </c>
      <c r="AK169" s="18">
        <f>100-(AJ169*(AJ169/MAX(AJ154:AJ169)))</f>
        <v>0</v>
      </c>
      <c r="AL169" s="6">
        <v>95</v>
      </c>
    </row>
    <row r="170" spans="1:38" x14ac:dyDescent="0.2">
      <c r="A170" s="33">
        <v>101</v>
      </c>
      <c r="B170" s="33" t="s">
        <v>124</v>
      </c>
      <c r="C170" s="33" t="s">
        <v>2142</v>
      </c>
      <c r="D170" s="33" t="s">
        <v>2151</v>
      </c>
      <c r="E170" s="33" t="s">
        <v>613</v>
      </c>
      <c r="F170" s="34" t="s">
        <v>684</v>
      </c>
      <c r="G170" s="33" t="s">
        <v>1065</v>
      </c>
      <c r="H170" s="34" t="s">
        <v>684</v>
      </c>
      <c r="I170" s="33" t="s">
        <v>689</v>
      </c>
      <c r="J170" s="34" t="s">
        <v>857</v>
      </c>
      <c r="K170" s="33" t="s">
        <v>1562</v>
      </c>
      <c r="L170" s="34" t="s">
        <v>1655</v>
      </c>
      <c r="M170" s="33" t="s">
        <v>689</v>
      </c>
      <c r="N170" s="34" t="s">
        <v>684</v>
      </c>
      <c r="O170" s="33" t="s">
        <v>1217</v>
      </c>
      <c r="P170" s="34" t="s">
        <v>1377</v>
      </c>
      <c r="Q170" s="33" t="s">
        <v>1512</v>
      </c>
      <c r="R170" s="34" t="s">
        <v>1524</v>
      </c>
      <c r="S170" s="33" t="s">
        <v>288</v>
      </c>
      <c r="T170" s="34" t="s">
        <v>439</v>
      </c>
      <c r="U170" s="33" t="s">
        <v>689</v>
      </c>
      <c r="V170" s="34" t="s">
        <v>1140</v>
      </c>
      <c r="W170" s="33" t="s">
        <v>723</v>
      </c>
      <c r="X170" s="34" t="s">
        <v>1775</v>
      </c>
      <c r="AI170" s="6">
        <f>SUM(Y170:AH170)</f>
        <v>0</v>
      </c>
      <c r="AJ170" s="6">
        <f>100-(AI170*(AI170/20))</f>
        <v>100</v>
      </c>
      <c r="AK170" s="18">
        <f>100-(AJ170*(AJ170/MAX(AJ155:AJ170)))</f>
        <v>0</v>
      </c>
      <c r="AL170" s="6">
        <v>101</v>
      </c>
    </row>
    <row r="171" spans="1:38" x14ac:dyDescent="0.2">
      <c r="A171" s="33">
        <v>102</v>
      </c>
      <c r="B171" s="33" t="s">
        <v>125</v>
      </c>
      <c r="C171" s="33" t="s">
        <v>2142</v>
      </c>
      <c r="D171" s="33" t="s">
        <v>2151</v>
      </c>
      <c r="E171" s="33" t="s">
        <v>613</v>
      </c>
      <c r="F171" s="34" t="s">
        <v>684</v>
      </c>
      <c r="G171" s="33" t="s">
        <v>1066</v>
      </c>
      <c r="H171" s="34" t="s">
        <v>684</v>
      </c>
      <c r="I171" s="33" t="s">
        <v>689</v>
      </c>
      <c r="J171" s="34" t="s">
        <v>858</v>
      </c>
      <c r="K171" s="33" t="s">
        <v>1562</v>
      </c>
      <c r="L171" s="34" t="s">
        <v>1656</v>
      </c>
      <c r="M171" s="33" t="s">
        <v>689</v>
      </c>
      <c r="N171" s="34" t="s">
        <v>684</v>
      </c>
      <c r="O171" s="33" t="s">
        <v>1202</v>
      </c>
      <c r="P171" s="34" t="s">
        <v>1378</v>
      </c>
      <c r="Q171" s="33" t="s">
        <v>723</v>
      </c>
      <c r="R171" s="34" t="s">
        <v>1524</v>
      </c>
      <c r="S171" s="33" t="s">
        <v>289</v>
      </c>
      <c r="T171" s="34" t="s">
        <v>440</v>
      </c>
      <c r="U171" s="33" t="s">
        <v>689</v>
      </c>
      <c r="V171" s="34" t="s">
        <v>1140</v>
      </c>
      <c r="W171" s="33" t="s">
        <v>723</v>
      </c>
      <c r="X171" s="34" t="s">
        <v>1775</v>
      </c>
      <c r="AI171" s="6">
        <f>SUM(Y171:AH171)</f>
        <v>0</v>
      </c>
      <c r="AJ171" s="6">
        <f>100-(AI171*(AI171/20))</f>
        <v>100</v>
      </c>
      <c r="AK171" s="18">
        <f>100-(AJ171*(AJ171/MAX(AJ156:AJ171)))</f>
        <v>0</v>
      </c>
      <c r="AL171" s="6">
        <v>102</v>
      </c>
    </row>
    <row r="172" spans="1:38" x14ac:dyDescent="0.2">
      <c r="A172" s="33">
        <v>108</v>
      </c>
      <c r="B172" s="33" t="s">
        <v>131</v>
      </c>
      <c r="C172" s="33" t="s">
        <v>2142</v>
      </c>
      <c r="D172" s="33" t="s">
        <v>2151</v>
      </c>
      <c r="E172" s="33" t="s">
        <v>613</v>
      </c>
      <c r="F172" s="34" t="s">
        <v>684</v>
      </c>
      <c r="G172" s="33" t="s">
        <v>1071</v>
      </c>
      <c r="H172" s="34" t="s">
        <v>684</v>
      </c>
      <c r="I172" s="33" t="s">
        <v>689</v>
      </c>
      <c r="J172" s="34" t="s">
        <v>864</v>
      </c>
      <c r="K172" s="33" t="s">
        <v>1562</v>
      </c>
      <c r="L172" s="34" t="s">
        <v>1659</v>
      </c>
      <c r="M172" s="33" t="s">
        <v>689</v>
      </c>
      <c r="N172" s="34" t="s">
        <v>684</v>
      </c>
      <c r="O172" s="33" t="s">
        <v>1221</v>
      </c>
      <c r="P172" s="34" t="s">
        <v>1384</v>
      </c>
      <c r="Q172" s="33" t="s">
        <v>723</v>
      </c>
      <c r="R172" s="34" t="s">
        <v>1524</v>
      </c>
      <c r="S172" s="33" t="s">
        <v>293</v>
      </c>
      <c r="T172" s="34" t="s">
        <v>446</v>
      </c>
      <c r="U172" s="33" t="s">
        <v>689</v>
      </c>
      <c r="V172" s="34" t="s">
        <v>1140</v>
      </c>
      <c r="W172" s="33" t="s">
        <v>1740</v>
      </c>
      <c r="X172" s="34" t="s">
        <v>1776</v>
      </c>
      <c r="AI172" s="6">
        <f>SUM(Y172:AH172)</f>
        <v>0</v>
      </c>
      <c r="AJ172" s="6">
        <f>100-(AI172*(AI172/20))</f>
        <v>100</v>
      </c>
      <c r="AK172" s="18">
        <f>100-(AJ172*(AJ172/MAX(AJ157:AJ172)))</f>
        <v>0</v>
      </c>
      <c r="AL172" s="6">
        <v>108</v>
      </c>
    </row>
    <row r="173" spans="1:38" x14ac:dyDescent="0.2">
      <c r="A173" s="33">
        <v>123</v>
      </c>
      <c r="B173" s="33" t="s">
        <v>146</v>
      </c>
      <c r="C173" s="33" t="s">
        <v>2142</v>
      </c>
      <c r="D173" s="33" t="s">
        <v>2151</v>
      </c>
      <c r="E173" s="33" t="s">
        <v>613</v>
      </c>
      <c r="F173" s="34" t="s">
        <v>684</v>
      </c>
      <c r="G173" s="33" t="s">
        <v>1079</v>
      </c>
      <c r="H173" s="34" t="s">
        <v>684</v>
      </c>
      <c r="I173" s="33" t="s">
        <v>689</v>
      </c>
      <c r="J173" s="34" t="s">
        <v>879</v>
      </c>
      <c r="K173" s="33" t="s">
        <v>1562</v>
      </c>
      <c r="L173" s="34" t="s">
        <v>1665</v>
      </c>
      <c r="M173" s="33" t="s">
        <v>689</v>
      </c>
      <c r="N173" s="34" t="s">
        <v>684</v>
      </c>
      <c r="O173" s="33" t="s">
        <v>1235</v>
      </c>
      <c r="P173" s="34" t="s">
        <v>1399</v>
      </c>
      <c r="Q173" s="33" t="s">
        <v>723</v>
      </c>
      <c r="R173" s="34" t="s">
        <v>1524</v>
      </c>
      <c r="S173" s="33" t="s">
        <v>302</v>
      </c>
      <c r="T173" s="34" t="s">
        <v>460</v>
      </c>
      <c r="U173" s="33" t="s">
        <v>689</v>
      </c>
      <c r="V173" s="34" t="s">
        <v>1140</v>
      </c>
      <c r="W173" s="33" t="s">
        <v>723</v>
      </c>
      <c r="X173" s="34" t="s">
        <v>1775</v>
      </c>
      <c r="AI173" s="6">
        <f>SUM(Y173:AH173)</f>
        <v>0</v>
      </c>
      <c r="AJ173" s="6">
        <f>100-(AI173*(AI173/20))</f>
        <v>100</v>
      </c>
      <c r="AK173" s="18">
        <f>100-(AJ173*(AJ173/MAX(AJ158:AJ173)))</f>
        <v>0</v>
      </c>
      <c r="AL173" s="6">
        <v>123</v>
      </c>
    </row>
    <row r="174" spans="1:38" x14ac:dyDescent="0.2">
      <c r="A174" s="33">
        <v>138</v>
      </c>
      <c r="B174" s="33" t="s">
        <v>161</v>
      </c>
      <c r="C174" s="33" t="s">
        <v>2142</v>
      </c>
      <c r="D174" s="33" t="s">
        <v>2151</v>
      </c>
      <c r="E174" s="33" t="s">
        <v>643</v>
      </c>
      <c r="F174" s="34" t="s">
        <v>684</v>
      </c>
      <c r="G174" s="33" t="s">
        <v>1088</v>
      </c>
      <c r="H174" s="34" t="s">
        <v>684</v>
      </c>
      <c r="I174" s="33" t="s">
        <v>689</v>
      </c>
      <c r="J174" s="34" t="s">
        <v>894</v>
      </c>
      <c r="K174" s="33" t="s">
        <v>1570</v>
      </c>
      <c r="L174" s="34" t="s">
        <v>1673</v>
      </c>
      <c r="M174" s="33" t="s">
        <v>689</v>
      </c>
      <c r="N174" s="34" t="s">
        <v>684</v>
      </c>
      <c r="O174" s="33" t="s">
        <v>1247</v>
      </c>
      <c r="P174" s="34" t="s">
        <v>1414</v>
      </c>
      <c r="Q174" s="33" t="s">
        <v>1516</v>
      </c>
      <c r="R174" s="34" t="s">
        <v>1524</v>
      </c>
      <c r="S174" s="33" t="s">
        <v>313</v>
      </c>
      <c r="T174" s="34" t="s">
        <v>475</v>
      </c>
      <c r="U174" s="33" t="s">
        <v>689</v>
      </c>
      <c r="V174" s="34" t="s">
        <v>1140</v>
      </c>
      <c r="W174" s="33" t="s">
        <v>723</v>
      </c>
      <c r="X174" s="34" t="s">
        <v>1775</v>
      </c>
      <c r="AI174" s="6">
        <f>SUM(Y174:AH174)</f>
        <v>0</v>
      </c>
      <c r="AJ174" s="6">
        <f>100-(AI174*(AI174/20))</f>
        <v>100</v>
      </c>
      <c r="AK174" s="18">
        <f>100-(AJ174*(AJ174/MAX(AJ159:AJ174)))</f>
        <v>0</v>
      </c>
      <c r="AL174" s="6">
        <v>138</v>
      </c>
    </row>
    <row r="175" spans="1:38" x14ac:dyDescent="0.2">
      <c r="A175" s="33">
        <v>139</v>
      </c>
      <c r="B175" s="33" t="s">
        <v>162</v>
      </c>
      <c r="C175" s="33" t="s">
        <v>2142</v>
      </c>
      <c r="D175" s="33" t="s">
        <v>2151</v>
      </c>
      <c r="E175" s="33" t="s">
        <v>643</v>
      </c>
      <c r="F175" s="34" t="s">
        <v>684</v>
      </c>
      <c r="G175" s="33" t="s">
        <v>1089</v>
      </c>
      <c r="H175" s="34" t="s">
        <v>684</v>
      </c>
      <c r="I175" s="33" t="s">
        <v>689</v>
      </c>
      <c r="J175" s="34" t="s">
        <v>895</v>
      </c>
      <c r="K175" s="33" t="s">
        <v>1570</v>
      </c>
      <c r="L175" s="34" t="s">
        <v>1674</v>
      </c>
      <c r="M175" s="33" t="s">
        <v>689</v>
      </c>
      <c r="N175" s="34" t="s">
        <v>684</v>
      </c>
      <c r="O175" s="33" t="s">
        <v>1248</v>
      </c>
      <c r="P175" s="34" t="s">
        <v>1415</v>
      </c>
      <c r="Q175" s="33" t="s">
        <v>723</v>
      </c>
      <c r="R175" s="34" t="s">
        <v>1524</v>
      </c>
      <c r="S175" s="33" t="s">
        <v>314</v>
      </c>
      <c r="T175" s="34" t="s">
        <v>476</v>
      </c>
      <c r="U175" s="33" t="s">
        <v>689</v>
      </c>
      <c r="V175" s="34" t="s">
        <v>1140</v>
      </c>
      <c r="W175" s="33" t="s">
        <v>723</v>
      </c>
      <c r="X175" s="34" t="s">
        <v>1775</v>
      </c>
      <c r="AI175" s="6">
        <f>SUM(Y175:AH175)</f>
        <v>0</v>
      </c>
      <c r="AJ175" s="6">
        <f>100-(AI175*(AI175/20))</f>
        <v>100</v>
      </c>
      <c r="AK175" s="18">
        <f>100-(AJ175*(AJ175/MAX(AJ160:AJ175)))</f>
        <v>0</v>
      </c>
      <c r="AL175" s="6">
        <v>139</v>
      </c>
    </row>
    <row r="176" spans="1:38" x14ac:dyDescent="0.2">
      <c r="A176" s="33">
        <v>143</v>
      </c>
      <c r="B176" s="33" t="s">
        <v>166</v>
      </c>
      <c r="C176" s="33" t="s">
        <v>2142</v>
      </c>
      <c r="D176" s="33" t="s">
        <v>2151</v>
      </c>
      <c r="E176" s="33" t="s">
        <v>643</v>
      </c>
      <c r="F176" s="34" t="s">
        <v>684</v>
      </c>
      <c r="G176" s="33" t="s">
        <v>1093</v>
      </c>
      <c r="H176" s="34" t="s">
        <v>684</v>
      </c>
      <c r="I176" s="33" t="s">
        <v>689</v>
      </c>
      <c r="J176" s="34" t="s">
        <v>899</v>
      </c>
      <c r="K176" s="33" t="s">
        <v>1570</v>
      </c>
      <c r="L176" s="34" t="s">
        <v>1677</v>
      </c>
      <c r="M176" s="33" t="s">
        <v>689</v>
      </c>
      <c r="N176" s="34" t="s">
        <v>684</v>
      </c>
      <c r="O176" s="33" t="s">
        <v>1247</v>
      </c>
      <c r="P176" s="34" t="s">
        <v>1419</v>
      </c>
      <c r="Q176" s="33" t="s">
        <v>723</v>
      </c>
      <c r="R176" s="34" t="s">
        <v>1524</v>
      </c>
      <c r="S176" s="33" t="s">
        <v>318</v>
      </c>
      <c r="T176" s="34" t="s">
        <v>479</v>
      </c>
      <c r="U176" s="33" t="s">
        <v>689</v>
      </c>
      <c r="V176" s="34" t="s">
        <v>1140</v>
      </c>
      <c r="W176" s="33" t="s">
        <v>723</v>
      </c>
      <c r="X176" s="34" t="s">
        <v>1775</v>
      </c>
      <c r="AI176" s="6">
        <f>SUM(Y176:AH176)</f>
        <v>0</v>
      </c>
      <c r="AJ176" s="6">
        <f>100-(AI176*(AI176/20))</f>
        <v>100</v>
      </c>
      <c r="AK176" s="18">
        <f>100-(AJ176*(AJ176/MAX(AJ161:AJ176)))</f>
        <v>0</v>
      </c>
      <c r="AL176" s="6">
        <v>143</v>
      </c>
    </row>
    <row r="177" spans="1:38" x14ac:dyDescent="0.2">
      <c r="A177" s="33">
        <v>158</v>
      </c>
      <c r="B177" s="33" t="s">
        <v>181</v>
      </c>
      <c r="C177" s="33" t="s">
        <v>2142</v>
      </c>
      <c r="D177" s="33" t="s">
        <v>2151</v>
      </c>
      <c r="E177" s="33" t="s">
        <v>643</v>
      </c>
      <c r="F177" s="34" t="s">
        <v>684</v>
      </c>
      <c r="G177" s="33" t="s">
        <v>1104</v>
      </c>
      <c r="H177" s="34" t="s">
        <v>684</v>
      </c>
      <c r="I177" s="33" t="s">
        <v>689</v>
      </c>
      <c r="J177" s="34" t="s">
        <v>914</v>
      </c>
      <c r="K177" s="33" t="s">
        <v>1571</v>
      </c>
      <c r="L177" s="34" t="s">
        <v>1684</v>
      </c>
      <c r="M177" s="33" t="s">
        <v>689</v>
      </c>
      <c r="N177" s="34" t="s">
        <v>684</v>
      </c>
      <c r="O177" s="33" t="s">
        <v>1247</v>
      </c>
      <c r="P177" s="34" t="s">
        <v>1434</v>
      </c>
      <c r="Q177" s="33" t="s">
        <v>723</v>
      </c>
      <c r="R177" s="34" t="s">
        <v>1524</v>
      </c>
      <c r="S177" s="33" t="s">
        <v>325</v>
      </c>
      <c r="T177" s="34" t="s">
        <v>494</v>
      </c>
      <c r="U177" s="33" t="s">
        <v>689</v>
      </c>
      <c r="V177" s="34" t="s">
        <v>1140</v>
      </c>
      <c r="W177" s="33" t="s">
        <v>723</v>
      </c>
      <c r="X177" s="34" t="s">
        <v>1775</v>
      </c>
      <c r="AI177" s="6">
        <f>SUM(Y177:AH177)</f>
        <v>0</v>
      </c>
      <c r="AJ177" s="6">
        <f>100-(AI177*(AI177/20))</f>
        <v>100</v>
      </c>
      <c r="AK177" s="18">
        <f>100-(AJ177*(AJ177/MAX(AJ162:AJ177)))</f>
        <v>0</v>
      </c>
      <c r="AL177" s="6">
        <v>158</v>
      </c>
    </row>
    <row r="178" spans="1:38" x14ac:dyDescent="0.2">
      <c r="A178" s="33">
        <v>159</v>
      </c>
      <c r="B178" s="33" t="s">
        <v>182</v>
      </c>
      <c r="C178" s="33" t="s">
        <v>2142</v>
      </c>
      <c r="D178" s="33" t="s">
        <v>2151</v>
      </c>
      <c r="E178" s="33" t="s">
        <v>643</v>
      </c>
      <c r="F178" s="34" t="s">
        <v>684</v>
      </c>
      <c r="G178" s="33" t="s">
        <v>1105</v>
      </c>
      <c r="H178" s="34" t="s">
        <v>684</v>
      </c>
      <c r="I178" s="33" t="s">
        <v>689</v>
      </c>
      <c r="J178" s="34" t="s">
        <v>915</v>
      </c>
      <c r="K178" s="33" t="s">
        <v>1571</v>
      </c>
      <c r="L178" s="34" t="s">
        <v>1685</v>
      </c>
      <c r="M178" s="33" t="s">
        <v>689</v>
      </c>
      <c r="N178" s="34" t="s">
        <v>684</v>
      </c>
      <c r="O178" s="33" t="s">
        <v>1260</v>
      </c>
      <c r="P178" s="34" t="s">
        <v>1435</v>
      </c>
      <c r="Q178" s="33" t="s">
        <v>723</v>
      </c>
      <c r="R178" s="34" t="s">
        <v>1524</v>
      </c>
      <c r="S178" s="33" t="s">
        <v>306</v>
      </c>
      <c r="T178" s="34" t="s">
        <v>495</v>
      </c>
      <c r="U178" s="33" t="s">
        <v>689</v>
      </c>
      <c r="V178" s="34" t="s">
        <v>1140</v>
      </c>
      <c r="W178" s="33" t="s">
        <v>723</v>
      </c>
      <c r="X178" s="34" t="s">
        <v>1775</v>
      </c>
      <c r="AI178" s="6">
        <f>SUM(Y178:AH178)</f>
        <v>0</v>
      </c>
      <c r="AJ178" s="6">
        <f>100-(AI178*(AI178/20))</f>
        <v>100</v>
      </c>
      <c r="AK178" s="18">
        <f>100-(AJ178*(AJ178/MAX(AJ163:AJ178)))</f>
        <v>0</v>
      </c>
      <c r="AL178" s="6">
        <v>159</v>
      </c>
    </row>
    <row r="179" spans="1:38" x14ac:dyDescent="0.2">
      <c r="A179" s="33">
        <v>164</v>
      </c>
      <c r="B179" s="33" t="s">
        <v>187</v>
      </c>
      <c r="C179" s="33" t="s">
        <v>2142</v>
      </c>
      <c r="D179" s="33" t="s">
        <v>2151</v>
      </c>
      <c r="E179" s="33" t="s">
        <v>660</v>
      </c>
      <c r="F179" s="34" t="s">
        <v>684</v>
      </c>
      <c r="G179" s="33" t="s">
        <v>1107</v>
      </c>
      <c r="H179" s="34" t="s">
        <v>684</v>
      </c>
      <c r="I179" s="33" t="s">
        <v>689</v>
      </c>
      <c r="J179" s="34" t="s">
        <v>920</v>
      </c>
      <c r="K179" s="33" t="s">
        <v>1570</v>
      </c>
      <c r="L179" s="34" t="s">
        <v>1687</v>
      </c>
      <c r="M179" s="33" t="s">
        <v>689</v>
      </c>
      <c r="N179" s="34" t="s">
        <v>684</v>
      </c>
      <c r="O179" s="33" t="s">
        <v>1263</v>
      </c>
      <c r="P179" s="34" t="s">
        <v>1440</v>
      </c>
      <c r="Q179" s="33" t="s">
        <v>723</v>
      </c>
      <c r="R179" s="34" t="s">
        <v>1524</v>
      </c>
      <c r="S179" s="33" t="s">
        <v>327</v>
      </c>
      <c r="T179" s="34" t="s">
        <v>500</v>
      </c>
      <c r="U179" s="33" t="s">
        <v>689</v>
      </c>
      <c r="V179" s="34" t="s">
        <v>1140</v>
      </c>
      <c r="W179" s="33" t="s">
        <v>723</v>
      </c>
      <c r="X179" s="34" t="s">
        <v>1775</v>
      </c>
      <c r="AI179" s="6">
        <f>SUM(Y179:AH179)</f>
        <v>0</v>
      </c>
      <c r="AJ179" s="6">
        <f>100-(AI179*(AI179/20))</f>
        <v>100</v>
      </c>
      <c r="AK179" s="18">
        <f>100-(AJ179*(AJ179/MAX(AJ164:AJ179)))</f>
        <v>0</v>
      </c>
      <c r="AL179" s="6">
        <v>164</v>
      </c>
    </row>
    <row r="180" spans="1:38" x14ac:dyDescent="0.2">
      <c r="A180" s="33">
        <v>169</v>
      </c>
      <c r="B180" s="33" t="s">
        <v>192</v>
      </c>
      <c r="C180" s="33" t="s">
        <v>2142</v>
      </c>
      <c r="D180" s="33" t="s">
        <v>2151</v>
      </c>
      <c r="E180" s="33" t="s">
        <v>643</v>
      </c>
      <c r="F180" s="34" t="s">
        <v>684</v>
      </c>
      <c r="G180" s="33" t="s">
        <v>1109</v>
      </c>
      <c r="H180" s="34" t="s">
        <v>684</v>
      </c>
      <c r="I180" s="33" t="s">
        <v>689</v>
      </c>
      <c r="J180" s="34" t="s">
        <v>925</v>
      </c>
      <c r="K180" s="33" t="s">
        <v>1571</v>
      </c>
      <c r="L180" s="34" t="s">
        <v>1689</v>
      </c>
      <c r="M180" s="33" t="s">
        <v>689</v>
      </c>
      <c r="N180" s="34" t="s">
        <v>684</v>
      </c>
      <c r="O180" s="33" t="s">
        <v>1268</v>
      </c>
      <c r="P180" s="34" t="s">
        <v>1445</v>
      </c>
      <c r="Q180" s="33" t="s">
        <v>723</v>
      </c>
      <c r="R180" s="34" t="s">
        <v>1524</v>
      </c>
      <c r="S180" s="33" t="s">
        <v>329</v>
      </c>
      <c r="T180" s="34" t="s">
        <v>504</v>
      </c>
      <c r="U180" s="33" t="s">
        <v>689</v>
      </c>
      <c r="V180" s="34" t="s">
        <v>1140</v>
      </c>
      <c r="W180" s="33" t="s">
        <v>723</v>
      </c>
      <c r="X180" s="34" t="s">
        <v>1775</v>
      </c>
      <c r="AI180" s="6">
        <f>SUM(Y180:AH180)</f>
        <v>0</v>
      </c>
      <c r="AJ180" s="6">
        <f>100-(AI180*(AI180/20))</f>
        <v>100</v>
      </c>
      <c r="AK180" s="18">
        <f>100-(AJ180*(AJ180/MAX(AJ165:AJ180)))</f>
        <v>0</v>
      </c>
      <c r="AL180" s="6">
        <v>169</v>
      </c>
    </row>
    <row r="181" spans="1:38" x14ac:dyDescent="0.2">
      <c r="A181" s="33">
        <v>186</v>
      </c>
      <c r="B181" s="33" t="s">
        <v>209</v>
      </c>
      <c r="C181" s="33" t="s">
        <v>2142</v>
      </c>
      <c r="D181" s="33" t="s">
        <v>2151</v>
      </c>
      <c r="E181" s="33" t="s">
        <v>673</v>
      </c>
      <c r="F181" s="34" t="s">
        <v>684</v>
      </c>
      <c r="G181" s="33" t="s">
        <v>1097</v>
      </c>
      <c r="H181" s="34" t="s">
        <v>684</v>
      </c>
      <c r="I181" s="33" t="s">
        <v>758</v>
      </c>
      <c r="J181" s="34" t="s">
        <v>942</v>
      </c>
      <c r="K181" s="33" t="s">
        <v>689</v>
      </c>
      <c r="L181" s="34" t="s">
        <v>1699</v>
      </c>
      <c r="M181" s="33" t="s">
        <v>689</v>
      </c>
      <c r="N181" s="34" t="s">
        <v>684</v>
      </c>
      <c r="O181" s="33" t="s">
        <v>1181</v>
      </c>
      <c r="P181" s="34" t="s">
        <v>1462</v>
      </c>
      <c r="Q181" s="33" t="s">
        <v>723</v>
      </c>
      <c r="R181" s="34" t="s">
        <v>1524</v>
      </c>
      <c r="S181" s="33" t="s">
        <v>337</v>
      </c>
      <c r="T181" s="34" t="s">
        <v>520</v>
      </c>
      <c r="U181" s="33" t="s">
        <v>689</v>
      </c>
      <c r="V181" s="34" t="s">
        <v>684</v>
      </c>
      <c r="W181" s="33" t="s">
        <v>723</v>
      </c>
      <c r="X181" s="34" t="s">
        <v>1775</v>
      </c>
      <c r="AI181" s="6">
        <f>SUM(Y181:AH181)</f>
        <v>0</v>
      </c>
      <c r="AJ181" s="6">
        <f>100-(AI181*(AI181/20))</f>
        <v>100</v>
      </c>
      <c r="AK181" s="18">
        <f>100-(AJ181*(AJ181/MAX(AJ171:AJ181)))</f>
        <v>0</v>
      </c>
      <c r="AL181" s="6">
        <v>186</v>
      </c>
    </row>
    <row r="182" spans="1:38" x14ac:dyDescent="0.2">
      <c r="A182" s="31">
        <v>10</v>
      </c>
      <c r="B182" s="31" t="s">
        <v>33</v>
      </c>
      <c r="C182" s="31" t="s">
        <v>2149</v>
      </c>
      <c r="D182" s="31" t="s">
        <v>2150</v>
      </c>
      <c r="E182" s="31" t="s">
        <v>537</v>
      </c>
      <c r="F182" s="32" t="s">
        <v>684</v>
      </c>
      <c r="G182" s="31" t="s">
        <v>994</v>
      </c>
      <c r="H182" s="32" t="s">
        <v>684</v>
      </c>
      <c r="I182" s="31" t="s">
        <v>693</v>
      </c>
      <c r="J182" s="32" t="s">
        <v>768</v>
      </c>
      <c r="K182" s="31" t="s">
        <v>1529</v>
      </c>
      <c r="L182" s="32" t="s">
        <v>1584</v>
      </c>
      <c r="M182" s="31" t="s">
        <v>959</v>
      </c>
      <c r="N182" s="32" t="s">
        <v>684</v>
      </c>
      <c r="O182" s="31" t="s">
        <v>1149</v>
      </c>
      <c r="P182" s="32" t="s">
        <v>1288</v>
      </c>
      <c r="Q182" s="31" t="s">
        <v>1476</v>
      </c>
      <c r="R182" s="32" t="s">
        <v>1524</v>
      </c>
      <c r="S182" s="31" t="s">
        <v>229</v>
      </c>
      <c r="T182" s="32" t="s">
        <v>353</v>
      </c>
      <c r="U182" s="31" t="s">
        <v>1125</v>
      </c>
      <c r="V182" s="32" t="s">
        <v>684</v>
      </c>
      <c r="W182" s="31" t="s">
        <v>1709</v>
      </c>
      <c r="X182" s="32" t="s">
        <v>1776</v>
      </c>
      <c r="AI182" s="6">
        <f>SUM(Y182:AH182)</f>
        <v>0</v>
      </c>
      <c r="AJ182" s="6">
        <f>100-(AI182*(AI182/20))</f>
        <v>100</v>
      </c>
      <c r="AK182" s="18">
        <f>100-(AJ182*(AJ182/MAX(AJ182:AJ195)))</f>
        <v>0</v>
      </c>
      <c r="AL182" s="6">
        <v>10</v>
      </c>
    </row>
    <row r="183" spans="1:38" x14ac:dyDescent="0.2">
      <c r="A183" s="31">
        <v>61</v>
      </c>
      <c r="B183" s="31" t="s">
        <v>84</v>
      </c>
      <c r="C183" s="31" t="s">
        <v>2149</v>
      </c>
      <c r="D183" s="31" t="s">
        <v>2150</v>
      </c>
      <c r="E183" s="31" t="s">
        <v>584</v>
      </c>
      <c r="F183" s="32" t="s">
        <v>684</v>
      </c>
      <c r="G183" s="31" t="s">
        <v>1039</v>
      </c>
      <c r="H183" s="32" t="s">
        <v>684</v>
      </c>
      <c r="I183" s="31" t="s">
        <v>731</v>
      </c>
      <c r="J183" s="32" t="s">
        <v>817</v>
      </c>
      <c r="K183" s="31" t="s">
        <v>1549</v>
      </c>
      <c r="L183" s="32" t="s">
        <v>1629</v>
      </c>
      <c r="M183" s="31" t="s">
        <v>974</v>
      </c>
      <c r="N183" s="32" t="s">
        <v>684</v>
      </c>
      <c r="O183" s="31" t="s">
        <v>1188</v>
      </c>
      <c r="P183" s="32" t="s">
        <v>1337</v>
      </c>
      <c r="Q183" s="31" t="s">
        <v>723</v>
      </c>
      <c r="R183" s="32" t="s">
        <v>1524</v>
      </c>
      <c r="S183" s="31" t="s">
        <v>262</v>
      </c>
      <c r="T183" s="32" t="s">
        <v>400</v>
      </c>
      <c r="U183" s="31" t="s">
        <v>723</v>
      </c>
      <c r="V183" s="32" t="s">
        <v>684</v>
      </c>
      <c r="W183" s="31" t="s">
        <v>1732</v>
      </c>
      <c r="X183" s="32" t="s">
        <v>1775</v>
      </c>
      <c r="AI183" s="6">
        <f>SUM(Y183:AH183)</f>
        <v>0</v>
      </c>
      <c r="AJ183" s="6">
        <f>100-(AI183*(AI183/20))</f>
        <v>100</v>
      </c>
      <c r="AK183" s="18">
        <f>100-(AJ183*(AJ183/MAX(AJ182:AJ195)))</f>
        <v>0</v>
      </c>
      <c r="AL183" s="6">
        <v>61</v>
      </c>
    </row>
    <row r="184" spans="1:38" x14ac:dyDescent="0.2">
      <c r="A184" s="31">
        <v>91</v>
      </c>
      <c r="B184" s="31" t="s">
        <v>114</v>
      </c>
      <c r="C184" s="31" t="s">
        <v>2149</v>
      </c>
      <c r="D184" s="31" t="s">
        <v>2150</v>
      </c>
      <c r="E184" s="31" t="s">
        <v>262</v>
      </c>
      <c r="F184" s="32" t="s">
        <v>684</v>
      </c>
      <c r="G184" s="31" t="s">
        <v>262</v>
      </c>
      <c r="H184" s="32" t="s">
        <v>684</v>
      </c>
      <c r="I184" s="31" t="s">
        <v>723</v>
      </c>
      <c r="J184" s="32" t="s">
        <v>847</v>
      </c>
      <c r="K184" s="31" t="s">
        <v>723</v>
      </c>
      <c r="L184" s="32" t="s">
        <v>847</v>
      </c>
      <c r="M184" s="31" t="s">
        <v>723</v>
      </c>
      <c r="N184" s="32" t="s">
        <v>684</v>
      </c>
      <c r="O184" s="31" t="s">
        <v>1187</v>
      </c>
      <c r="P184" s="32" t="s">
        <v>1367</v>
      </c>
      <c r="Q184" s="31" t="s">
        <v>1509</v>
      </c>
      <c r="R184" s="32" t="s">
        <v>1524</v>
      </c>
      <c r="S184" s="31" t="s">
        <v>262</v>
      </c>
      <c r="T184" s="32" t="s">
        <v>429</v>
      </c>
      <c r="U184" s="31" t="s">
        <v>723</v>
      </c>
      <c r="V184" s="32" t="s">
        <v>684</v>
      </c>
      <c r="W184" s="31" t="s">
        <v>1744</v>
      </c>
      <c r="X184" s="32" t="s">
        <v>1775</v>
      </c>
      <c r="AI184" s="6">
        <f>SUM(Y184:AH184)</f>
        <v>0</v>
      </c>
      <c r="AJ184" s="6">
        <f>100-(AI184*(AI184/20))</f>
        <v>100</v>
      </c>
      <c r="AK184" s="18">
        <f>100-(AJ184*(AJ184/MAX(AJ182:AJ195)))</f>
        <v>0</v>
      </c>
      <c r="AL184" s="6">
        <v>91</v>
      </c>
    </row>
    <row r="185" spans="1:38" x14ac:dyDescent="0.2">
      <c r="A185" s="31">
        <v>109</v>
      </c>
      <c r="B185" s="31" t="s">
        <v>132</v>
      </c>
      <c r="C185" s="31" t="s">
        <v>2149</v>
      </c>
      <c r="D185" s="31" t="s">
        <v>2150</v>
      </c>
      <c r="E185" s="31" t="s">
        <v>262</v>
      </c>
      <c r="F185" s="32" t="s">
        <v>684</v>
      </c>
      <c r="G185" s="31" t="s">
        <v>262</v>
      </c>
      <c r="H185" s="32" t="s">
        <v>684</v>
      </c>
      <c r="I185" s="31" t="s">
        <v>723</v>
      </c>
      <c r="J185" s="32" t="s">
        <v>865</v>
      </c>
      <c r="K185" s="31" t="s">
        <v>723</v>
      </c>
      <c r="L185" s="32" t="s">
        <v>865</v>
      </c>
      <c r="M185" s="31" t="s">
        <v>723</v>
      </c>
      <c r="N185" s="32" t="s">
        <v>684</v>
      </c>
      <c r="O185" s="31" t="s">
        <v>1206</v>
      </c>
      <c r="P185" s="32" t="s">
        <v>1385</v>
      </c>
      <c r="Q185" s="31" t="s">
        <v>723</v>
      </c>
      <c r="R185" s="32" t="s">
        <v>1524</v>
      </c>
      <c r="S185" s="31" t="s">
        <v>262</v>
      </c>
      <c r="T185" s="32" t="s">
        <v>447</v>
      </c>
      <c r="U185" s="31" t="s">
        <v>723</v>
      </c>
      <c r="V185" s="32" t="s">
        <v>684</v>
      </c>
      <c r="W185" s="31" t="s">
        <v>1747</v>
      </c>
      <c r="X185" s="32" t="s">
        <v>1775</v>
      </c>
      <c r="AI185" s="6">
        <f>SUM(Y185:AH185)</f>
        <v>0</v>
      </c>
      <c r="AJ185" s="6">
        <f>100-(AI185*(AI185/20))</f>
        <v>100</v>
      </c>
      <c r="AK185" s="18">
        <f>100-(AJ185*(AJ185/MAX(AJ182:AJ195)))</f>
        <v>0</v>
      </c>
      <c r="AL185" s="6">
        <v>109</v>
      </c>
    </row>
    <row r="186" spans="1:38" x14ac:dyDescent="0.2">
      <c r="A186" s="31">
        <v>113</v>
      </c>
      <c r="B186" s="31" t="s">
        <v>136</v>
      </c>
      <c r="C186" s="31" t="s">
        <v>2149</v>
      </c>
      <c r="D186" s="31" t="s">
        <v>2150</v>
      </c>
      <c r="E186" s="31" t="s">
        <v>262</v>
      </c>
      <c r="F186" s="32" t="s">
        <v>684</v>
      </c>
      <c r="G186" s="31" t="s">
        <v>262</v>
      </c>
      <c r="H186" s="32" t="s">
        <v>684</v>
      </c>
      <c r="I186" s="31" t="s">
        <v>723</v>
      </c>
      <c r="J186" s="32" t="s">
        <v>869</v>
      </c>
      <c r="K186" s="31" t="s">
        <v>723</v>
      </c>
      <c r="L186" s="32" t="s">
        <v>869</v>
      </c>
      <c r="M186" s="31" t="s">
        <v>723</v>
      </c>
      <c r="N186" s="32" t="s">
        <v>684</v>
      </c>
      <c r="O186" s="31" t="s">
        <v>1225</v>
      </c>
      <c r="P186" s="32" t="s">
        <v>1389</v>
      </c>
      <c r="Q186" s="31" t="s">
        <v>723</v>
      </c>
      <c r="R186" s="32" t="s">
        <v>1524</v>
      </c>
      <c r="S186" s="31" t="s">
        <v>262</v>
      </c>
      <c r="T186" s="32" t="s">
        <v>365</v>
      </c>
      <c r="U186" s="31" t="s">
        <v>723</v>
      </c>
      <c r="V186" s="32" t="s">
        <v>684</v>
      </c>
      <c r="W186" s="31" t="s">
        <v>1747</v>
      </c>
      <c r="X186" s="32" t="s">
        <v>1775</v>
      </c>
      <c r="AI186" s="6">
        <f>SUM(Y186:AH186)</f>
        <v>0</v>
      </c>
      <c r="AJ186" s="6">
        <f>100-(AI186*(AI186/20))</f>
        <v>100</v>
      </c>
      <c r="AK186" s="18">
        <f>100-(AJ186*(AJ186/MAX(AJ182:AJ195)))</f>
        <v>0</v>
      </c>
      <c r="AL186" s="6">
        <v>113</v>
      </c>
    </row>
    <row r="187" spans="1:38" x14ac:dyDescent="0.2">
      <c r="A187" s="31">
        <v>121</v>
      </c>
      <c r="B187" s="31" t="s">
        <v>144</v>
      </c>
      <c r="C187" s="31" t="s">
        <v>2149</v>
      </c>
      <c r="D187" s="31" t="s">
        <v>2150</v>
      </c>
      <c r="E187" s="31" t="s">
        <v>262</v>
      </c>
      <c r="F187" s="32" t="s">
        <v>684</v>
      </c>
      <c r="G187" s="31" t="s">
        <v>262</v>
      </c>
      <c r="H187" s="32" t="s">
        <v>684</v>
      </c>
      <c r="I187" s="31" t="s">
        <v>723</v>
      </c>
      <c r="J187" s="32" t="s">
        <v>877</v>
      </c>
      <c r="K187" s="31" t="s">
        <v>723</v>
      </c>
      <c r="L187" s="32" t="s">
        <v>877</v>
      </c>
      <c r="M187" s="31" t="s">
        <v>723</v>
      </c>
      <c r="N187" s="32" t="s">
        <v>684</v>
      </c>
      <c r="O187" s="31" t="s">
        <v>1233</v>
      </c>
      <c r="P187" s="32" t="s">
        <v>1397</v>
      </c>
      <c r="Q187" s="31" t="s">
        <v>723</v>
      </c>
      <c r="R187" s="32" t="s">
        <v>1524</v>
      </c>
      <c r="S187" s="31" t="s">
        <v>262</v>
      </c>
      <c r="T187" s="32" t="s">
        <v>458</v>
      </c>
      <c r="U187" s="31" t="s">
        <v>723</v>
      </c>
      <c r="V187" s="32" t="s">
        <v>684</v>
      </c>
      <c r="W187" s="31" t="s">
        <v>689</v>
      </c>
      <c r="X187" s="32" t="s">
        <v>1775</v>
      </c>
      <c r="AI187" s="6">
        <f>SUM(Y187:AH187)</f>
        <v>0</v>
      </c>
      <c r="AJ187" s="6">
        <f>100-(AI187*(AI187/20))</f>
        <v>100</v>
      </c>
      <c r="AK187" s="18">
        <f>100-(AJ187*(AJ187/MAX(AJ182:AJ195)))</f>
        <v>0</v>
      </c>
      <c r="AL187" s="6">
        <v>121</v>
      </c>
    </row>
    <row r="188" spans="1:38" x14ac:dyDescent="0.2">
      <c r="A188" s="31">
        <v>124</v>
      </c>
      <c r="B188" s="31" t="s">
        <v>147</v>
      </c>
      <c r="C188" s="31" t="s">
        <v>2149</v>
      </c>
      <c r="D188" s="31" t="s">
        <v>2150</v>
      </c>
      <c r="E188" s="31" t="s">
        <v>630</v>
      </c>
      <c r="F188" s="32" t="s">
        <v>684</v>
      </c>
      <c r="G188" s="31" t="s">
        <v>1080</v>
      </c>
      <c r="H188" s="32" t="s">
        <v>684</v>
      </c>
      <c r="I188" s="31" t="s">
        <v>756</v>
      </c>
      <c r="J188" s="32" t="s">
        <v>880</v>
      </c>
      <c r="K188" s="31" t="s">
        <v>1568</v>
      </c>
      <c r="L188" s="32" t="s">
        <v>1666</v>
      </c>
      <c r="M188" s="31" t="s">
        <v>689</v>
      </c>
      <c r="N188" s="32" t="s">
        <v>684</v>
      </c>
      <c r="O188" s="31" t="s">
        <v>1189</v>
      </c>
      <c r="P188" s="32" t="s">
        <v>1400</v>
      </c>
      <c r="Q188" s="31" t="s">
        <v>723</v>
      </c>
      <c r="R188" s="32" t="s">
        <v>1524</v>
      </c>
      <c r="S188" s="31" t="s">
        <v>303</v>
      </c>
      <c r="T188" s="32" t="s">
        <v>461</v>
      </c>
      <c r="U188" s="31" t="s">
        <v>1138</v>
      </c>
      <c r="V188" s="32" t="s">
        <v>684</v>
      </c>
      <c r="W188" s="31" t="s">
        <v>723</v>
      </c>
      <c r="X188" s="32" t="s">
        <v>1775</v>
      </c>
      <c r="AI188" s="6">
        <f>SUM(Y188:AH188)</f>
        <v>0</v>
      </c>
      <c r="AJ188" s="6">
        <f>100-(AI188*(AI188/20))</f>
        <v>100</v>
      </c>
      <c r="AK188" s="18">
        <f>100-(AJ188*(AJ188/MAX(AJ182:AJ195)))</f>
        <v>0</v>
      </c>
      <c r="AL188" s="6">
        <v>124</v>
      </c>
    </row>
    <row r="189" spans="1:38" x14ac:dyDescent="0.2">
      <c r="A189" s="31">
        <v>132</v>
      </c>
      <c r="B189" s="31" t="s">
        <v>155</v>
      </c>
      <c r="C189" s="31" t="s">
        <v>2149</v>
      </c>
      <c r="D189" s="31" t="s">
        <v>2150</v>
      </c>
      <c r="E189" s="31" t="s">
        <v>262</v>
      </c>
      <c r="F189" s="32" t="s">
        <v>684</v>
      </c>
      <c r="G189" s="31" t="s">
        <v>262</v>
      </c>
      <c r="H189" s="32" t="s">
        <v>684</v>
      </c>
      <c r="I189" s="31" t="s">
        <v>723</v>
      </c>
      <c r="J189" s="32" t="s">
        <v>888</v>
      </c>
      <c r="K189" s="31" t="s">
        <v>723</v>
      </c>
      <c r="L189" s="32" t="s">
        <v>888</v>
      </c>
      <c r="M189" s="31" t="s">
        <v>723</v>
      </c>
      <c r="N189" s="32" t="s">
        <v>684</v>
      </c>
      <c r="O189" s="31" t="s">
        <v>1242</v>
      </c>
      <c r="P189" s="32" t="s">
        <v>1408</v>
      </c>
      <c r="Q189" s="31" t="s">
        <v>723</v>
      </c>
      <c r="R189" s="32" t="s">
        <v>1524</v>
      </c>
      <c r="S189" s="31" t="s">
        <v>262</v>
      </c>
      <c r="T189" s="32" t="s">
        <v>469</v>
      </c>
      <c r="U189" s="31" t="s">
        <v>723</v>
      </c>
      <c r="V189" s="32" t="s">
        <v>684</v>
      </c>
      <c r="W189" s="31" t="s">
        <v>689</v>
      </c>
      <c r="X189" s="32" t="s">
        <v>1775</v>
      </c>
      <c r="AI189" s="6">
        <f>SUM(Y189:AH189)</f>
        <v>0</v>
      </c>
      <c r="AJ189" s="6">
        <f>100-(AI189*(AI189/20))</f>
        <v>100</v>
      </c>
      <c r="AK189" s="18">
        <f>100-(AJ189*(AJ189/MAX(AJ182:AJ195)))</f>
        <v>0</v>
      </c>
      <c r="AL189" s="6">
        <v>132</v>
      </c>
    </row>
    <row r="190" spans="1:38" x14ac:dyDescent="0.2">
      <c r="A190" s="31">
        <v>134</v>
      </c>
      <c r="B190" s="31" t="s">
        <v>157</v>
      </c>
      <c r="C190" s="31" t="s">
        <v>2149</v>
      </c>
      <c r="D190" s="31" t="s">
        <v>2150</v>
      </c>
      <c r="E190" s="31" t="s">
        <v>639</v>
      </c>
      <c r="F190" s="32" t="s">
        <v>684</v>
      </c>
      <c r="G190" s="31" t="s">
        <v>262</v>
      </c>
      <c r="H190" s="32" t="s">
        <v>684</v>
      </c>
      <c r="I190" s="31" t="s">
        <v>723</v>
      </c>
      <c r="J190" s="32" t="s">
        <v>890</v>
      </c>
      <c r="K190" s="31" t="s">
        <v>723</v>
      </c>
      <c r="L190" s="32" t="s">
        <v>890</v>
      </c>
      <c r="M190" s="31" t="s">
        <v>723</v>
      </c>
      <c r="N190" s="32" t="s">
        <v>684</v>
      </c>
      <c r="O190" s="31" t="s">
        <v>1244</v>
      </c>
      <c r="P190" s="32" t="s">
        <v>1410</v>
      </c>
      <c r="Q190" s="31" t="s">
        <v>689</v>
      </c>
      <c r="R190" s="32" t="s">
        <v>1524</v>
      </c>
      <c r="S190" s="31" t="s">
        <v>262</v>
      </c>
      <c r="T190" s="32" t="s">
        <v>471</v>
      </c>
      <c r="U190" s="31" t="s">
        <v>723</v>
      </c>
      <c r="V190" s="32" t="s">
        <v>684</v>
      </c>
      <c r="W190" s="31" t="s">
        <v>689</v>
      </c>
      <c r="X190" s="32" t="s">
        <v>1775</v>
      </c>
      <c r="AI190" s="6">
        <f>SUM(Y190:AH190)</f>
        <v>0</v>
      </c>
      <c r="AJ190" s="6">
        <f>100-(AI190*(AI190/20))</f>
        <v>100</v>
      </c>
      <c r="AK190" s="18">
        <f>100-(AJ190*(AJ190/MAX(AJ182:AJ195)))</f>
        <v>0</v>
      </c>
      <c r="AL190" s="6">
        <v>134</v>
      </c>
    </row>
    <row r="191" spans="1:38" x14ac:dyDescent="0.2">
      <c r="A191" s="31">
        <v>149</v>
      </c>
      <c r="B191" s="31" t="s">
        <v>172</v>
      </c>
      <c r="C191" s="31" t="s">
        <v>2149</v>
      </c>
      <c r="D191" s="31" t="s">
        <v>2150</v>
      </c>
      <c r="E191" s="31" t="s">
        <v>651</v>
      </c>
      <c r="F191" s="32" t="s">
        <v>684</v>
      </c>
      <c r="G191" s="31" t="s">
        <v>262</v>
      </c>
      <c r="H191" s="32" t="s">
        <v>684</v>
      </c>
      <c r="I191" s="31" t="s">
        <v>723</v>
      </c>
      <c r="J191" s="32" t="s">
        <v>905</v>
      </c>
      <c r="K191" s="31" t="s">
        <v>723</v>
      </c>
      <c r="L191" s="32" t="s">
        <v>905</v>
      </c>
      <c r="M191" s="31" t="s">
        <v>723</v>
      </c>
      <c r="N191" s="32" t="s">
        <v>684</v>
      </c>
      <c r="O191" s="31" t="s">
        <v>1252</v>
      </c>
      <c r="P191" s="32" t="s">
        <v>1425</v>
      </c>
      <c r="Q191" s="31" t="s">
        <v>689</v>
      </c>
      <c r="R191" s="32" t="s">
        <v>1524</v>
      </c>
      <c r="S191" s="31" t="s">
        <v>262</v>
      </c>
      <c r="T191" s="32" t="s">
        <v>485</v>
      </c>
      <c r="U191" s="31" t="s">
        <v>723</v>
      </c>
      <c r="V191" s="32" t="s">
        <v>684</v>
      </c>
      <c r="W191" s="31" t="s">
        <v>689</v>
      </c>
      <c r="X191" s="32" t="s">
        <v>1775</v>
      </c>
      <c r="AI191" s="6">
        <f>SUM(Y191:AH191)</f>
        <v>0</v>
      </c>
      <c r="AJ191" s="6">
        <f>100-(AI191*(AI191/20))</f>
        <v>100</v>
      </c>
      <c r="AK191" s="18">
        <f>100-(AJ191*(AJ191/MAX(AJ182:AJ195)))</f>
        <v>0</v>
      </c>
      <c r="AL191" s="6">
        <v>149</v>
      </c>
    </row>
    <row r="192" spans="1:38" x14ac:dyDescent="0.2">
      <c r="A192" s="31">
        <v>160</v>
      </c>
      <c r="B192" s="31" t="s">
        <v>183</v>
      </c>
      <c r="C192" s="31" t="s">
        <v>2149</v>
      </c>
      <c r="D192" s="31" t="s">
        <v>2150</v>
      </c>
      <c r="E192" s="31" t="s">
        <v>262</v>
      </c>
      <c r="F192" s="32" t="s">
        <v>684</v>
      </c>
      <c r="G192" s="31" t="s">
        <v>262</v>
      </c>
      <c r="H192" s="32" t="s">
        <v>684</v>
      </c>
      <c r="I192" s="31" t="s">
        <v>723</v>
      </c>
      <c r="J192" s="32" t="s">
        <v>916</v>
      </c>
      <c r="K192" s="31" t="s">
        <v>723</v>
      </c>
      <c r="L192" s="32" t="s">
        <v>916</v>
      </c>
      <c r="M192" s="31" t="s">
        <v>723</v>
      </c>
      <c r="N192" s="32" t="s">
        <v>684</v>
      </c>
      <c r="O192" s="31" t="s">
        <v>1152</v>
      </c>
      <c r="P192" s="32" t="s">
        <v>1436</v>
      </c>
      <c r="Q192" s="31" t="s">
        <v>689</v>
      </c>
      <c r="R192" s="32" t="s">
        <v>1524</v>
      </c>
      <c r="S192" s="31" t="s">
        <v>262</v>
      </c>
      <c r="T192" s="32" t="s">
        <v>496</v>
      </c>
      <c r="U192" s="31" t="s">
        <v>723</v>
      </c>
      <c r="V192" s="32" t="s">
        <v>684</v>
      </c>
      <c r="W192" s="31" t="s">
        <v>689</v>
      </c>
      <c r="X192" s="32" t="s">
        <v>1775</v>
      </c>
      <c r="AI192" s="6">
        <f>SUM(Y192:AH192)</f>
        <v>0</v>
      </c>
      <c r="AJ192" s="6">
        <f>100-(AI192*(AI192/20))</f>
        <v>100</v>
      </c>
      <c r="AK192" s="18">
        <f>100-(AJ192*(AJ192/MAX(AJ182:AJ195)))</f>
        <v>0</v>
      </c>
      <c r="AL192" s="6">
        <v>160</v>
      </c>
    </row>
    <row r="193" spans="1:38" x14ac:dyDescent="0.2">
      <c r="A193" s="31">
        <v>177</v>
      </c>
      <c r="B193" s="31" t="s">
        <v>200</v>
      </c>
      <c r="C193" s="31" t="s">
        <v>2149</v>
      </c>
      <c r="D193" s="31" t="s">
        <v>2150</v>
      </c>
      <c r="E193" s="31" t="s">
        <v>262</v>
      </c>
      <c r="F193" s="32" t="s">
        <v>684</v>
      </c>
      <c r="G193" s="31" t="s">
        <v>262</v>
      </c>
      <c r="H193" s="32" t="s">
        <v>684</v>
      </c>
      <c r="I193" s="31" t="s">
        <v>723</v>
      </c>
      <c r="J193" s="32" t="s">
        <v>933</v>
      </c>
      <c r="K193" s="31" t="s">
        <v>723</v>
      </c>
      <c r="L193" s="32" t="s">
        <v>933</v>
      </c>
      <c r="M193" s="31" t="s">
        <v>723</v>
      </c>
      <c r="N193" s="32" t="s">
        <v>684</v>
      </c>
      <c r="O193" s="31" t="s">
        <v>1152</v>
      </c>
      <c r="P193" s="32" t="s">
        <v>1453</v>
      </c>
      <c r="Q193" s="31" t="s">
        <v>689</v>
      </c>
      <c r="R193" s="32" t="s">
        <v>1524</v>
      </c>
      <c r="S193" s="31" t="s">
        <v>262</v>
      </c>
      <c r="T193" s="32" t="s">
        <v>512</v>
      </c>
      <c r="U193" s="31" t="s">
        <v>723</v>
      </c>
      <c r="V193" s="32" t="s">
        <v>684</v>
      </c>
      <c r="W193" s="31" t="s">
        <v>689</v>
      </c>
      <c r="X193" s="32" t="s">
        <v>1775</v>
      </c>
      <c r="AI193" s="6">
        <f>SUM(Y193:AH193)</f>
        <v>0</v>
      </c>
      <c r="AJ193" s="6">
        <f>100-(AI193*(AI193/20))</f>
        <v>100</v>
      </c>
      <c r="AK193" s="18">
        <f>100-(AJ193*(AJ193/MAX(AJ182:AJ195)))</f>
        <v>0</v>
      </c>
      <c r="AL193" s="6">
        <v>177</v>
      </c>
    </row>
    <row r="194" spans="1:38" x14ac:dyDescent="0.2">
      <c r="A194" s="31">
        <v>182</v>
      </c>
      <c r="B194" s="31" t="s">
        <v>205</v>
      </c>
      <c r="C194" s="31" t="s">
        <v>2149</v>
      </c>
      <c r="D194" s="31" t="s">
        <v>2150</v>
      </c>
      <c r="E194" s="31" t="s">
        <v>262</v>
      </c>
      <c r="F194" s="32" t="s">
        <v>684</v>
      </c>
      <c r="G194" s="31" t="s">
        <v>262</v>
      </c>
      <c r="H194" s="32" t="s">
        <v>684</v>
      </c>
      <c r="I194" s="31" t="s">
        <v>723</v>
      </c>
      <c r="J194" s="32" t="s">
        <v>938</v>
      </c>
      <c r="K194" s="31" t="s">
        <v>723</v>
      </c>
      <c r="L194" s="32" t="s">
        <v>938</v>
      </c>
      <c r="M194" s="31" t="s">
        <v>723</v>
      </c>
      <c r="N194" s="32" t="s">
        <v>684</v>
      </c>
      <c r="O194" s="31" t="s">
        <v>1272</v>
      </c>
      <c r="P194" s="32" t="s">
        <v>1458</v>
      </c>
      <c r="Q194" s="31" t="s">
        <v>723</v>
      </c>
      <c r="R194" s="32" t="s">
        <v>1524</v>
      </c>
      <c r="S194" s="31" t="s">
        <v>262</v>
      </c>
      <c r="T194" s="32" t="s">
        <v>516</v>
      </c>
      <c r="U194" s="31" t="s">
        <v>723</v>
      </c>
      <c r="V194" s="32" t="s">
        <v>684</v>
      </c>
      <c r="W194" s="31" t="s">
        <v>689</v>
      </c>
      <c r="X194" s="32" t="s">
        <v>1775</v>
      </c>
      <c r="AI194" s="6">
        <f>SUM(Y194:AH194)</f>
        <v>0</v>
      </c>
      <c r="AJ194" s="6">
        <f>100-(AI194*(AI194/20))</f>
        <v>100</v>
      </c>
      <c r="AK194" s="18">
        <f>100-(AJ194*(AJ194/MAX(AJ182:AJ195)))</f>
        <v>0</v>
      </c>
      <c r="AL194" s="6">
        <v>182</v>
      </c>
    </row>
    <row r="195" spans="1:38" x14ac:dyDescent="0.2">
      <c r="A195" s="31">
        <v>190</v>
      </c>
      <c r="B195" s="31" t="s">
        <v>213</v>
      </c>
      <c r="C195" s="31" t="s">
        <v>2149</v>
      </c>
      <c r="D195" s="31" t="s">
        <v>2150</v>
      </c>
      <c r="E195" s="31" t="s">
        <v>262</v>
      </c>
      <c r="F195" s="32" t="s">
        <v>684</v>
      </c>
      <c r="G195" s="31" t="s">
        <v>262</v>
      </c>
      <c r="H195" s="32" t="s">
        <v>684</v>
      </c>
      <c r="I195" s="31" t="s">
        <v>723</v>
      </c>
      <c r="J195" s="32" t="s">
        <v>946</v>
      </c>
      <c r="K195" s="31" t="s">
        <v>723</v>
      </c>
      <c r="L195" s="32" t="s">
        <v>946</v>
      </c>
      <c r="M195" s="31" t="s">
        <v>723</v>
      </c>
      <c r="N195" s="32" t="s">
        <v>684</v>
      </c>
      <c r="O195" s="31" t="s">
        <v>1279</v>
      </c>
      <c r="P195" s="32" t="s">
        <v>1466</v>
      </c>
      <c r="Q195" s="31" t="s">
        <v>723</v>
      </c>
      <c r="R195" s="32" t="s">
        <v>1524</v>
      </c>
      <c r="S195" s="31" t="s">
        <v>262</v>
      </c>
      <c r="T195" s="32" t="s">
        <v>524</v>
      </c>
      <c r="U195" s="31" t="s">
        <v>723</v>
      </c>
      <c r="V195" s="32" t="s">
        <v>684</v>
      </c>
      <c r="W195" s="31" t="s">
        <v>689</v>
      </c>
      <c r="X195" s="32" t="s">
        <v>1775</v>
      </c>
      <c r="AI195" s="6">
        <f>SUM(Y195:AH195)</f>
        <v>0</v>
      </c>
      <c r="AJ195" s="6">
        <f>100-(AI195*(AI195/20))</f>
        <v>100</v>
      </c>
      <c r="AK195" s="18">
        <f>100-(AJ195*(AJ195/MAX(AJ182:AJ195)))</f>
        <v>0</v>
      </c>
      <c r="AL195" s="6">
        <v>190</v>
      </c>
    </row>
  </sheetData>
  <sortState xmlns:xlrd2="http://schemas.microsoft.com/office/spreadsheetml/2017/richdata2" ref="A2:AR195">
    <sortCondition ref="C2:C195"/>
  </sortState>
  <hyperlinks>
    <hyperlink ref="T120" r:id="rId1" xr:uid="{00000000-0004-0000-0000-000000000000}"/>
    <hyperlink ref="F120" r:id="rId2" xr:uid="{00000000-0004-0000-0000-000001000000}"/>
    <hyperlink ref="J120" r:id="rId3" xr:uid="{00000000-0004-0000-0000-000002000000}"/>
    <hyperlink ref="N120" r:id="rId4" xr:uid="{00000000-0004-0000-0000-000003000000}"/>
    <hyperlink ref="H120" r:id="rId5" xr:uid="{00000000-0004-0000-0000-000004000000}"/>
    <hyperlink ref="V120" r:id="rId6" xr:uid="{00000000-0004-0000-0000-000005000000}"/>
    <hyperlink ref="P120" r:id="rId7" xr:uid="{00000000-0004-0000-0000-000006000000}"/>
    <hyperlink ref="R120" r:id="rId8" xr:uid="{00000000-0004-0000-0000-000007000000}"/>
    <hyperlink ref="L120" r:id="rId9" xr:uid="{00000000-0004-0000-0000-000008000000}"/>
    <hyperlink ref="X120" r:id="rId10" xr:uid="{00000000-0004-0000-0000-000009000000}"/>
    <hyperlink ref="T139" r:id="rId11" xr:uid="{00000000-0004-0000-0000-00000A000000}"/>
    <hyperlink ref="F139" r:id="rId12" xr:uid="{00000000-0004-0000-0000-00000B000000}"/>
    <hyperlink ref="J139" r:id="rId13" xr:uid="{00000000-0004-0000-0000-00000C000000}"/>
    <hyperlink ref="N139" r:id="rId14" xr:uid="{00000000-0004-0000-0000-00000D000000}"/>
    <hyperlink ref="H139" r:id="rId15" xr:uid="{00000000-0004-0000-0000-00000E000000}"/>
    <hyperlink ref="V139" r:id="rId16" xr:uid="{00000000-0004-0000-0000-00000F000000}"/>
    <hyperlink ref="P139" r:id="rId17" xr:uid="{00000000-0004-0000-0000-000010000000}"/>
    <hyperlink ref="R139" r:id="rId18" xr:uid="{00000000-0004-0000-0000-000011000000}"/>
    <hyperlink ref="L139" r:id="rId19" xr:uid="{00000000-0004-0000-0000-000012000000}"/>
    <hyperlink ref="X139" r:id="rId20" xr:uid="{00000000-0004-0000-0000-000013000000}"/>
    <hyperlink ref="T2" r:id="rId21" xr:uid="{00000000-0004-0000-0000-000014000000}"/>
    <hyperlink ref="F2" r:id="rId22" location="algeria" xr:uid="{00000000-0004-0000-0000-000015000000}"/>
    <hyperlink ref="J2" r:id="rId23" xr:uid="{00000000-0004-0000-0000-000016000000}"/>
    <hyperlink ref="N2" r:id="rId24" location="algeria" xr:uid="{00000000-0004-0000-0000-000017000000}"/>
    <hyperlink ref="H2" r:id="rId25" xr:uid="{00000000-0004-0000-0000-000018000000}"/>
    <hyperlink ref="V2" r:id="rId26" xr:uid="{00000000-0004-0000-0000-000019000000}"/>
    <hyperlink ref="P2" r:id="rId27" xr:uid="{00000000-0004-0000-0000-00001A000000}"/>
    <hyperlink ref="R2" r:id="rId28" xr:uid="{00000000-0004-0000-0000-00001B000000}"/>
    <hyperlink ref="L2" r:id="rId29" xr:uid="{00000000-0004-0000-0000-00001C000000}"/>
    <hyperlink ref="X2" r:id="rId30" xr:uid="{00000000-0004-0000-0000-00001D000000}"/>
    <hyperlink ref="T140" r:id="rId31" xr:uid="{00000000-0004-0000-0000-00001E000000}"/>
    <hyperlink ref="F140" r:id="rId32" xr:uid="{00000000-0004-0000-0000-00001F000000}"/>
    <hyperlink ref="J140" r:id="rId33" xr:uid="{00000000-0004-0000-0000-000020000000}"/>
    <hyperlink ref="N140" r:id="rId34" xr:uid="{00000000-0004-0000-0000-000021000000}"/>
    <hyperlink ref="H140" r:id="rId35" xr:uid="{00000000-0004-0000-0000-000022000000}"/>
    <hyperlink ref="V140" r:id="rId36" xr:uid="{00000000-0004-0000-0000-000023000000}"/>
    <hyperlink ref="P140" r:id="rId37" xr:uid="{00000000-0004-0000-0000-000024000000}"/>
    <hyperlink ref="R140" r:id="rId38" xr:uid="{00000000-0004-0000-0000-000025000000}"/>
    <hyperlink ref="L140" r:id="rId39" xr:uid="{00000000-0004-0000-0000-000026000000}"/>
    <hyperlink ref="X140" r:id="rId40" xr:uid="{00000000-0004-0000-0000-000027000000}"/>
    <hyperlink ref="T40" r:id="rId41" xr:uid="{00000000-0004-0000-0000-000028000000}"/>
    <hyperlink ref="F40" r:id="rId42" xr:uid="{00000000-0004-0000-0000-000029000000}"/>
    <hyperlink ref="J40" r:id="rId43" xr:uid="{00000000-0004-0000-0000-00002A000000}"/>
    <hyperlink ref="N40" r:id="rId44" xr:uid="{00000000-0004-0000-0000-00002B000000}"/>
    <hyperlink ref="H40" r:id="rId45" xr:uid="{00000000-0004-0000-0000-00002C000000}"/>
    <hyperlink ref="V40" r:id="rId46" xr:uid="{00000000-0004-0000-0000-00002D000000}"/>
    <hyperlink ref="P40" r:id="rId47" xr:uid="{00000000-0004-0000-0000-00002E000000}"/>
    <hyperlink ref="R40" r:id="rId48" xr:uid="{00000000-0004-0000-0000-00002F000000}"/>
    <hyperlink ref="L40" r:id="rId49" xr:uid="{00000000-0004-0000-0000-000030000000}"/>
    <hyperlink ref="X40" r:id="rId50" xr:uid="{00000000-0004-0000-0000-000031000000}"/>
    <hyperlink ref="T60" r:id="rId51" xr:uid="{00000000-0004-0000-0000-000032000000}"/>
    <hyperlink ref="F60" r:id="rId52" xr:uid="{00000000-0004-0000-0000-000033000000}"/>
    <hyperlink ref="J60" r:id="rId53" xr:uid="{00000000-0004-0000-0000-000034000000}"/>
    <hyperlink ref="N60" r:id="rId54" xr:uid="{00000000-0004-0000-0000-000035000000}"/>
    <hyperlink ref="H60" r:id="rId55" xr:uid="{00000000-0004-0000-0000-000036000000}"/>
    <hyperlink ref="V60" r:id="rId56" xr:uid="{00000000-0004-0000-0000-000037000000}"/>
    <hyperlink ref="P60" r:id="rId57" xr:uid="{00000000-0004-0000-0000-000038000000}"/>
    <hyperlink ref="R60" r:id="rId58" xr:uid="{00000000-0004-0000-0000-000039000000}"/>
    <hyperlink ref="L60" r:id="rId59" xr:uid="{00000000-0004-0000-0000-00003A000000}"/>
    <hyperlink ref="X60" r:id="rId60" xr:uid="{00000000-0004-0000-0000-00003B000000}"/>
    <hyperlink ref="T76" r:id="rId61" xr:uid="{00000000-0004-0000-0000-00003C000000}"/>
    <hyperlink ref="F76" r:id="rId62" xr:uid="{00000000-0004-0000-0000-00003D000000}"/>
    <hyperlink ref="J76" r:id="rId63" xr:uid="{00000000-0004-0000-0000-00003E000000}"/>
    <hyperlink ref="N76" r:id="rId64" xr:uid="{00000000-0004-0000-0000-00003F000000}"/>
    <hyperlink ref="H76" r:id="rId65" xr:uid="{00000000-0004-0000-0000-000040000000}"/>
    <hyperlink ref="V76" r:id="rId66" xr:uid="{00000000-0004-0000-0000-000041000000}"/>
    <hyperlink ref="P76" r:id="rId67" xr:uid="{00000000-0004-0000-0000-000042000000}"/>
    <hyperlink ref="R76" r:id="rId68" xr:uid="{00000000-0004-0000-0000-000043000000}"/>
    <hyperlink ref="L76" r:id="rId69" xr:uid="{00000000-0004-0000-0000-000044000000}"/>
    <hyperlink ref="X76" r:id="rId70" xr:uid="{00000000-0004-0000-0000-000045000000}"/>
    <hyperlink ref="T108" r:id="rId71" xr:uid="{00000000-0004-0000-0000-000046000000}"/>
    <hyperlink ref="F108" r:id="rId72" xr:uid="{00000000-0004-0000-0000-000047000000}"/>
    <hyperlink ref="J108" r:id="rId73" xr:uid="{00000000-0004-0000-0000-000048000000}"/>
    <hyperlink ref="N108" r:id="rId74" xr:uid="{00000000-0004-0000-0000-000049000000}"/>
    <hyperlink ref="H108" r:id="rId75" xr:uid="{00000000-0004-0000-0000-00004A000000}"/>
    <hyperlink ref="V108" r:id="rId76" xr:uid="{00000000-0004-0000-0000-00004B000000}"/>
    <hyperlink ref="P108" r:id="rId77" xr:uid="{00000000-0004-0000-0000-00004C000000}"/>
    <hyperlink ref="R108" r:id="rId78" xr:uid="{00000000-0004-0000-0000-00004D000000}"/>
    <hyperlink ref="L108" r:id="rId79" xr:uid="{00000000-0004-0000-0000-00004E000000}"/>
    <hyperlink ref="X108" r:id="rId80" xr:uid="{00000000-0004-0000-0000-00004F000000}"/>
    <hyperlink ref="T182" r:id="rId81" xr:uid="{00000000-0004-0000-0000-000050000000}"/>
    <hyperlink ref="F182" r:id="rId82" xr:uid="{00000000-0004-0000-0000-000051000000}"/>
    <hyperlink ref="J182" r:id="rId83" xr:uid="{00000000-0004-0000-0000-000052000000}"/>
    <hyperlink ref="N182" r:id="rId84" xr:uid="{00000000-0004-0000-0000-000053000000}"/>
    <hyperlink ref="H182" r:id="rId85" xr:uid="{00000000-0004-0000-0000-000054000000}"/>
    <hyperlink ref="V182" r:id="rId86" xr:uid="{00000000-0004-0000-0000-000055000000}"/>
    <hyperlink ref="P182" r:id="rId87" xr:uid="{00000000-0004-0000-0000-000056000000}"/>
    <hyperlink ref="R182" r:id="rId88" xr:uid="{00000000-0004-0000-0000-000057000000}"/>
    <hyperlink ref="L182" r:id="rId89" xr:uid="{00000000-0004-0000-0000-000058000000}"/>
    <hyperlink ref="X182" r:id="rId90" xr:uid="{00000000-0004-0000-0000-000059000000}"/>
    <hyperlink ref="T154" r:id="rId91" xr:uid="{00000000-0004-0000-0000-00005A000000}"/>
    <hyperlink ref="F154" r:id="rId92" xr:uid="{00000000-0004-0000-0000-00005B000000}"/>
    <hyperlink ref="J154" r:id="rId93" xr:uid="{00000000-0004-0000-0000-00005C000000}"/>
    <hyperlink ref="N154" r:id="rId94" xr:uid="{00000000-0004-0000-0000-00005D000000}"/>
    <hyperlink ref="H154" r:id="rId95" xr:uid="{00000000-0004-0000-0000-00005E000000}"/>
    <hyperlink ref="V154" r:id="rId96" xr:uid="{00000000-0004-0000-0000-00005F000000}"/>
    <hyperlink ref="P154" r:id="rId97" xr:uid="{00000000-0004-0000-0000-000060000000}"/>
    <hyperlink ref="R154" r:id="rId98" xr:uid="{00000000-0004-0000-0000-000061000000}"/>
    <hyperlink ref="L154" r:id="rId99" xr:uid="{00000000-0004-0000-0000-000062000000}"/>
    <hyperlink ref="X154" r:id="rId100" xr:uid="{00000000-0004-0000-0000-000063000000}"/>
    <hyperlink ref="T109" r:id="rId101" xr:uid="{00000000-0004-0000-0000-000064000000}"/>
    <hyperlink ref="F109" r:id="rId102" xr:uid="{00000000-0004-0000-0000-000065000000}"/>
    <hyperlink ref="J109" r:id="rId103" xr:uid="{00000000-0004-0000-0000-000066000000}"/>
    <hyperlink ref="N109" r:id="rId104" xr:uid="{00000000-0004-0000-0000-000067000000}"/>
    <hyperlink ref="H109" r:id="rId105" xr:uid="{00000000-0004-0000-0000-000068000000}"/>
    <hyperlink ref="V109" r:id="rId106" xr:uid="{00000000-0004-0000-0000-000069000000}"/>
    <hyperlink ref="P109" r:id="rId107" xr:uid="{00000000-0004-0000-0000-00006A000000}"/>
    <hyperlink ref="R109" r:id="rId108" xr:uid="{00000000-0004-0000-0000-00006B000000}"/>
    <hyperlink ref="L109" r:id="rId109" xr:uid="{00000000-0004-0000-0000-00006C000000}"/>
    <hyperlink ref="X109" r:id="rId110" xr:uid="{00000000-0004-0000-0000-00006D000000}"/>
    <hyperlink ref="T61" r:id="rId111" xr:uid="{00000000-0004-0000-0000-00006E000000}"/>
    <hyperlink ref="F61" r:id="rId112" xr:uid="{00000000-0004-0000-0000-00006F000000}"/>
    <hyperlink ref="J61" r:id="rId113" xr:uid="{00000000-0004-0000-0000-000070000000}"/>
    <hyperlink ref="N61" r:id="rId114" xr:uid="{00000000-0004-0000-0000-000071000000}"/>
    <hyperlink ref="H61" r:id="rId115" xr:uid="{00000000-0004-0000-0000-000072000000}"/>
    <hyperlink ref="V61" r:id="rId116" xr:uid="{00000000-0004-0000-0000-000073000000}"/>
    <hyperlink ref="P61" r:id="rId117" xr:uid="{00000000-0004-0000-0000-000074000000}"/>
    <hyperlink ref="R61" r:id="rId118" xr:uid="{00000000-0004-0000-0000-000075000000}"/>
    <hyperlink ref="L61" r:id="rId119" xr:uid="{00000000-0004-0000-0000-000076000000}"/>
    <hyperlink ref="X61" r:id="rId120" xr:uid="{00000000-0004-0000-0000-000077000000}"/>
    <hyperlink ref="T112" r:id="rId121" xr:uid="{00000000-0004-0000-0000-000078000000}"/>
    <hyperlink ref="F112" r:id="rId122" xr:uid="{00000000-0004-0000-0000-000079000000}"/>
    <hyperlink ref="J112" r:id="rId123" xr:uid="{00000000-0004-0000-0000-00007A000000}"/>
    <hyperlink ref="N112" r:id="rId124" xr:uid="{00000000-0004-0000-0000-00007B000000}"/>
    <hyperlink ref="H112" r:id="rId125" xr:uid="{00000000-0004-0000-0000-00007C000000}"/>
    <hyperlink ref="V112" r:id="rId126" xr:uid="{00000000-0004-0000-0000-00007D000000}"/>
    <hyperlink ref="P112" r:id="rId127" xr:uid="{00000000-0004-0000-0000-00007E000000}"/>
    <hyperlink ref="R112" r:id="rId128" xr:uid="{00000000-0004-0000-0000-00007F000000}"/>
    <hyperlink ref="L112" r:id="rId129" xr:uid="{00000000-0004-0000-0000-000080000000}"/>
    <hyperlink ref="X112" r:id="rId130" xr:uid="{00000000-0004-0000-0000-000081000000}"/>
    <hyperlink ref="T121" r:id="rId131" xr:uid="{00000000-0004-0000-0000-000082000000}"/>
    <hyperlink ref="F121" r:id="rId132" xr:uid="{00000000-0004-0000-0000-000083000000}"/>
    <hyperlink ref="J121" r:id="rId133" xr:uid="{00000000-0004-0000-0000-000084000000}"/>
    <hyperlink ref="N121" r:id="rId134" xr:uid="{00000000-0004-0000-0000-000085000000}"/>
    <hyperlink ref="H121" r:id="rId135" xr:uid="{00000000-0004-0000-0000-000086000000}"/>
    <hyperlink ref="V121" r:id="rId136" xr:uid="{00000000-0004-0000-0000-000087000000}"/>
    <hyperlink ref="P121" r:id="rId137" xr:uid="{00000000-0004-0000-0000-000088000000}"/>
    <hyperlink ref="R121" r:id="rId138" xr:uid="{00000000-0004-0000-0000-000089000000}"/>
    <hyperlink ref="L121" r:id="rId139" xr:uid="{00000000-0004-0000-0000-00008A000000}"/>
    <hyperlink ref="X121" r:id="rId140" xr:uid="{00000000-0004-0000-0000-00008B000000}"/>
    <hyperlink ref="T62" r:id="rId141" xr:uid="{00000000-0004-0000-0000-00008C000000}"/>
    <hyperlink ref="F62" r:id="rId142" xr:uid="{00000000-0004-0000-0000-00008D000000}"/>
    <hyperlink ref="J62" r:id="rId143" xr:uid="{00000000-0004-0000-0000-00008E000000}"/>
    <hyperlink ref="N62" r:id="rId144" xr:uid="{00000000-0004-0000-0000-00008F000000}"/>
    <hyperlink ref="H62" r:id="rId145" xr:uid="{00000000-0004-0000-0000-000090000000}"/>
    <hyperlink ref="V62" r:id="rId146" xr:uid="{00000000-0004-0000-0000-000091000000}"/>
    <hyperlink ref="P62" r:id="rId147" xr:uid="{00000000-0004-0000-0000-000092000000}"/>
    <hyperlink ref="R62" r:id="rId148" xr:uid="{00000000-0004-0000-0000-000093000000}"/>
    <hyperlink ref="L62" r:id="rId149" xr:uid="{00000000-0004-0000-0000-000094000000}"/>
    <hyperlink ref="X62" r:id="rId150" xr:uid="{00000000-0004-0000-0000-000095000000}"/>
    <hyperlink ref="T137" r:id="rId151" xr:uid="{00000000-0004-0000-0000-000096000000}"/>
    <hyperlink ref="F137" r:id="rId152" xr:uid="{00000000-0004-0000-0000-000097000000}"/>
    <hyperlink ref="J137" r:id="rId153" xr:uid="{00000000-0004-0000-0000-000098000000}"/>
    <hyperlink ref="N137" r:id="rId154" xr:uid="{00000000-0004-0000-0000-000099000000}"/>
    <hyperlink ref="H137" r:id="rId155" xr:uid="{00000000-0004-0000-0000-00009A000000}"/>
    <hyperlink ref="V137" r:id="rId156" xr:uid="{00000000-0004-0000-0000-00009B000000}"/>
    <hyperlink ref="P137" r:id="rId157" xr:uid="{00000000-0004-0000-0000-00009C000000}"/>
    <hyperlink ref="R137" r:id="rId158" xr:uid="{00000000-0004-0000-0000-00009D000000}"/>
    <hyperlink ref="L137" r:id="rId159" xr:uid="{00000000-0004-0000-0000-00009E000000}"/>
    <hyperlink ref="X137" r:id="rId160" xr:uid="{00000000-0004-0000-0000-00009F000000}"/>
    <hyperlink ref="T155" r:id="rId161" xr:uid="{00000000-0004-0000-0000-0000A0000000}"/>
    <hyperlink ref="F155" r:id="rId162" xr:uid="{00000000-0004-0000-0000-0000A1000000}"/>
    <hyperlink ref="J155" r:id="rId163" xr:uid="{00000000-0004-0000-0000-0000A2000000}"/>
    <hyperlink ref="N155" r:id="rId164" xr:uid="{00000000-0004-0000-0000-0000A3000000}"/>
    <hyperlink ref="H155" r:id="rId165" xr:uid="{00000000-0004-0000-0000-0000A4000000}"/>
    <hyperlink ref="V155" r:id="rId166" xr:uid="{00000000-0004-0000-0000-0000A5000000}"/>
    <hyperlink ref="P155" r:id="rId167" xr:uid="{00000000-0004-0000-0000-0000A6000000}"/>
    <hyperlink ref="R155" r:id="rId168" xr:uid="{00000000-0004-0000-0000-0000A7000000}"/>
    <hyperlink ref="L155" r:id="rId169" xr:uid="{00000000-0004-0000-0000-0000A8000000}"/>
    <hyperlink ref="X155" r:id="rId170" xr:uid="{00000000-0004-0000-0000-0000A9000000}"/>
    <hyperlink ref="T63" r:id="rId171" xr:uid="{00000000-0004-0000-0000-0000AA000000}"/>
    <hyperlink ref="F63" r:id="rId172" xr:uid="{00000000-0004-0000-0000-0000AB000000}"/>
    <hyperlink ref="J63" r:id="rId173" xr:uid="{00000000-0004-0000-0000-0000AC000000}"/>
    <hyperlink ref="N63" r:id="rId174" xr:uid="{00000000-0004-0000-0000-0000AD000000}"/>
    <hyperlink ref="H63" r:id="rId175" xr:uid="{00000000-0004-0000-0000-0000AE000000}"/>
    <hyperlink ref="V63" r:id="rId176" xr:uid="{00000000-0004-0000-0000-0000AF000000}"/>
    <hyperlink ref="P63" r:id="rId177" xr:uid="{00000000-0004-0000-0000-0000B0000000}"/>
    <hyperlink ref="R63" r:id="rId178" xr:uid="{00000000-0004-0000-0000-0000B1000000}"/>
    <hyperlink ref="L63" r:id="rId179" xr:uid="{00000000-0004-0000-0000-0000B2000000}"/>
    <hyperlink ref="X63" r:id="rId180" xr:uid="{00000000-0004-0000-0000-0000B3000000}"/>
    <hyperlink ref="T19" r:id="rId181" xr:uid="{00000000-0004-0000-0000-0000B4000000}"/>
    <hyperlink ref="F19" r:id="rId182" xr:uid="{00000000-0004-0000-0000-0000B5000000}"/>
    <hyperlink ref="J19" r:id="rId183" xr:uid="{00000000-0004-0000-0000-0000B6000000}"/>
    <hyperlink ref="N19" r:id="rId184" xr:uid="{00000000-0004-0000-0000-0000B7000000}"/>
    <hyperlink ref="H19" r:id="rId185" xr:uid="{00000000-0004-0000-0000-0000B8000000}"/>
    <hyperlink ref="V19" r:id="rId186" xr:uid="{00000000-0004-0000-0000-0000B9000000}"/>
    <hyperlink ref="P19" r:id="rId187" xr:uid="{00000000-0004-0000-0000-0000BA000000}"/>
    <hyperlink ref="R19" r:id="rId188" xr:uid="{00000000-0004-0000-0000-0000BB000000}"/>
    <hyperlink ref="L19" r:id="rId189" xr:uid="{00000000-0004-0000-0000-0000BC000000}"/>
    <hyperlink ref="X19" r:id="rId190" xr:uid="{00000000-0004-0000-0000-0000BD000000}"/>
    <hyperlink ref="T122" r:id="rId191" xr:uid="{00000000-0004-0000-0000-0000BE000000}"/>
    <hyperlink ref="F122" r:id="rId192" xr:uid="{00000000-0004-0000-0000-0000BF000000}"/>
    <hyperlink ref="J122" r:id="rId193" xr:uid="{00000000-0004-0000-0000-0000C0000000}"/>
    <hyperlink ref="N122" r:id="rId194" xr:uid="{00000000-0004-0000-0000-0000C1000000}"/>
    <hyperlink ref="H122" r:id="rId195" xr:uid="{00000000-0004-0000-0000-0000C2000000}"/>
    <hyperlink ref="V122" r:id="rId196" xr:uid="{00000000-0004-0000-0000-0000C3000000}"/>
    <hyperlink ref="P122" r:id="rId197" xr:uid="{00000000-0004-0000-0000-0000C4000000}"/>
    <hyperlink ref="R122" r:id="rId198" xr:uid="{00000000-0004-0000-0000-0000C5000000}"/>
    <hyperlink ref="L122" r:id="rId199" xr:uid="{00000000-0004-0000-0000-0000C6000000}"/>
    <hyperlink ref="X122" r:id="rId200" xr:uid="{00000000-0004-0000-0000-0000C7000000}"/>
    <hyperlink ref="T56" r:id="rId201" xr:uid="{00000000-0004-0000-0000-0000C8000000}"/>
    <hyperlink ref="F56" r:id="rId202" xr:uid="{00000000-0004-0000-0000-0000C9000000}"/>
    <hyperlink ref="J56" r:id="rId203" xr:uid="{00000000-0004-0000-0000-0000CA000000}"/>
    <hyperlink ref="N56" r:id="rId204" xr:uid="{00000000-0004-0000-0000-0000CB000000}"/>
    <hyperlink ref="H56" r:id="rId205" xr:uid="{00000000-0004-0000-0000-0000CC000000}"/>
    <hyperlink ref="V56" r:id="rId206" xr:uid="{00000000-0004-0000-0000-0000CD000000}"/>
    <hyperlink ref="P56" r:id="rId207" xr:uid="{00000000-0004-0000-0000-0000CE000000}"/>
    <hyperlink ref="R56" r:id="rId208" xr:uid="{00000000-0004-0000-0000-0000CF000000}"/>
    <hyperlink ref="L56" r:id="rId209" xr:uid="{00000000-0004-0000-0000-0000D0000000}"/>
    <hyperlink ref="X56" r:id="rId210" xr:uid="{00000000-0004-0000-0000-0000D1000000}"/>
    <hyperlink ref="T141" r:id="rId211" xr:uid="{00000000-0004-0000-0000-0000D2000000}"/>
    <hyperlink ref="F141" r:id="rId212" xr:uid="{00000000-0004-0000-0000-0000D3000000}"/>
    <hyperlink ref="J141" r:id="rId213" xr:uid="{00000000-0004-0000-0000-0000D4000000}"/>
    <hyperlink ref="N141" r:id="rId214" xr:uid="{00000000-0004-0000-0000-0000D5000000}"/>
    <hyperlink ref="H141" r:id="rId215" xr:uid="{00000000-0004-0000-0000-0000D6000000}"/>
    <hyperlink ref="V141" r:id="rId216" xr:uid="{00000000-0004-0000-0000-0000D7000000}"/>
    <hyperlink ref="P141" r:id="rId217" xr:uid="{00000000-0004-0000-0000-0000D8000000}"/>
    <hyperlink ref="R141" r:id="rId218" xr:uid="{00000000-0004-0000-0000-0000D9000000}"/>
    <hyperlink ref="L141" r:id="rId219" xr:uid="{00000000-0004-0000-0000-0000DA000000}"/>
    <hyperlink ref="X141" r:id="rId220" xr:uid="{00000000-0004-0000-0000-0000DB000000}"/>
    <hyperlink ref="T41" r:id="rId221" xr:uid="{00000000-0004-0000-0000-0000DC000000}"/>
    <hyperlink ref="F41" r:id="rId222" xr:uid="{00000000-0004-0000-0000-0000DD000000}"/>
    <hyperlink ref="J41" r:id="rId223" xr:uid="{00000000-0004-0000-0000-0000DE000000}"/>
    <hyperlink ref="N41" r:id="rId224" xr:uid="{00000000-0004-0000-0000-0000DF000000}"/>
    <hyperlink ref="H41" r:id="rId225" xr:uid="{00000000-0004-0000-0000-0000E0000000}"/>
    <hyperlink ref="V41" r:id="rId226" xr:uid="{00000000-0004-0000-0000-0000E1000000}"/>
    <hyperlink ref="P41" r:id="rId227" xr:uid="{00000000-0004-0000-0000-0000E2000000}"/>
    <hyperlink ref="R41" r:id="rId228" xr:uid="{00000000-0004-0000-0000-0000E3000000}"/>
    <hyperlink ref="L41" r:id="rId229" xr:uid="{00000000-0004-0000-0000-0000E4000000}"/>
    <hyperlink ref="X41" r:id="rId230" xr:uid="{00000000-0004-0000-0000-0000E5000000}"/>
    <hyperlink ref="T77" r:id="rId231" xr:uid="{00000000-0004-0000-0000-0000E6000000}"/>
    <hyperlink ref="F77" r:id="rId232" xr:uid="{00000000-0004-0000-0000-0000E7000000}"/>
    <hyperlink ref="J77" r:id="rId233" xr:uid="{00000000-0004-0000-0000-0000E8000000}"/>
    <hyperlink ref="N77" r:id="rId234" xr:uid="{00000000-0004-0000-0000-0000E9000000}"/>
    <hyperlink ref="H77" r:id="rId235" xr:uid="{00000000-0004-0000-0000-0000EA000000}"/>
    <hyperlink ref="V77" r:id="rId236" xr:uid="{00000000-0004-0000-0000-0000EB000000}"/>
    <hyperlink ref="P77" r:id="rId237" xr:uid="{00000000-0004-0000-0000-0000EC000000}"/>
    <hyperlink ref="R77" r:id="rId238" xr:uid="{00000000-0004-0000-0000-0000ED000000}"/>
    <hyperlink ref="L77" r:id="rId239" xr:uid="{00000000-0004-0000-0000-0000EE000000}"/>
    <hyperlink ref="X77" r:id="rId240" xr:uid="{00000000-0004-0000-0000-0000EF000000}"/>
    <hyperlink ref="T97" r:id="rId241" xr:uid="{00000000-0004-0000-0000-0000F0000000}"/>
    <hyperlink ref="F97" r:id="rId242" xr:uid="{00000000-0004-0000-0000-0000F1000000}"/>
    <hyperlink ref="J97" r:id="rId243" xr:uid="{00000000-0004-0000-0000-0000F2000000}"/>
    <hyperlink ref="N97" r:id="rId244" xr:uid="{00000000-0004-0000-0000-0000F3000000}"/>
    <hyperlink ref="H97" r:id="rId245" xr:uid="{00000000-0004-0000-0000-0000F4000000}"/>
    <hyperlink ref="V97" r:id="rId246" xr:uid="{00000000-0004-0000-0000-0000F5000000}"/>
    <hyperlink ref="P97" r:id="rId247" xr:uid="{00000000-0004-0000-0000-0000F6000000}"/>
    <hyperlink ref="R97" r:id="rId248" xr:uid="{00000000-0004-0000-0000-0000F7000000}"/>
    <hyperlink ref="L97" r:id="rId249" xr:uid="{00000000-0004-0000-0000-0000F8000000}"/>
    <hyperlink ref="X97" r:id="rId250" xr:uid="{00000000-0004-0000-0000-0000F9000000}"/>
    <hyperlink ref="T156" r:id="rId251" xr:uid="{00000000-0004-0000-0000-0000FA000000}"/>
    <hyperlink ref="F156" r:id="rId252" xr:uid="{00000000-0004-0000-0000-0000FB000000}"/>
    <hyperlink ref="J156" r:id="rId253" xr:uid="{00000000-0004-0000-0000-0000FC000000}"/>
    <hyperlink ref="N156" r:id="rId254" xr:uid="{00000000-0004-0000-0000-0000FD000000}"/>
    <hyperlink ref="H156" r:id="rId255" xr:uid="{00000000-0004-0000-0000-0000FE000000}"/>
    <hyperlink ref="V156" r:id="rId256" xr:uid="{00000000-0004-0000-0000-0000FF000000}"/>
    <hyperlink ref="P156" r:id="rId257" xr:uid="{00000000-0004-0000-0000-000000010000}"/>
    <hyperlink ref="R156" r:id="rId258" xr:uid="{00000000-0004-0000-0000-000001010000}"/>
    <hyperlink ref="L156" r:id="rId259" xr:uid="{00000000-0004-0000-0000-000002010000}"/>
    <hyperlink ref="X156" r:id="rId260" xr:uid="{00000000-0004-0000-0000-000003010000}"/>
    <hyperlink ref="T20" r:id="rId261" xr:uid="{00000000-0004-0000-0000-000004010000}"/>
    <hyperlink ref="F20" r:id="rId262" xr:uid="{00000000-0004-0000-0000-000005010000}"/>
    <hyperlink ref="J20" r:id="rId263" xr:uid="{00000000-0004-0000-0000-000006010000}"/>
    <hyperlink ref="N20" r:id="rId264" xr:uid="{00000000-0004-0000-0000-000007010000}"/>
    <hyperlink ref="H20" r:id="rId265" xr:uid="{00000000-0004-0000-0000-000008010000}"/>
    <hyperlink ref="V20" r:id="rId266" xr:uid="{00000000-0004-0000-0000-000009010000}"/>
    <hyperlink ref="P20" r:id="rId267" xr:uid="{00000000-0004-0000-0000-00000A010000}"/>
    <hyperlink ref="R20" r:id="rId268" xr:uid="{00000000-0004-0000-0000-00000B010000}"/>
    <hyperlink ref="L20" r:id="rId269" xr:uid="{00000000-0004-0000-0000-00000C010000}"/>
    <hyperlink ref="X20" r:id="rId270" xr:uid="{00000000-0004-0000-0000-00000D010000}"/>
    <hyperlink ref="T8" r:id="rId271" xr:uid="{00000000-0004-0000-0000-00000E010000}"/>
    <hyperlink ref="F8" r:id="rId272" xr:uid="{00000000-0004-0000-0000-00000F010000}"/>
    <hyperlink ref="J8" r:id="rId273" xr:uid="{00000000-0004-0000-0000-000010010000}"/>
    <hyperlink ref="N8" r:id="rId274" xr:uid="{00000000-0004-0000-0000-000011010000}"/>
    <hyperlink ref="H8" r:id="rId275" xr:uid="{00000000-0004-0000-0000-000012010000}"/>
    <hyperlink ref="V8" r:id="rId276" xr:uid="{00000000-0004-0000-0000-000013010000}"/>
    <hyperlink ref="P8" r:id="rId277" xr:uid="{00000000-0004-0000-0000-000014010000}"/>
    <hyperlink ref="R8" r:id="rId278" xr:uid="{00000000-0004-0000-0000-000015010000}"/>
    <hyperlink ref="L8" r:id="rId279" xr:uid="{00000000-0004-0000-0000-000016010000}"/>
    <hyperlink ref="X8" r:id="rId280" xr:uid="{00000000-0004-0000-0000-000017010000}"/>
    <hyperlink ref="T21" r:id="rId281" xr:uid="{00000000-0004-0000-0000-000018010000}"/>
    <hyperlink ref="F21" r:id="rId282" xr:uid="{00000000-0004-0000-0000-000019010000}"/>
    <hyperlink ref="J21" r:id="rId283" xr:uid="{00000000-0004-0000-0000-00001A010000}"/>
    <hyperlink ref="N21" r:id="rId284" xr:uid="{00000000-0004-0000-0000-00001B010000}"/>
    <hyperlink ref="H21" r:id="rId285" xr:uid="{00000000-0004-0000-0000-00001C010000}"/>
    <hyperlink ref="V21" r:id="rId286" xr:uid="{00000000-0004-0000-0000-00001D010000}"/>
    <hyperlink ref="P21" r:id="rId287" xr:uid="{00000000-0004-0000-0000-00001E010000}"/>
    <hyperlink ref="R21" r:id="rId288" xr:uid="{00000000-0004-0000-0000-00001F010000}"/>
    <hyperlink ref="L21" r:id="rId289" xr:uid="{00000000-0004-0000-0000-000020010000}"/>
    <hyperlink ref="X21" r:id="rId290" xr:uid="{00000000-0004-0000-0000-000021010000}"/>
    <hyperlink ref="T98" r:id="rId291" xr:uid="{00000000-0004-0000-0000-000022010000}"/>
    <hyperlink ref="F98" r:id="rId292" xr:uid="{00000000-0004-0000-0000-000023010000}"/>
    <hyperlink ref="J98" r:id="rId293" xr:uid="{00000000-0004-0000-0000-000024010000}"/>
    <hyperlink ref="N98" r:id="rId294" xr:uid="{00000000-0004-0000-0000-000025010000}"/>
    <hyperlink ref="H98" r:id="rId295" xr:uid="{00000000-0004-0000-0000-000026010000}"/>
    <hyperlink ref="V98" r:id="rId296" xr:uid="{00000000-0004-0000-0000-000027010000}"/>
    <hyperlink ref="P98" r:id="rId297" xr:uid="{00000000-0004-0000-0000-000028010000}"/>
    <hyperlink ref="R98" r:id="rId298" xr:uid="{00000000-0004-0000-0000-000029010000}"/>
    <hyperlink ref="L98" r:id="rId299" xr:uid="{00000000-0004-0000-0000-00002A010000}"/>
    <hyperlink ref="X98" r:id="rId300" xr:uid="{00000000-0004-0000-0000-00002B010000}"/>
    <hyperlink ref="T12" r:id="rId301" xr:uid="{00000000-0004-0000-0000-00002C010000}"/>
    <hyperlink ref="F12" r:id="rId302" xr:uid="{00000000-0004-0000-0000-00002D010000}"/>
    <hyperlink ref="J12" r:id="rId303" xr:uid="{00000000-0004-0000-0000-00002E010000}"/>
    <hyperlink ref="N12" r:id="rId304" xr:uid="{00000000-0004-0000-0000-00002F010000}"/>
    <hyperlink ref="H12" r:id="rId305" xr:uid="{00000000-0004-0000-0000-000030010000}"/>
    <hyperlink ref="V12" r:id="rId306" xr:uid="{00000000-0004-0000-0000-000031010000}"/>
    <hyperlink ref="P12" r:id="rId307" xr:uid="{00000000-0004-0000-0000-000032010000}"/>
    <hyperlink ref="R12" r:id="rId308" xr:uid="{00000000-0004-0000-0000-000033010000}"/>
    <hyperlink ref="L12" r:id="rId309" xr:uid="{00000000-0004-0000-0000-000034010000}"/>
    <hyperlink ref="X12" r:id="rId310" xr:uid="{00000000-0004-0000-0000-000035010000}"/>
    <hyperlink ref="T88" r:id="rId311" xr:uid="{00000000-0004-0000-0000-000036010000}"/>
    <hyperlink ref="F88" r:id="rId312" xr:uid="{00000000-0004-0000-0000-000037010000}"/>
    <hyperlink ref="J88" r:id="rId313" xr:uid="{00000000-0004-0000-0000-000038010000}"/>
    <hyperlink ref="N88" r:id="rId314" xr:uid="{00000000-0004-0000-0000-000039010000}"/>
    <hyperlink ref="H88" r:id="rId315" xr:uid="{00000000-0004-0000-0000-00003A010000}"/>
    <hyperlink ref="V88" r:id="rId316" xr:uid="{00000000-0004-0000-0000-00003B010000}"/>
    <hyperlink ref="P88" r:id="rId317" xr:uid="{00000000-0004-0000-0000-00003C010000}"/>
    <hyperlink ref="R88" r:id="rId318" xr:uid="{00000000-0004-0000-0000-00003D010000}"/>
    <hyperlink ref="L88" r:id="rId319" xr:uid="{00000000-0004-0000-0000-00003E010000}"/>
    <hyperlink ref="X88" r:id="rId320" xr:uid="{00000000-0004-0000-0000-00003F010000}"/>
    <hyperlink ref="T13" r:id="rId321" xr:uid="{00000000-0004-0000-0000-000040010000}"/>
    <hyperlink ref="F13" r:id="rId322" xr:uid="{00000000-0004-0000-0000-000041010000}"/>
    <hyperlink ref="J13" r:id="rId323" xr:uid="{00000000-0004-0000-0000-000042010000}"/>
    <hyperlink ref="N13" r:id="rId324" xr:uid="{00000000-0004-0000-0000-000043010000}"/>
    <hyperlink ref="H13" r:id="rId325" xr:uid="{00000000-0004-0000-0000-000044010000}"/>
    <hyperlink ref="V13" r:id="rId326" xr:uid="{00000000-0004-0000-0000-000045010000}"/>
    <hyperlink ref="P13" r:id="rId327" xr:uid="{00000000-0004-0000-0000-000046010000}"/>
    <hyperlink ref="R13" r:id="rId328" xr:uid="{00000000-0004-0000-0000-000047010000}"/>
    <hyperlink ref="L13" r:id="rId329" xr:uid="{00000000-0004-0000-0000-000048010000}"/>
    <hyperlink ref="X13" r:id="rId330" xr:uid="{00000000-0004-0000-0000-000049010000}"/>
    <hyperlink ref="T14" r:id="rId331" xr:uid="{00000000-0004-0000-0000-00004A010000}"/>
    <hyperlink ref="F14" r:id="rId332" xr:uid="{00000000-0004-0000-0000-00004B010000}"/>
    <hyperlink ref="J14" r:id="rId333" xr:uid="{00000000-0004-0000-0000-00004C010000}"/>
    <hyperlink ref="N14" r:id="rId334" xr:uid="{00000000-0004-0000-0000-00004D010000}"/>
    <hyperlink ref="H14" r:id="rId335" xr:uid="{00000000-0004-0000-0000-00004E010000}"/>
    <hyperlink ref="V14" r:id="rId336" xr:uid="{00000000-0004-0000-0000-00004F010000}"/>
    <hyperlink ref="P14" r:id="rId337" xr:uid="{00000000-0004-0000-0000-000050010000}"/>
    <hyperlink ref="R14" r:id="rId338" xr:uid="{00000000-0004-0000-0000-000051010000}"/>
    <hyperlink ref="L14" r:id="rId339" xr:uid="{00000000-0004-0000-0000-000052010000}"/>
    <hyperlink ref="X14" r:id="rId340" xr:uid="{00000000-0004-0000-0000-000053010000}"/>
    <hyperlink ref="T80" r:id="rId341" xr:uid="{00000000-0004-0000-0000-000054010000}"/>
    <hyperlink ref="F80" r:id="rId342" xr:uid="{00000000-0004-0000-0000-000055010000}"/>
    <hyperlink ref="J80" r:id="rId343" xr:uid="{00000000-0004-0000-0000-000056010000}"/>
    <hyperlink ref="N80" r:id="rId344" xr:uid="{00000000-0004-0000-0000-000057010000}"/>
    <hyperlink ref="H80" r:id="rId345" xr:uid="{00000000-0004-0000-0000-000058010000}"/>
    <hyperlink ref="V80" r:id="rId346" xr:uid="{00000000-0004-0000-0000-000059010000}"/>
    <hyperlink ref="P80" r:id="rId347" xr:uid="{00000000-0004-0000-0000-00005A010000}"/>
    <hyperlink ref="R80" r:id="rId348" xr:uid="{00000000-0004-0000-0000-00005B010000}"/>
    <hyperlink ref="L80" r:id="rId349" xr:uid="{00000000-0004-0000-0000-00005C010000}"/>
    <hyperlink ref="X80" r:id="rId350" xr:uid="{00000000-0004-0000-0000-00005D010000}"/>
    <hyperlink ref="T128" r:id="rId351" xr:uid="{00000000-0004-0000-0000-00005E010000}"/>
    <hyperlink ref="F128" r:id="rId352" xr:uid="{00000000-0004-0000-0000-00005F010000}"/>
    <hyperlink ref="J128" r:id="rId353" xr:uid="{00000000-0004-0000-0000-000060010000}"/>
    <hyperlink ref="N128" r:id="rId354" xr:uid="{00000000-0004-0000-0000-000061010000}"/>
    <hyperlink ref="H128" r:id="rId355" xr:uid="{00000000-0004-0000-0000-000062010000}"/>
    <hyperlink ref="V128" r:id="rId356" xr:uid="{00000000-0004-0000-0000-000063010000}"/>
    <hyperlink ref="P128" r:id="rId357" xr:uid="{00000000-0004-0000-0000-000064010000}"/>
    <hyperlink ref="R128" r:id="rId358" xr:uid="{00000000-0004-0000-0000-000065010000}"/>
    <hyperlink ref="L128" r:id="rId359" xr:uid="{00000000-0004-0000-0000-000066010000}"/>
    <hyperlink ref="X128" r:id="rId360" xr:uid="{00000000-0004-0000-0000-000067010000}"/>
    <hyperlink ref="T81" r:id="rId361" xr:uid="{00000000-0004-0000-0000-000068010000}"/>
    <hyperlink ref="F81" r:id="rId362" xr:uid="{00000000-0004-0000-0000-000069010000}"/>
    <hyperlink ref="J81" r:id="rId363" xr:uid="{00000000-0004-0000-0000-00006A010000}"/>
    <hyperlink ref="N81" r:id="rId364" xr:uid="{00000000-0004-0000-0000-00006B010000}"/>
    <hyperlink ref="H81" r:id="rId365" xr:uid="{00000000-0004-0000-0000-00006C010000}"/>
    <hyperlink ref="V81" r:id="rId366" xr:uid="{00000000-0004-0000-0000-00006D010000}"/>
    <hyperlink ref="P81" r:id="rId367" xr:uid="{00000000-0004-0000-0000-00006E010000}"/>
    <hyperlink ref="R81" r:id="rId368" xr:uid="{00000000-0004-0000-0000-00006F010000}"/>
    <hyperlink ref="L81" r:id="rId369" xr:uid="{00000000-0004-0000-0000-000070010000}"/>
    <hyperlink ref="X81" r:id="rId370" xr:uid="{00000000-0004-0000-0000-000071010000}"/>
    <hyperlink ref="T42" r:id="rId371" xr:uid="{00000000-0004-0000-0000-000072010000}"/>
    <hyperlink ref="F42" r:id="rId372" xr:uid="{00000000-0004-0000-0000-000073010000}"/>
    <hyperlink ref="J42" r:id="rId373" xr:uid="{00000000-0004-0000-0000-000074010000}"/>
    <hyperlink ref="N42" r:id="rId374" xr:uid="{00000000-0004-0000-0000-000075010000}"/>
    <hyperlink ref="H42" r:id="rId375" xr:uid="{00000000-0004-0000-0000-000076010000}"/>
    <hyperlink ref="V42" r:id="rId376" xr:uid="{00000000-0004-0000-0000-000077010000}"/>
    <hyperlink ref="P42" r:id="rId377" xr:uid="{00000000-0004-0000-0000-000078010000}"/>
    <hyperlink ref="R42" r:id="rId378" xr:uid="{00000000-0004-0000-0000-000079010000}"/>
    <hyperlink ref="L42" r:id="rId379" xr:uid="{00000000-0004-0000-0000-00007A010000}"/>
    <hyperlink ref="X42" r:id="rId380" xr:uid="{00000000-0004-0000-0000-00007B010000}"/>
    <hyperlink ref="T15" r:id="rId381" xr:uid="{00000000-0004-0000-0000-00007C010000}"/>
    <hyperlink ref="F15" r:id="rId382" xr:uid="{00000000-0004-0000-0000-00007D010000}"/>
    <hyperlink ref="J15" r:id="rId383" xr:uid="{00000000-0004-0000-0000-00007E010000}"/>
    <hyperlink ref="N15" r:id="rId384" xr:uid="{00000000-0004-0000-0000-00007F010000}"/>
    <hyperlink ref="H15" r:id="rId385" xr:uid="{00000000-0004-0000-0000-000080010000}"/>
    <hyperlink ref="V15" r:id="rId386" xr:uid="{00000000-0004-0000-0000-000081010000}"/>
    <hyperlink ref="P15" r:id="rId387" xr:uid="{00000000-0004-0000-0000-000082010000}"/>
    <hyperlink ref="R15" r:id="rId388" xr:uid="{00000000-0004-0000-0000-000083010000}"/>
    <hyperlink ref="L15" r:id="rId389" xr:uid="{00000000-0004-0000-0000-000084010000}"/>
    <hyperlink ref="X15" r:id="rId390" xr:uid="{00000000-0004-0000-0000-000085010000}"/>
    <hyperlink ref="T82" r:id="rId391" xr:uid="{00000000-0004-0000-0000-000086010000}"/>
    <hyperlink ref="F82" r:id="rId392" xr:uid="{00000000-0004-0000-0000-000087010000}"/>
    <hyperlink ref="J82" r:id="rId393" xr:uid="{00000000-0004-0000-0000-000088010000}"/>
    <hyperlink ref="N82" r:id="rId394" xr:uid="{00000000-0004-0000-0000-000089010000}"/>
    <hyperlink ref="H82" r:id="rId395" xr:uid="{00000000-0004-0000-0000-00008A010000}"/>
    <hyperlink ref="V82" r:id="rId396" xr:uid="{00000000-0004-0000-0000-00008B010000}"/>
    <hyperlink ref="P82" r:id="rId397" xr:uid="{00000000-0004-0000-0000-00008C010000}"/>
    <hyperlink ref="R82" r:id="rId398" xr:uid="{00000000-0004-0000-0000-00008D010000}"/>
    <hyperlink ref="L82" r:id="rId399" xr:uid="{00000000-0004-0000-0000-00008E010000}"/>
    <hyperlink ref="X82" r:id="rId400" xr:uid="{00000000-0004-0000-0000-00008F010000}"/>
    <hyperlink ref="T157" r:id="rId401" xr:uid="{00000000-0004-0000-0000-000090010000}"/>
    <hyperlink ref="F157" r:id="rId402" xr:uid="{00000000-0004-0000-0000-000091010000}"/>
    <hyperlink ref="J157" r:id="rId403" xr:uid="{00000000-0004-0000-0000-000092010000}"/>
    <hyperlink ref="N157" r:id="rId404" xr:uid="{00000000-0004-0000-0000-000093010000}"/>
    <hyperlink ref="H157" r:id="rId405" xr:uid="{00000000-0004-0000-0000-000094010000}"/>
    <hyperlink ref="V157" r:id="rId406" xr:uid="{00000000-0004-0000-0000-000095010000}"/>
    <hyperlink ref="P157" r:id="rId407" xr:uid="{00000000-0004-0000-0000-000096010000}"/>
    <hyperlink ref="R157" r:id="rId408" xr:uid="{00000000-0004-0000-0000-000097010000}"/>
    <hyperlink ref="L157" r:id="rId409" xr:uid="{00000000-0004-0000-0000-000098010000}"/>
    <hyperlink ref="X157" r:id="rId410" xr:uid="{00000000-0004-0000-0000-000099010000}"/>
    <hyperlink ref="T64" r:id="rId411" xr:uid="{00000000-0004-0000-0000-00009A010000}"/>
    <hyperlink ref="F64" r:id="rId412" xr:uid="{00000000-0004-0000-0000-00009B010000}"/>
    <hyperlink ref="J64" r:id="rId413" xr:uid="{00000000-0004-0000-0000-00009C010000}"/>
    <hyperlink ref="N64" r:id="rId414" xr:uid="{00000000-0004-0000-0000-00009D010000}"/>
    <hyperlink ref="H64" r:id="rId415" xr:uid="{00000000-0004-0000-0000-00009E010000}"/>
    <hyperlink ref="V64" r:id="rId416" xr:uid="{00000000-0004-0000-0000-00009F010000}"/>
    <hyperlink ref="P64" r:id="rId417" xr:uid="{00000000-0004-0000-0000-0000A0010000}"/>
    <hyperlink ref="R64" r:id="rId418" xr:uid="{00000000-0004-0000-0000-0000A1010000}"/>
    <hyperlink ref="L64" r:id="rId419" xr:uid="{00000000-0004-0000-0000-0000A2010000}"/>
    <hyperlink ref="X64" r:id="rId420" xr:uid="{00000000-0004-0000-0000-0000A3010000}"/>
    <hyperlink ref="T158" r:id="rId421" xr:uid="{00000000-0004-0000-0000-0000A4010000}"/>
    <hyperlink ref="F158" r:id="rId422" xr:uid="{00000000-0004-0000-0000-0000A5010000}"/>
    <hyperlink ref="J158" r:id="rId423" xr:uid="{00000000-0004-0000-0000-0000A6010000}"/>
    <hyperlink ref="N158" r:id="rId424" xr:uid="{00000000-0004-0000-0000-0000A7010000}"/>
    <hyperlink ref="H158" r:id="rId425" xr:uid="{00000000-0004-0000-0000-0000A8010000}"/>
    <hyperlink ref="V158" r:id="rId426" xr:uid="{00000000-0004-0000-0000-0000A9010000}"/>
    <hyperlink ref="P158" r:id="rId427" xr:uid="{00000000-0004-0000-0000-0000AA010000}"/>
    <hyperlink ref="R158" r:id="rId428" xr:uid="{00000000-0004-0000-0000-0000AB010000}"/>
    <hyperlink ref="L158" r:id="rId429" xr:uid="{00000000-0004-0000-0000-0000AC010000}"/>
    <hyperlink ref="X158" r:id="rId430" xr:uid="{00000000-0004-0000-0000-0000AD010000}"/>
    <hyperlink ref="T159" r:id="rId431" xr:uid="{00000000-0004-0000-0000-0000AE010000}"/>
    <hyperlink ref="F159" r:id="rId432" xr:uid="{00000000-0004-0000-0000-0000AF010000}"/>
    <hyperlink ref="J159" r:id="rId433" xr:uid="{00000000-0004-0000-0000-0000B0010000}"/>
    <hyperlink ref="N159" r:id="rId434" xr:uid="{00000000-0004-0000-0000-0000B1010000}"/>
    <hyperlink ref="H159" r:id="rId435" xr:uid="{00000000-0004-0000-0000-0000B2010000}"/>
    <hyperlink ref="V159" r:id="rId436" xr:uid="{00000000-0004-0000-0000-0000B3010000}"/>
    <hyperlink ref="P159" r:id="rId437" xr:uid="{00000000-0004-0000-0000-0000B4010000}"/>
    <hyperlink ref="R159" r:id="rId438" xr:uid="{00000000-0004-0000-0000-0000B5010000}"/>
    <hyperlink ref="L159" r:id="rId439" xr:uid="{00000000-0004-0000-0000-0000B6010000}"/>
    <hyperlink ref="X159" r:id="rId440" xr:uid="{00000000-0004-0000-0000-0000B7010000}"/>
    <hyperlink ref="T22" r:id="rId441" xr:uid="{00000000-0004-0000-0000-0000B8010000}"/>
    <hyperlink ref="F22" r:id="rId442" xr:uid="{00000000-0004-0000-0000-0000B9010000}"/>
    <hyperlink ref="J22" r:id="rId443" xr:uid="{00000000-0004-0000-0000-0000BA010000}"/>
    <hyperlink ref="N22" r:id="rId444" xr:uid="{00000000-0004-0000-0000-0000BB010000}"/>
    <hyperlink ref="H22" r:id="rId445" xr:uid="{00000000-0004-0000-0000-0000BC010000}"/>
    <hyperlink ref="V22" r:id="rId446" xr:uid="{00000000-0004-0000-0000-0000BD010000}"/>
    <hyperlink ref="P22" r:id="rId447" xr:uid="{00000000-0004-0000-0000-0000BE010000}"/>
    <hyperlink ref="R22" r:id="rId448" xr:uid="{00000000-0004-0000-0000-0000BF010000}"/>
    <hyperlink ref="L22" r:id="rId449" xr:uid="{00000000-0004-0000-0000-0000C0010000}"/>
    <hyperlink ref="X22" r:id="rId450" xr:uid="{00000000-0004-0000-0000-0000C1010000}"/>
    <hyperlink ref="T129" r:id="rId451" xr:uid="{00000000-0004-0000-0000-0000C2010000}"/>
    <hyperlink ref="F129" r:id="rId452" xr:uid="{00000000-0004-0000-0000-0000C3010000}"/>
    <hyperlink ref="J129" r:id="rId453" xr:uid="{00000000-0004-0000-0000-0000C4010000}"/>
    <hyperlink ref="N129" r:id="rId454" xr:uid="{00000000-0004-0000-0000-0000C5010000}"/>
    <hyperlink ref="H129" r:id="rId455" xr:uid="{00000000-0004-0000-0000-0000C6010000}"/>
    <hyperlink ref="V129" r:id="rId456" xr:uid="{00000000-0004-0000-0000-0000C7010000}"/>
    <hyperlink ref="P129" r:id="rId457" xr:uid="{00000000-0004-0000-0000-0000C8010000}"/>
    <hyperlink ref="R129" r:id="rId458" xr:uid="{00000000-0004-0000-0000-0000C9010000}"/>
    <hyperlink ref="L129" r:id="rId459" xr:uid="{00000000-0004-0000-0000-0000CA010000}"/>
    <hyperlink ref="X129" r:id="rId460" xr:uid="{00000000-0004-0000-0000-0000CB010000}"/>
    <hyperlink ref="T43" r:id="rId461" xr:uid="{00000000-0004-0000-0000-0000CC010000}"/>
    <hyperlink ref="F43" r:id="rId462" xr:uid="{00000000-0004-0000-0000-0000CD010000}"/>
    <hyperlink ref="J43" r:id="rId463" xr:uid="{00000000-0004-0000-0000-0000CE010000}"/>
    <hyperlink ref="N43" r:id="rId464" xr:uid="{00000000-0004-0000-0000-0000CF010000}"/>
    <hyperlink ref="H43" r:id="rId465" xr:uid="{00000000-0004-0000-0000-0000D0010000}"/>
    <hyperlink ref="V43" r:id="rId466" xr:uid="{00000000-0004-0000-0000-0000D1010000}"/>
    <hyperlink ref="P43" r:id="rId467" xr:uid="{00000000-0004-0000-0000-0000D2010000}"/>
    <hyperlink ref="R43" r:id="rId468" xr:uid="{00000000-0004-0000-0000-0000D3010000}"/>
    <hyperlink ref="L43" r:id="rId469" xr:uid="{00000000-0004-0000-0000-0000D4010000}"/>
    <hyperlink ref="X43" r:id="rId470" xr:uid="{00000000-0004-0000-0000-0000D5010000}"/>
    <hyperlink ref="T160" r:id="rId471" xr:uid="{00000000-0004-0000-0000-0000D6010000}"/>
    <hyperlink ref="F160" r:id="rId472" xr:uid="{00000000-0004-0000-0000-0000D7010000}"/>
    <hyperlink ref="J160" r:id="rId473" xr:uid="{00000000-0004-0000-0000-0000D8010000}"/>
    <hyperlink ref="N160" r:id="rId474" xr:uid="{00000000-0004-0000-0000-0000D9010000}"/>
    <hyperlink ref="H160" r:id="rId475" xr:uid="{00000000-0004-0000-0000-0000DA010000}"/>
    <hyperlink ref="V160" r:id="rId476" xr:uid="{00000000-0004-0000-0000-0000DB010000}"/>
    <hyperlink ref="P160" r:id="rId477" xr:uid="{00000000-0004-0000-0000-0000DC010000}"/>
    <hyperlink ref="R160" r:id="rId478" xr:uid="{00000000-0004-0000-0000-0000DD010000}"/>
    <hyperlink ref="L160" r:id="rId479" xr:uid="{00000000-0004-0000-0000-0000DE010000}"/>
    <hyperlink ref="X160" r:id="rId480" xr:uid="{00000000-0004-0000-0000-0000DF010000}"/>
    <hyperlink ref="T34" r:id="rId481" xr:uid="{00000000-0004-0000-0000-0000E0010000}"/>
    <hyperlink ref="F34" r:id="rId482" xr:uid="{00000000-0004-0000-0000-0000E1010000}"/>
    <hyperlink ref="J34" r:id="rId483" xr:uid="{00000000-0004-0000-0000-0000E2010000}"/>
    <hyperlink ref="N34" r:id="rId484" xr:uid="{00000000-0004-0000-0000-0000E3010000}"/>
    <hyperlink ref="H34" r:id="rId485" xr:uid="{00000000-0004-0000-0000-0000E4010000}"/>
    <hyperlink ref="V34" r:id="rId486" xr:uid="{00000000-0004-0000-0000-0000E5010000}"/>
    <hyperlink ref="P34" r:id="rId487" xr:uid="{00000000-0004-0000-0000-0000E6010000}"/>
    <hyperlink ref="R34" r:id="rId488" xr:uid="{00000000-0004-0000-0000-0000E7010000}"/>
    <hyperlink ref="L34" r:id="rId489" xr:uid="{00000000-0004-0000-0000-0000E8010000}"/>
    <hyperlink ref="X34" r:id="rId490" xr:uid="{00000000-0004-0000-0000-0000E9010000}"/>
    <hyperlink ref="T65" r:id="rId491" xr:uid="{00000000-0004-0000-0000-0000EA010000}"/>
    <hyperlink ref="F65" r:id="rId492" xr:uid="{00000000-0004-0000-0000-0000EB010000}"/>
    <hyperlink ref="J65" r:id="rId493" xr:uid="{00000000-0004-0000-0000-0000EC010000}"/>
    <hyperlink ref="N65" r:id="rId494" xr:uid="{00000000-0004-0000-0000-0000ED010000}"/>
    <hyperlink ref="H65" r:id="rId495" xr:uid="{00000000-0004-0000-0000-0000EE010000}"/>
    <hyperlink ref="V65" r:id="rId496" xr:uid="{00000000-0004-0000-0000-0000EF010000}"/>
    <hyperlink ref="P65" r:id="rId497" xr:uid="{00000000-0004-0000-0000-0000F0010000}"/>
    <hyperlink ref="R65" r:id="rId498" xr:uid="{00000000-0004-0000-0000-0000F1010000}"/>
    <hyperlink ref="L65" r:id="rId499" xr:uid="{00000000-0004-0000-0000-0000F2010000}"/>
    <hyperlink ref="X65" r:id="rId500" xr:uid="{00000000-0004-0000-0000-0000F3010000}"/>
    <hyperlink ref="T66" r:id="rId501" xr:uid="{00000000-0004-0000-0000-0000F4010000}"/>
    <hyperlink ref="F66" r:id="rId502" xr:uid="{00000000-0004-0000-0000-0000F5010000}"/>
    <hyperlink ref="J66" r:id="rId503" xr:uid="{00000000-0004-0000-0000-0000F6010000}"/>
    <hyperlink ref="N66" r:id="rId504" xr:uid="{00000000-0004-0000-0000-0000F7010000}"/>
    <hyperlink ref="H66" r:id="rId505" xr:uid="{00000000-0004-0000-0000-0000F8010000}"/>
    <hyperlink ref="V66" r:id="rId506" xr:uid="{00000000-0004-0000-0000-0000F9010000}"/>
    <hyperlink ref="P66" r:id="rId507" xr:uid="{00000000-0004-0000-0000-0000FA010000}"/>
    <hyperlink ref="R66" r:id="rId508" xr:uid="{00000000-0004-0000-0000-0000FB010000}"/>
    <hyperlink ref="L66" r:id="rId509" xr:uid="{00000000-0004-0000-0000-0000FC010000}"/>
    <hyperlink ref="X66" r:id="rId510" xr:uid="{00000000-0004-0000-0000-0000FD010000}"/>
    <hyperlink ref="T57" r:id="rId511" xr:uid="{00000000-0004-0000-0000-0000FE010000}"/>
    <hyperlink ref="F57" r:id="rId512" xr:uid="{00000000-0004-0000-0000-0000FF010000}"/>
    <hyperlink ref="J57" r:id="rId513" xr:uid="{00000000-0004-0000-0000-000000020000}"/>
    <hyperlink ref="N57" r:id="rId514" xr:uid="{00000000-0004-0000-0000-000001020000}"/>
    <hyperlink ref="H57" r:id="rId515" xr:uid="{00000000-0004-0000-0000-000002020000}"/>
    <hyperlink ref="V57" r:id="rId516" xr:uid="{00000000-0004-0000-0000-000003020000}"/>
    <hyperlink ref="P57" r:id="rId517" xr:uid="{00000000-0004-0000-0000-000004020000}"/>
    <hyperlink ref="R57" r:id="rId518" xr:uid="{00000000-0004-0000-0000-000005020000}"/>
    <hyperlink ref="L57" r:id="rId519" xr:uid="{00000000-0004-0000-0000-000006020000}"/>
    <hyperlink ref="X57" r:id="rId520" xr:uid="{00000000-0004-0000-0000-000007020000}"/>
    <hyperlink ref="T3" r:id="rId521" xr:uid="{00000000-0004-0000-0000-000008020000}"/>
    <hyperlink ref="F3" r:id="rId522" xr:uid="{00000000-0004-0000-0000-000009020000}"/>
    <hyperlink ref="J3" r:id="rId523" xr:uid="{00000000-0004-0000-0000-00000A020000}"/>
    <hyperlink ref="N3" r:id="rId524" xr:uid="{00000000-0004-0000-0000-00000B020000}"/>
    <hyperlink ref="H3" r:id="rId525" xr:uid="{00000000-0004-0000-0000-00000C020000}"/>
    <hyperlink ref="V3" r:id="rId526" xr:uid="{00000000-0004-0000-0000-00000D020000}"/>
    <hyperlink ref="P3" r:id="rId527" xr:uid="{00000000-0004-0000-0000-00000E020000}"/>
    <hyperlink ref="R3" r:id="rId528" xr:uid="{00000000-0004-0000-0000-00000F020000}"/>
    <hyperlink ref="L3" r:id="rId529" xr:uid="{00000000-0004-0000-0000-000010020000}"/>
    <hyperlink ref="X3" r:id="rId530" xr:uid="{00000000-0004-0000-0000-000011020000}"/>
    <hyperlink ref="T83" r:id="rId531" xr:uid="{00000000-0004-0000-0000-000012020000}"/>
    <hyperlink ref="F83" r:id="rId532" xr:uid="{00000000-0004-0000-0000-000013020000}"/>
    <hyperlink ref="J83" r:id="rId533" xr:uid="{00000000-0004-0000-0000-000014020000}"/>
    <hyperlink ref="N83" r:id="rId534" xr:uid="{00000000-0004-0000-0000-000015020000}"/>
    <hyperlink ref="H83" r:id="rId535" xr:uid="{00000000-0004-0000-0000-000016020000}"/>
    <hyperlink ref="V83" r:id="rId536" xr:uid="{00000000-0004-0000-0000-000017020000}"/>
    <hyperlink ref="P83" r:id="rId537" xr:uid="{00000000-0004-0000-0000-000018020000}"/>
    <hyperlink ref="R83" r:id="rId538" xr:uid="{00000000-0004-0000-0000-000019020000}"/>
    <hyperlink ref="L83" r:id="rId539" xr:uid="{00000000-0004-0000-0000-00001A020000}"/>
    <hyperlink ref="X83" r:id="rId540" xr:uid="{00000000-0004-0000-0000-00001B020000}"/>
    <hyperlink ref="T16" r:id="rId541" xr:uid="{00000000-0004-0000-0000-00001C020000}"/>
    <hyperlink ref="F16" r:id="rId542" xr:uid="{00000000-0004-0000-0000-00001D020000}"/>
    <hyperlink ref="J16" r:id="rId543" xr:uid="{00000000-0004-0000-0000-00001E020000}"/>
    <hyperlink ref="N16" r:id="rId544" xr:uid="{00000000-0004-0000-0000-00001F020000}"/>
    <hyperlink ref="H16" r:id="rId545" xr:uid="{00000000-0004-0000-0000-000020020000}"/>
    <hyperlink ref="V16" r:id="rId546" xr:uid="{00000000-0004-0000-0000-000021020000}"/>
    <hyperlink ref="P16" r:id="rId547" xr:uid="{00000000-0004-0000-0000-000022020000}"/>
    <hyperlink ref="R16" r:id="rId548" xr:uid="{00000000-0004-0000-0000-000023020000}"/>
    <hyperlink ref="L16" r:id="rId549" xr:uid="{00000000-0004-0000-0000-000024020000}"/>
    <hyperlink ref="X16" r:id="rId550" xr:uid="{00000000-0004-0000-0000-000025020000}"/>
    <hyperlink ref="T35" r:id="rId551" xr:uid="{00000000-0004-0000-0000-000026020000}"/>
    <hyperlink ref="F35" r:id="rId552" xr:uid="{00000000-0004-0000-0000-000027020000}"/>
    <hyperlink ref="J35" r:id="rId553" xr:uid="{00000000-0004-0000-0000-000028020000}"/>
    <hyperlink ref="N35" r:id="rId554" xr:uid="{00000000-0004-0000-0000-000029020000}"/>
    <hyperlink ref="H35" r:id="rId555" xr:uid="{00000000-0004-0000-0000-00002A020000}"/>
    <hyperlink ref="V35" r:id="rId556" xr:uid="{00000000-0004-0000-0000-00002B020000}"/>
    <hyperlink ref="P35" r:id="rId557" xr:uid="{00000000-0004-0000-0000-00002C020000}"/>
    <hyperlink ref="R35" r:id="rId558" xr:uid="{00000000-0004-0000-0000-00002D020000}"/>
    <hyperlink ref="L35" r:id="rId559" xr:uid="{00000000-0004-0000-0000-00002E020000}"/>
    <hyperlink ref="X35" r:id="rId560" xr:uid="{00000000-0004-0000-0000-00002F020000}"/>
    <hyperlink ref="T161" r:id="rId561" xr:uid="{00000000-0004-0000-0000-000030020000}"/>
    <hyperlink ref="F161" r:id="rId562" xr:uid="{00000000-0004-0000-0000-000031020000}"/>
    <hyperlink ref="J161" r:id="rId563" xr:uid="{00000000-0004-0000-0000-000032020000}"/>
    <hyperlink ref="N161" r:id="rId564" xr:uid="{00000000-0004-0000-0000-000033020000}"/>
    <hyperlink ref="H161" r:id="rId565" xr:uid="{00000000-0004-0000-0000-000034020000}"/>
    <hyperlink ref="V161" r:id="rId566" xr:uid="{00000000-0004-0000-0000-000035020000}"/>
    <hyperlink ref="P161" r:id="rId567" xr:uid="{00000000-0004-0000-0000-000036020000}"/>
    <hyperlink ref="R161" r:id="rId568" xr:uid="{00000000-0004-0000-0000-000037020000}"/>
    <hyperlink ref="L161" r:id="rId569" xr:uid="{00000000-0004-0000-0000-000038020000}"/>
    <hyperlink ref="X161" r:id="rId570" xr:uid="{00000000-0004-0000-0000-000039020000}"/>
    <hyperlink ref="T44" r:id="rId571" xr:uid="{00000000-0004-0000-0000-00003A020000}"/>
    <hyperlink ref="F44" r:id="rId572" xr:uid="{00000000-0004-0000-0000-00003B020000}"/>
    <hyperlink ref="J44" r:id="rId573" xr:uid="{00000000-0004-0000-0000-00003C020000}"/>
    <hyperlink ref="N44" r:id="rId574" xr:uid="{00000000-0004-0000-0000-00003D020000}"/>
    <hyperlink ref="H44" r:id="rId575" xr:uid="{00000000-0004-0000-0000-00003E020000}"/>
    <hyperlink ref="V44" r:id="rId576" xr:uid="{00000000-0004-0000-0000-00003F020000}"/>
    <hyperlink ref="P44" r:id="rId577" xr:uid="{00000000-0004-0000-0000-000040020000}"/>
    <hyperlink ref="R44" r:id="rId578" xr:uid="{00000000-0004-0000-0000-000041020000}"/>
    <hyperlink ref="L44" r:id="rId579" xr:uid="{00000000-0004-0000-0000-000042020000}"/>
    <hyperlink ref="X44" r:id="rId580" xr:uid="{00000000-0004-0000-0000-000043020000}"/>
    <hyperlink ref="T36" r:id="rId581" xr:uid="{00000000-0004-0000-0000-000044020000}"/>
    <hyperlink ref="F36" r:id="rId582" xr:uid="{00000000-0004-0000-0000-000045020000}"/>
    <hyperlink ref="J36" r:id="rId583" xr:uid="{00000000-0004-0000-0000-000046020000}"/>
    <hyperlink ref="N36" r:id="rId584" xr:uid="{00000000-0004-0000-0000-000047020000}"/>
    <hyperlink ref="H36" r:id="rId585" xr:uid="{00000000-0004-0000-0000-000048020000}"/>
    <hyperlink ref="V36" r:id="rId586" xr:uid="{00000000-0004-0000-0000-000049020000}"/>
    <hyperlink ref="P36" r:id="rId587" xr:uid="{00000000-0004-0000-0000-00004A020000}"/>
    <hyperlink ref="R36" r:id="rId588" xr:uid="{00000000-0004-0000-0000-00004B020000}"/>
    <hyperlink ref="L36" r:id="rId589" xr:uid="{00000000-0004-0000-0000-00004C020000}"/>
    <hyperlink ref="X36" r:id="rId590" xr:uid="{00000000-0004-0000-0000-00004D020000}"/>
    <hyperlink ref="T183" r:id="rId591" xr:uid="{00000000-0004-0000-0000-00004E020000}"/>
    <hyperlink ref="F183" r:id="rId592" xr:uid="{00000000-0004-0000-0000-00004F020000}"/>
    <hyperlink ref="J183" r:id="rId593" xr:uid="{00000000-0004-0000-0000-000050020000}"/>
    <hyperlink ref="N183" r:id="rId594" xr:uid="{00000000-0004-0000-0000-000051020000}"/>
    <hyperlink ref="H183" r:id="rId595" xr:uid="{00000000-0004-0000-0000-000052020000}"/>
    <hyperlink ref="V183" r:id="rId596" xr:uid="{00000000-0004-0000-0000-000053020000}"/>
    <hyperlink ref="P183" r:id="rId597" xr:uid="{00000000-0004-0000-0000-000054020000}"/>
    <hyperlink ref="R183" r:id="rId598" xr:uid="{00000000-0004-0000-0000-000055020000}"/>
    <hyperlink ref="L183" r:id="rId599" xr:uid="{00000000-0004-0000-0000-000056020000}"/>
    <hyperlink ref="X183" r:id="rId600" xr:uid="{00000000-0004-0000-0000-000057020000}"/>
    <hyperlink ref="T162" r:id="rId601" xr:uid="{00000000-0004-0000-0000-000058020000}"/>
    <hyperlink ref="F162" r:id="rId602" xr:uid="{00000000-0004-0000-0000-000059020000}"/>
    <hyperlink ref="J162" r:id="rId603" xr:uid="{00000000-0004-0000-0000-00005A020000}"/>
    <hyperlink ref="N162" r:id="rId604" xr:uid="{00000000-0004-0000-0000-00005B020000}"/>
    <hyperlink ref="H162" r:id="rId605" xr:uid="{00000000-0004-0000-0000-00005C020000}"/>
    <hyperlink ref="V162" r:id="rId606" xr:uid="{00000000-0004-0000-0000-00005D020000}"/>
    <hyperlink ref="P162" r:id="rId607" xr:uid="{00000000-0004-0000-0000-00005E020000}"/>
    <hyperlink ref="R162" r:id="rId608" xr:uid="{00000000-0004-0000-0000-00005F020000}"/>
    <hyperlink ref="L162" r:id="rId609" xr:uid="{00000000-0004-0000-0000-000060020000}"/>
    <hyperlink ref="X162" r:id="rId610" xr:uid="{00000000-0004-0000-0000-000061020000}"/>
    <hyperlink ref="T163" r:id="rId611" xr:uid="{00000000-0004-0000-0000-000062020000}"/>
    <hyperlink ref="F163" r:id="rId612" xr:uid="{00000000-0004-0000-0000-000063020000}"/>
    <hyperlink ref="J163" r:id="rId613" xr:uid="{00000000-0004-0000-0000-000064020000}"/>
    <hyperlink ref="N163" r:id="rId614" xr:uid="{00000000-0004-0000-0000-000065020000}"/>
    <hyperlink ref="H163" r:id="rId615" xr:uid="{00000000-0004-0000-0000-000066020000}"/>
    <hyperlink ref="V163" r:id="rId616" xr:uid="{00000000-0004-0000-0000-000067020000}"/>
    <hyperlink ref="P163" r:id="rId617" xr:uid="{00000000-0004-0000-0000-000068020000}"/>
    <hyperlink ref="R163" r:id="rId618" xr:uid="{00000000-0004-0000-0000-000069020000}"/>
    <hyperlink ref="L163" r:id="rId619" xr:uid="{00000000-0004-0000-0000-00006A020000}"/>
    <hyperlink ref="X163" r:id="rId620" xr:uid="{00000000-0004-0000-0000-00006B020000}"/>
    <hyperlink ref="T17" r:id="rId621" xr:uid="{00000000-0004-0000-0000-00006C020000}"/>
    <hyperlink ref="F17" r:id="rId622" xr:uid="{00000000-0004-0000-0000-00006D020000}"/>
    <hyperlink ref="J17" r:id="rId623" xr:uid="{00000000-0004-0000-0000-00006E020000}"/>
    <hyperlink ref="N17" r:id="rId624" xr:uid="{00000000-0004-0000-0000-00006F020000}"/>
    <hyperlink ref="H17" r:id="rId625" xr:uid="{00000000-0004-0000-0000-000070020000}"/>
    <hyperlink ref="V17" r:id="rId626" xr:uid="{00000000-0004-0000-0000-000071020000}"/>
    <hyperlink ref="P17" r:id="rId627" xr:uid="{00000000-0004-0000-0000-000072020000}"/>
    <hyperlink ref="R17" r:id="rId628" xr:uid="{00000000-0004-0000-0000-000073020000}"/>
    <hyperlink ref="L17" r:id="rId629" xr:uid="{00000000-0004-0000-0000-000074020000}"/>
    <hyperlink ref="X17" r:id="rId630" xr:uid="{00000000-0004-0000-0000-000075020000}"/>
    <hyperlink ref="T23" r:id="rId631" xr:uid="{00000000-0004-0000-0000-000076020000}"/>
    <hyperlink ref="F23" r:id="rId632" xr:uid="{00000000-0004-0000-0000-000077020000}"/>
    <hyperlink ref="J23" r:id="rId633" xr:uid="{00000000-0004-0000-0000-000078020000}"/>
    <hyperlink ref="N23" r:id="rId634" xr:uid="{00000000-0004-0000-0000-000079020000}"/>
    <hyperlink ref="H23" r:id="rId635" xr:uid="{00000000-0004-0000-0000-00007A020000}"/>
    <hyperlink ref="V23" r:id="rId636" xr:uid="{00000000-0004-0000-0000-00007B020000}"/>
    <hyperlink ref="P23" r:id="rId637" xr:uid="{00000000-0004-0000-0000-00007C020000}"/>
    <hyperlink ref="R23" r:id="rId638" xr:uid="{00000000-0004-0000-0000-00007D020000}"/>
    <hyperlink ref="L23" r:id="rId639" xr:uid="{00000000-0004-0000-0000-00007E020000}"/>
    <hyperlink ref="X23" r:id="rId640" xr:uid="{00000000-0004-0000-0000-00007F020000}"/>
    <hyperlink ref="T110" r:id="rId641" xr:uid="{00000000-0004-0000-0000-000080020000}"/>
    <hyperlink ref="F110" r:id="rId642" xr:uid="{00000000-0004-0000-0000-000081020000}"/>
    <hyperlink ref="J110" r:id="rId643" xr:uid="{00000000-0004-0000-0000-000082020000}"/>
    <hyperlink ref="N110" r:id="rId644" xr:uid="{00000000-0004-0000-0000-000083020000}"/>
    <hyperlink ref="H110" r:id="rId645" xr:uid="{00000000-0004-0000-0000-000084020000}"/>
    <hyperlink ref="V110" r:id="rId646" xr:uid="{00000000-0004-0000-0000-000085020000}"/>
    <hyperlink ref="P110" r:id="rId647" xr:uid="{00000000-0004-0000-0000-000086020000}"/>
    <hyperlink ref="R110" r:id="rId648" xr:uid="{00000000-0004-0000-0000-000087020000}"/>
    <hyperlink ref="L110" r:id="rId649" xr:uid="{00000000-0004-0000-0000-000088020000}"/>
    <hyperlink ref="X110" r:id="rId650" xr:uid="{00000000-0004-0000-0000-000089020000}"/>
    <hyperlink ref="T164" r:id="rId651" xr:uid="{00000000-0004-0000-0000-00008A020000}"/>
    <hyperlink ref="F164" r:id="rId652" xr:uid="{00000000-0004-0000-0000-00008B020000}"/>
    <hyperlink ref="J164" r:id="rId653" xr:uid="{00000000-0004-0000-0000-00008C020000}"/>
    <hyperlink ref="N164" r:id="rId654" xr:uid="{00000000-0004-0000-0000-00008D020000}"/>
    <hyperlink ref="H164" r:id="rId655" xr:uid="{00000000-0004-0000-0000-00008E020000}"/>
    <hyperlink ref="V164" r:id="rId656" xr:uid="{00000000-0004-0000-0000-00008F020000}"/>
    <hyperlink ref="P164" r:id="rId657" xr:uid="{00000000-0004-0000-0000-000090020000}"/>
    <hyperlink ref="R164" r:id="rId658" xr:uid="{00000000-0004-0000-0000-000091020000}"/>
    <hyperlink ref="L164" r:id="rId659" xr:uid="{00000000-0004-0000-0000-000092020000}"/>
    <hyperlink ref="X164" r:id="rId660" xr:uid="{00000000-0004-0000-0000-000093020000}"/>
    <hyperlink ref="T24" r:id="rId661" xr:uid="{00000000-0004-0000-0000-000094020000}"/>
    <hyperlink ref="F24" r:id="rId662" xr:uid="{00000000-0004-0000-0000-000095020000}"/>
    <hyperlink ref="J24" r:id="rId663" xr:uid="{00000000-0004-0000-0000-000096020000}"/>
    <hyperlink ref="N24" r:id="rId664" xr:uid="{00000000-0004-0000-0000-000097020000}"/>
    <hyperlink ref="H24" r:id="rId665" xr:uid="{00000000-0004-0000-0000-000098020000}"/>
    <hyperlink ref="V24" r:id="rId666" xr:uid="{00000000-0004-0000-0000-000099020000}"/>
    <hyperlink ref="P24" r:id="rId667" xr:uid="{00000000-0004-0000-0000-00009A020000}"/>
    <hyperlink ref="R24" r:id="rId668" xr:uid="{00000000-0004-0000-0000-00009B020000}"/>
    <hyperlink ref="L24" r:id="rId669" xr:uid="{00000000-0004-0000-0000-00009C020000}"/>
    <hyperlink ref="X24" r:id="rId670" xr:uid="{00000000-0004-0000-0000-00009D020000}"/>
    <hyperlink ref="T165" r:id="rId671" xr:uid="{00000000-0004-0000-0000-00009E020000}"/>
    <hyperlink ref="F165" r:id="rId672" xr:uid="{00000000-0004-0000-0000-00009F020000}"/>
    <hyperlink ref="J165" r:id="rId673" xr:uid="{00000000-0004-0000-0000-0000A0020000}"/>
    <hyperlink ref="N165" r:id="rId674" xr:uid="{00000000-0004-0000-0000-0000A1020000}"/>
    <hyperlink ref="H165" r:id="rId675" xr:uid="{00000000-0004-0000-0000-0000A2020000}"/>
    <hyperlink ref="V165" r:id="rId676" xr:uid="{00000000-0004-0000-0000-0000A3020000}"/>
    <hyperlink ref="P165" r:id="rId677" xr:uid="{00000000-0004-0000-0000-0000A4020000}"/>
    <hyperlink ref="R165" r:id="rId678" xr:uid="{00000000-0004-0000-0000-0000A5020000}"/>
    <hyperlink ref="L165" r:id="rId679" xr:uid="{00000000-0004-0000-0000-0000A6020000}"/>
    <hyperlink ref="X165" r:id="rId680" xr:uid="{00000000-0004-0000-0000-0000A7020000}"/>
    <hyperlink ref="T67" r:id="rId681" xr:uid="{00000000-0004-0000-0000-0000A8020000}"/>
    <hyperlink ref="F67" r:id="rId682" xr:uid="{00000000-0004-0000-0000-0000A9020000}"/>
    <hyperlink ref="J67" r:id="rId683" xr:uid="{00000000-0004-0000-0000-0000AA020000}"/>
    <hyperlink ref="N67" r:id="rId684" xr:uid="{00000000-0004-0000-0000-0000AB020000}"/>
    <hyperlink ref="H67" r:id="rId685" xr:uid="{00000000-0004-0000-0000-0000AC020000}"/>
    <hyperlink ref="V67" r:id="rId686" xr:uid="{00000000-0004-0000-0000-0000AD020000}"/>
    <hyperlink ref="P67" r:id="rId687" xr:uid="{00000000-0004-0000-0000-0000AE020000}"/>
    <hyperlink ref="R67" r:id="rId688" xr:uid="{00000000-0004-0000-0000-0000AF020000}"/>
    <hyperlink ref="L67" r:id="rId689" xr:uid="{00000000-0004-0000-0000-0000B0020000}"/>
    <hyperlink ref="X67" r:id="rId690" xr:uid="{00000000-0004-0000-0000-0000B1020000}"/>
    <hyperlink ref="T84" r:id="rId691" xr:uid="{00000000-0004-0000-0000-0000B2020000}"/>
    <hyperlink ref="F84" r:id="rId692" xr:uid="{00000000-0004-0000-0000-0000B3020000}"/>
    <hyperlink ref="J84" r:id="rId693" xr:uid="{00000000-0004-0000-0000-0000B4020000}"/>
    <hyperlink ref="N84" r:id="rId694" xr:uid="{00000000-0004-0000-0000-0000B5020000}"/>
    <hyperlink ref="H84" r:id="rId695" xr:uid="{00000000-0004-0000-0000-0000B6020000}"/>
    <hyperlink ref="V84" r:id="rId696" xr:uid="{00000000-0004-0000-0000-0000B7020000}"/>
    <hyperlink ref="P84" r:id="rId697" xr:uid="{00000000-0004-0000-0000-0000B8020000}"/>
    <hyperlink ref="R84" r:id="rId698" xr:uid="{00000000-0004-0000-0000-0000B9020000}"/>
    <hyperlink ref="L84" r:id="rId699" xr:uid="{00000000-0004-0000-0000-0000BA020000}"/>
    <hyperlink ref="X84" r:id="rId700" xr:uid="{00000000-0004-0000-0000-0000BB020000}"/>
    <hyperlink ref="T25" r:id="rId701" xr:uid="{00000000-0004-0000-0000-0000BC020000}"/>
    <hyperlink ref="F25" r:id="rId702" xr:uid="{00000000-0004-0000-0000-0000BD020000}"/>
    <hyperlink ref="J25" r:id="rId703" xr:uid="{00000000-0004-0000-0000-0000BE020000}"/>
    <hyperlink ref="N25" r:id="rId704" xr:uid="{00000000-0004-0000-0000-0000BF020000}"/>
    <hyperlink ref="H25" r:id="rId705" xr:uid="{00000000-0004-0000-0000-0000C0020000}"/>
    <hyperlink ref="V25" r:id="rId706" xr:uid="{00000000-0004-0000-0000-0000C1020000}"/>
    <hyperlink ref="P25" r:id="rId707" xr:uid="{00000000-0004-0000-0000-0000C2020000}"/>
    <hyperlink ref="R25" r:id="rId708" xr:uid="{00000000-0004-0000-0000-0000C3020000}"/>
    <hyperlink ref="L25" r:id="rId709" xr:uid="{00000000-0004-0000-0000-0000C4020000}"/>
    <hyperlink ref="X25" r:id="rId710" xr:uid="{00000000-0004-0000-0000-0000C5020000}"/>
    <hyperlink ref="T26" r:id="rId711" xr:uid="{00000000-0004-0000-0000-0000C6020000}"/>
    <hyperlink ref="F26" r:id="rId712" xr:uid="{00000000-0004-0000-0000-0000C7020000}"/>
    <hyperlink ref="J26" r:id="rId713" xr:uid="{00000000-0004-0000-0000-0000C8020000}"/>
    <hyperlink ref="N26" r:id="rId714" xr:uid="{00000000-0004-0000-0000-0000C9020000}"/>
    <hyperlink ref="H26" r:id="rId715" xr:uid="{00000000-0004-0000-0000-0000CA020000}"/>
    <hyperlink ref="V26" r:id="rId716" xr:uid="{00000000-0004-0000-0000-0000CB020000}"/>
    <hyperlink ref="P26" r:id="rId717" xr:uid="{00000000-0004-0000-0000-0000CC020000}"/>
    <hyperlink ref="R26" r:id="rId718" xr:uid="{00000000-0004-0000-0000-0000CD020000}"/>
    <hyperlink ref="L26" r:id="rId719" xr:uid="{00000000-0004-0000-0000-0000CE020000}"/>
    <hyperlink ref="X26" r:id="rId720" xr:uid="{00000000-0004-0000-0000-0000CF020000}"/>
    <hyperlink ref="T68" r:id="rId721" xr:uid="{00000000-0004-0000-0000-0000D0020000}"/>
    <hyperlink ref="F68" r:id="rId722" xr:uid="{00000000-0004-0000-0000-0000D1020000}"/>
    <hyperlink ref="J68" r:id="rId723" xr:uid="{00000000-0004-0000-0000-0000D2020000}"/>
    <hyperlink ref="N68" r:id="rId724" xr:uid="{00000000-0004-0000-0000-0000D3020000}"/>
    <hyperlink ref="H68" r:id="rId725" xr:uid="{00000000-0004-0000-0000-0000D4020000}"/>
    <hyperlink ref="V68" r:id="rId726" xr:uid="{00000000-0004-0000-0000-0000D5020000}"/>
    <hyperlink ref="P68" r:id="rId727" xr:uid="{00000000-0004-0000-0000-0000D6020000}"/>
    <hyperlink ref="R68" r:id="rId728" xr:uid="{00000000-0004-0000-0000-0000D7020000}"/>
    <hyperlink ref="L68" r:id="rId729" xr:uid="{00000000-0004-0000-0000-0000D8020000}"/>
    <hyperlink ref="X68" r:id="rId730" xr:uid="{00000000-0004-0000-0000-0000D9020000}"/>
    <hyperlink ref="T69" r:id="rId731" xr:uid="{00000000-0004-0000-0000-0000DA020000}"/>
    <hyperlink ref="F69" r:id="rId732" xr:uid="{00000000-0004-0000-0000-0000DB020000}"/>
    <hyperlink ref="J69" r:id="rId733" xr:uid="{00000000-0004-0000-0000-0000DC020000}"/>
    <hyperlink ref="N69" r:id="rId734" xr:uid="{00000000-0004-0000-0000-0000DD020000}"/>
    <hyperlink ref="H69" r:id="rId735" xr:uid="{00000000-0004-0000-0000-0000DE020000}"/>
    <hyperlink ref="V69" r:id="rId736" xr:uid="{00000000-0004-0000-0000-0000DF020000}"/>
    <hyperlink ref="P69" r:id="rId737" xr:uid="{00000000-0004-0000-0000-0000E0020000}"/>
    <hyperlink ref="R69" r:id="rId738" xr:uid="{00000000-0004-0000-0000-0000E1020000}"/>
    <hyperlink ref="L69" r:id="rId739" xr:uid="{00000000-0004-0000-0000-0000E2020000}"/>
    <hyperlink ref="X69" r:id="rId740" xr:uid="{00000000-0004-0000-0000-0000E3020000}"/>
    <hyperlink ref="T85" r:id="rId741" xr:uid="{00000000-0004-0000-0000-0000E4020000}"/>
    <hyperlink ref="F85" r:id="rId742" xr:uid="{00000000-0004-0000-0000-0000E5020000}"/>
    <hyperlink ref="J85" r:id="rId743" xr:uid="{00000000-0004-0000-0000-0000E6020000}"/>
    <hyperlink ref="N85" r:id="rId744" xr:uid="{00000000-0004-0000-0000-0000E7020000}"/>
    <hyperlink ref="H85" r:id="rId745" xr:uid="{00000000-0004-0000-0000-0000E8020000}"/>
    <hyperlink ref="V85" r:id="rId746" xr:uid="{00000000-0004-0000-0000-0000E9020000}"/>
    <hyperlink ref="P85" r:id="rId747" xr:uid="{00000000-0004-0000-0000-0000EA020000}"/>
    <hyperlink ref="R85" r:id="rId748" xr:uid="{00000000-0004-0000-0000-0000EB020000}"/>
    <hyperlink ref="L85" r:id="rId749" xr:uid="{00000000-0004-0000-0000-0000EC020000}"/>
    <hyperlink ref="X85" r:id="rId750" xr:uid="{00000000-0004-0000-0000-0000ED020000}"/>
    <hyperlink ref="T166" r:id="rId751" xr:uid="{00000000-0004-0000-0000-0000EE020000}"/>
    <hyperlink ref="F166" r:id="rId752" xr:uid="{00000000-0004-0000-0000-0000EF020000}"/>
    <hyperlink ref="J166" r:id="rId753" xr:uid="{00000000-0004-0000-0000-0000F0020000}"/>
    <hyperlink ref="N166" r:id="rId754" xr:uid="{00000000-0004-0000-0000-0000F1020000}"/>
    <hyperlink ref="H166" r:id="rId755" xr:uid="{00000000-0004-0000-0000-0000F2020000}"/>
    <hyperlink ref="V166" r:id="rId756" xr:uid="{00000000-0004-0000-0000-0000F3020000}"/>
    <hyperlink ref="P166" r:id="rId757" xr:uid="{00000000-0004-0000-0000-0000F4020000}"/>
    <hyperlink ref="R166" r:id="rId758" xr:uid="{00000000-0004-0000-0000-0000F5020000}"/>
    <hyperlink ref="L166" r:id="rId759" xr:uid="{00000000-0004-0000-0000-0000F6020000}"/>
    <hyperlink ref="X166" r:id="rId760" xr:uid="{00000000-0004-0000-0000-0000F7020000}"/>
    <hyperlink ref="T142" r:id="rId761" xr:uid="{00000000-0004-0000-0000-0000F8020000}"/>
    <hyperlink ref="F142" r:id="rId762" xr:uid="{00000000-0004-0000-0000-0000F9020000}"/>
    <hyperlink ref="J142" r:id="rId763" xr:uid="{00000000-0004-0000-0000-0000FA020000}"/>
    <hyperlink ref="N142" r:id="rId764" xr:uid="{00000000-0004-0000-0000-0000FB020000}"/>
    <hyperlink ref="H142" r:id="rId765" xr:uid="{00000000-0004-0000-0000-0000FC020000}"/>
    <hyperlink ref="V142" r:id="rId766" xr:uid="{00000000-0004-0000-0000-0000FD020000}"/>
    <hyperlink ref="P142" r:id="rId767" xr:uid="{00000000-0004-0000-0000-0000FE020000}"/>
    <hyperlink ref="R142" r:id="rId768" xr:uid="{00000000-0004-0000-0000-0000FF020000}"/>
    <hyperlink ref="L142" r:id="rId769" xr:uid="{00000000-0004-0000-0000-000000030000}"/>
    <hyperlink ref="X142" r:id="rId770" xr:uid="{00000000-0004-0000-0000-000001030000}"/>
    <hyperlink ref="T123" r:id="rId771" xr:uid="{00000000-0004-0000-0000-000002030000}"/>
    <hyperlink ref="F123" r:id="rId772" xr:uid="{00000000-0004-0000-0000-000003030000}"/>
    <hyperlink ref="J123" r:id="rId773" xr:uid="{00000000-0004-0000-0000-000004030000}"/>
    <hyperlink ref="N123" r:id="rId774" xr:uid="{00000000-0004-0000-0000-000005030000}"/>
    <hyperlink ref="H123" r:id="rId775" xr:uid="{00000000-0004-0000-0000-000006030000}"/>
    <hyperlink ref="V123" r:id="rId776" xr:uid="{00000000-0004-0000-0000-000007030000}"/>
    <hyperlink ref="P123" r:id="rId777" xr:uid="{00000000-0004-0000-0000-000008030000}"/>
    <hyperlink ref="R123" r:id="rId778" xr:uid="{00000000-0004-0000-0000-000009030000}"/>
    <hyperlink ref="L123" r:id="rId779" xr:uid="{00000000-0004-0000-0000-00000A030000}"/>
    <hyperlink ref="X123" r:id="rId780" xr:uid="{00000000-0004-0000-0000-00000B030000}"/>
    <hyperlink ref="T99" r:id="rId781" xr:uid="{00000000-0004-0000-0000-00000C030000}"/>
    <hyperlink ref="F99" r:id="rId782" xr:uid="{00000000-0004-0000-0000-00000D030000}"/>
    <hyperlink ref="J99" r:id="rId783" xr:uid="{00000000-0004-0000-0000-00000E030000}"/>
    <hyperlink ref="N99" r:id="rId784" xr:uid="{00000000-0004-0000-0000-00000F030000}"/>
    <hyperlink ref="H99" r:id="rId785" xr:uid="{00000000-0004-0000-0000-000010030000}"/>
    <hyperlink ref="V99" r:id="rId786" xr:uid="{00000000-0004-0000-0000-000011030000}"/>
    <hyperlink ref="P99" r:id="rId787" xr:uid="{00000000-0004-0000-0000-000012030000}"/>
    <hyperlink ref="R99" r:id="rId788" xr:uid="{00000000-0004-0000-0000-000013030000}"/>
    <hyperlink ref="L99" r:id="rId789" xr:uid="{00000000-0004-0000-0000-000014030000}"/>
    <hyperlink ref="X99" r:id="rId790" xr:uid="{00000000-0004-0000-0000-000015030000}"/>
    <hyperlink ref="T130" r:id="rId791" xr:uid="{00000000-0004-0000-0000-000016030000}"/>
    <hyperlink ref="F130" r:id="rId792" xr:uid="{00000000-0004-0000-0000-000017030000}"/>
    <hyperlink ref="J130" r:id="rId793" xr:uid="{00000000-0004-0000-0000-000018030000}"/>
    <hyperlink ref="N130" r:id="rId794" xr:uid="{00000000-0004-0000-0000-000019030000}"/>
    <hyperlink ref="H130" r:id="rId795" xr:uid="{00000000-0004-0000-0000-00001A030000}"/>
    <hyperlink ref="V130" r:id="rId796" xr:uid="{00000000-0004-0000-0000-00001B030000}"/>
    <hyperlink ref="P130" r:id="rId797" xr:uid="{00000000-0004-0000-0000-00001C030000}"/>
    <hyperlink ref="R130" r:id="rId798" xr:uid="{00000000-0004-0000-0000-00001D030000}"/>
    <hyperlink ref="L130" r:id="rId799" xr:uid="{00000000-0004-0000-0000-00001E030000}"/>
    <hyperlink ref="X130" r:id="rId800" xr:uid="{00000000-0004-0000-0000-00001F030000}"/>
    <hyperlink ref="T91" r:id="rId801" xr:uid="{00000000-0004-0000-0000-000020030000}"/>
    <hyperlink ref="F91" r:id="rId802" xr:uid="{00000000-0004-0000-0000-000021030000}"/>
    <hyperlink ref="J91" r:id="rId803" xr:uid="{00000000-0004-0000-0000-000022030000}"/>
    <hyperlink ref="N91" r:id="rId804" xr:uid="{00000000-0004-0000-0000-000023030000}"/>
    <hyperlink ref="H91" r:id="rId805" xr:uid="{00000000-0004-0000-0000-000024030000}"/>
    <hyperlink ref="V91" r:id="rId806" xr:uid="{00000000-0004-0000-0000-000025030000}"/>
    <hyperlink ref="P91" r:id="rId807" xr:uid="{00000000-0004-0000-0000-000026030000}"/>
    <hyperlink ref="R91" r:id="rId808" xr:uid="{00000000-0004-0000-0000-000027030000}"/>
    <hyperlink ref="L91" r:id="rId809" xr:uid="{00000000-0004-0000-0000-000028030000}"/>
    <hyperlink ref="X91" r:id="rId810" xr:uid="{00000000-0004-0000-0000-000029030000}"/>
    <hyperlink ref="T167" r:id="rId811" xr:uid="{00000000-0004-0000-0000-00002A030000}"/>
    <hyperlink ref="F167" r:id="rId812" xr:uid="{00000000-0004-0000-0000-00002B030000}"/>
    <hyperlink ref="J167" r:id="rId813" xr:uid="{00000000-0004-0000-0000-00002C030000}"/>
    <hyperlink ref="N167" r:id="rId814" xr:uid="{00000000-0004-0000-0000-00002D030000}"/>
    <hyperlink ref="H167" r:id="rId815" xr:uid="{00000000-0004-0000-0000-00002E030000}"/>
    <hyperlink ref="V167" r:id="rId816" xr:uid="{00000000-0004-0000-0000-00002F030000}"/>
    <hyperlink ref="P167" r:id="rId817" xr:uid="{00000000-0004-0000-0000-000030030000}"/>
    <hyperlink ref="R167" r:id="rId818" xr:uid="{00000000-0004-0000-0000-000031030000}"/>
    <hyperlink ref="L167" r:id="rId819" xr:uid="{00000000-0004-0000-0000-000032030000}"/>
    <hyperlink ref="X167" r:id="rId820" xr:uid="{00000000-0004-0000-0000-000033030000}"/>
    <hyperlink ref="T118" r:id="rId821" xr:uid="{00000000-0004-0000-0000-000034030000}"/>
    <hyperlink ref="F118" r:id="rId822" xr:uid="{00000000-0004-0000-0000-000035030000}"/>
    <hyperlink ref="J118" r:id="rId823" xr:uid="{00000000-0004-0000-0000-000036030000}"/>
    <hyperlink ref="N118" r:id="rId824" xr:uid="{00000000-0004-0000-0000-000037030000}"/>
    <hyperlink ref="H118" r:id="rId825" xr:uid="{00000000-0004-0000-0000-000038030000}"/>
    <hyperlink ref="V118" r:id="rId826" xr:uid="{00000000-0004-0000-0000-000039030000}"/>
    <hyperlink ref="P118" r:id="rId827" xr:uid="{00000000-0004-0000-0000-00003A030000}"/>
    <hyperlink ref="R118" r:id="rId828" xr:uid="{00000000-0004-0000-0000-00003B030000}"/>
    <hyperlink ref="L118" r:id="rId829" xr:uid="{00000000-0004-0000-0000-00003C030000}"/>
    <hyperlink ref="X118" r:id="rId830" xr:uid="{00000000-0004-0000-0000-00003D030000}"/>
    <hyperlink ref="T168" r:id="rId831" xr:uid="{00000000-0004-0000-0000-00003E030000}"/>
    <hyperlink ref="F168" r:id="rId832" xr:uid="{00000000-0004-0000-0000-00003F030000}"/>
    <hyperlink ref="J168" r:id="rId833" xr:uid="{00000000-0004-0000-0000-000040030000}"/>
    <hyperlink ref="N168" r:id="rId834" xr:uid="{00000000-0004-0000-0000-000041030000}"/>
    <hyperlink ref="H168" r:id="rId835" xr:uid="{00000000-0004-0000-0000-000042030000}"/>
    <hyperlink ref="V168" r:id="rId836" xr:uid="{00000000-0004-0000-0000-000043030000}"/>
    <hyperlink ref="P168" r:id="rId837" xr:uid="{00000000-0004-0000-0000-000044030000}"/>
    <hyperlink ref="R168" r:id="rId838" xr:uid="{00000000-0004-0000-0000-000045030000}"/>
    <hyperlink ref="L168" r:id="rId839" xr:uid="{00000000-0004-0000-0000-000046030000}"/>
    <hyperlink ref="X168" r:id="rId840" xr:uid="{00000000-0004-0000-0000-000047030000}"/>
    <hyperlink ref="T70" r:id="rId841" xr:uid="{00000000-0004-0000-0000-000048030000}"/>
    <hyperlink ref="F70" r:id="rId842" xr:uid="{00000000-0004-0000-0000-000049030000}"/>
    <hyperlink ref="J70" r:id="rId843" xr:uid="{00000000-0004-0000-0000-00004A030000}"/>
    <hyperlink ref="N70" r:id="rId844" xr:uid="{00000000-0004-0000-0000-00004B030000}"/>
    <hyperlink ref="H70" r:id="rId845" xr:uid="{00000000-0004-0000-0000-00004C030000}"/>
    <hyperlink ref="V70" r:id="rId846" xr:uid="{00000000-0004-0000-0000-00004D030000}"/>
    <hyperlink ref="P70" r:id="rId847" xr:uid="{00000000-0004-0000-0000-00004E030000}"/>
    <hyperlink ref="R70" r:id="rId848" xr:uid="{00000000-0004-0000-0000-00004F030000}"/>
    <hyperlink ref="L70" r:id="rId849" xr:uid="{00000000-0004-0000-0000-000050030000}"/>
    <hyperlink ref="X70" r:id="rId850" xr:uid="{00000000-0004-0000-0000-000051030000}"/>
    <hyperlink ref="T111" r:id="rId851" xr:uid="{00000000-0004-0000-0000-000052030000}"/>
    <hyperlink ref="F111" r:id="rId852" xr:uid="{00000000-0004-0000-0000-000053030000}"/>
    <hyperlink ref="J111" r:id="rId853" xr:uid="{00000000-0004-0000-0000-000054030000}"/>
    <hyperlink ref="N111" r:id="rId854" xr:uid="{00000000-0004-0000-0000-000055030000}"/>
    <hyperlink ref="H111" r:id="rId855" xr:uid="{00000000-0004-0000-0000-000056030000}"/>
    <hyperlink ref="V111" r:id="rId856" xr:uid="{00000000-0004-0000-0000-000057030000}"/>
    <hyperlink ref="P111" r:id="rId857" xr:uid="{00000000-0004-0000-0000-000058030000}"/>
    <hyperlink ref="R111" r:id="rId858" xr:uid="{00000000-0004-0000-0000-000059030000}"/>
    <hyperlink ref="L111" r:id="rId859" xr:uid="{00000000-0004-0000-0000-00005A030000}"/>
    <hyperlink ref="X111" r:id="rId860" xr:uid="{00000000-0004-0000-0000-00005B030000}"/>
    <hyperlink ref="T92" r:id="rId861" xr:uid="{00000000-0004-0000-0000-00005C030000}"/>
    <hyperlink ref="F92" r:id="rId862" xr:uid="{00000000-0004-0000-0000-00005D030000}"/>
    <hyperlink ref="J92" r:id="rId863" xr:uid="{00000000-0004-0000-0000-00005E030000}"/>
    <hyperlink ref="N92" r:id="rId864" xr:uid="{00000000-0004-0000-0000-00005F030000}"/>
    <hyperlink ref="H92" r:id="rId865" xr:uid="{00000000-0004-0000-0000-000060030000}"/>
    <hyperlink ref="V92" r:id="rId866" xr:uid="{00000000-0004-0000-0000-000061030000}"/>
    <hyperlink ref="P92" r:id="rId867" xr:uid="{00000000-0004-0000-0000-000062030000}"/>
    <hyperlink ref="R92" r:id="rId868" xr:uid="{00000000-0004-0000-0000-000063030000}"/>
    <hyperlink ref="L92" r:id="rId869" xr:uid="{00000000-0004-0000-0000-000064030000}"/>
    <hyperlink ref="X92" r:id="rId870" xr:uid="{00000000-0004-0000-0000-000065030000}"/>
    <hyperlink ref="T131" r:id="rId871" xr:uid="{00000000-0004-0000-0000-000066030000}"/>
    <hyperlink ref="F131" r:id="rId872" xr:uid="{00000000-0004-0000-0000-000067030000}"/>
    <hyperlink ref="J131" r:id="rId873" xr:uid="{00000000-0004-0000-0000-000068030000}"/>
    <hyperlink ref="N131" r:id="rId874" xr:uid="{00000000-0004-0000-0000-000069030000}"/>
    <hyperlink ref="H131" r:id="rId875" xr:uid="{00000000-0004-0000-0000-00006A030000}"/>
    <hyperlink ref="V131" r:id="rId876" xr:uid="{00000000-0004-0000-0000-00006B030000}"/>
    <hyperlink ref="P131" r:id="rId877" xr:uid="{00000000-0004-0000-0000-00006C030000}"/>
    <hyperlink ref="R131" r:id="rId878" xr:uid="{00000000-0004-0000-0000-00006D030000}"/>
    <hyperlink ref="L131" r:id="rId879" xr:uid="{00000000-0004-0000-0000-00006E030000}"/>
    <hyperlink ref="X131" r:id="rId880" xr:uid="{00000000-0004-0000-0000-00006F030000}"/>
    <hyperlink ref="T9" r:id="rId881" xr:uid="{00000000-0004-0000-0000-000070030000}"/>
    <hyperlink ref="F9" r:id="rId882" xr:uid="{00000000-0004-0000-0000-000071030000}"/>
    <hyperlink ref="J9" r:id="rId883" xr:uid="{00000000-0004-0000-0000-000072030000}"/>
    <hyperlink ref="N9" r:id="rId884" xr:uid="{00000000-0004-0000-0000-000073030000}"/>
    <hyperlink ref="H9" r:id="rId885" xr:uid="{00000000-0004-0000-0000-000074030000}"/>
    <hyperlink ref="V9" r:id="rId886" xr:uid="{00000000-0004-0000-0000-000075030000}"/>
    <hyperlink ref="P9" r:id="rId887" xr:uid="{00000000-0004-0000-0000-000076030000}"/>
    <hyperlink ref="R9" r:id="rId888" xr:uid="{00000000-0004-0000-0000-000077030000}"/>
    <hyperlink ref="L9" r:id="rId889" xr:uid="{00000000-0004-0000-0000-000078030000}"/>
    <hyperlink ref="X9" r:id="rId890" xr:uid="{00000000-0004-0000-0000-000079030000}"/>
    <hyperlink ref="T184" r:id="rId891" xr:uid="{00000000-0004-0000-0000-00007A030000}"/>
    <hyperlink ref="F184" r:id="rId892" xr:uid="{00000000-0004-0000-0000-00007B030000}"/>
    <hyperlink ref="J184" r:id="rId893" xr:uid="{00000000-0004-0000-0000-00007C030000}"/>
    <hyperlink ref="N184" r:id="rId894" xr:uid="{00000000-0004-0000-0000-00007D030000}"/>
    <hyperlink ref="H184" r:id="rId895" xr:uid="{00000000-0004-0000-0000-00007E030000}"/>
    <hyperlink ref="V184" r:id="rId896" xr:uid="{00000000-0004-0000-0000-00007F030000}"/>
    <hyperlink ref="P184" r:id="rId897" xr:uid="{00000000-0004-0000-0000-000080030000}"/>
    <hyperlink ref="R184" r:id="rId898" xr:uid="{00000000-0004-0000-0000-000081030000}"/>
    <hyperlink ref="L184" r:id="rId899" xr:uid="{00000000-0004-0000-0000-000082030000}"/>
    <hyperlink ref="X184" r:id="rId900" xr:uid="{00000000-0004-0000-0000-000083030000}"/>
    <hyperlink ref="T113" r:id="rId901" xr:uid="{00000000-0004-0000-0000-000084030000}"/>
    <hyperlink ref="F113" r:id="rId902" xr:uid="{00000000-0004-0000-0000-000085030000}"/>
    <hyperlink ref="J113" r:id="rId903" xr:uid="{00000000-0004-0000-0000-000086030000}"/>
    <hyperlink ref="N113" r:id="rId904" xr:uid="{00000000-0004-0000-0000-000087030000}"/>
    <hyperlink ref="H113" r:id="rId905" xr:uid="{00000000-0004-0000-0000-000088030000}"/>
    <hyperlink ref="V113" r:id="rId906" xr:uid="{00000000-0004-0000-0000-000089030000}"/>
    <hyperlink ref="P113" r:id="rId907" xr:uid="{00000000-0004-0000-0000-00008A030000}"/>
    <hyperlink ref="R113" r:id="rId908" xr:uid="{00000000-0004-0000-0000-00008B030000}"/>
    <hyperlink ref="L113" r:id="rId909" xr:uid="{00000000-0004-0000-0000-00008C030000}"/>
    <hyperlink ref="X113" r:id="rId910" xr:uid="{00000000-0004-0000-0000-00008D030000}"/>
    <hyperlink ref="T132" r:id="rId911" xr:uid="{00000000-0004-0000-0000-00008E030000}"/>
    <hyperlink ref="F132" r:id="rId912" xr:uid="{00000000-0004-0000-0000-00008F030000}"/>
    <hyperlink ref="J132" r:id="rId913" xr:uid="{00000000-0004-0000-0000-000090030000}"/>
    <hyperlink ref="N132" r:id="rId914" xr:uid="{00000000-0004-0000-0000-000091030000}"/>
    <hyperlink ref="H132" r:id="rId915" xr:uid="{00000000-0004-0000-0000-000092030000}"/>
    <hyperlink ref="V132" r:id="rId916" xr:uid="{00000000-0004-0000-0000-000093030000}"/>
    <hyperlink ref="P132" r:id="rId917" xr:uid="{00000000-0004-0000-0000-000094030000}"/>
    <hyperlink ref="R132" r:id="rId918" xr:uid="{00000000-0004-0000-0000-000095030000}"/>
    <hyperlink ref="L132" r:id="rId919" xr:uid="{00000000-0004-0000-0000-000096030000}"/>
    <hyperlink ref="X132" r:id="rId920" xr:uid="{00000000-0004-0000-0000-000097030000}"/>
    <hyperlink ref="T100" r:id="rId921" xr:uid="{00000000-0004-0000-0000-000098030000}"/>
    <hyperlink ref="F100" r:id="rId922" xr:uid="{00000000-0004-0000-0000-000099030000}"/>
    <hyperlink ref="J100" r:id="rId923" xr:uid="{00000000-0004-0000-0000-00009A030000}"/>
    <hyperlink ref="N100" r:id="rId924" xr:uid="{00000000-0004-0000-0000-00009B030000}"/>
    <hyperlink ref="H100" r:id="rId925" xr:uid="{00000000-0004-0000-0000-00009C030000}"/>
    <hyperlink ref="V100" r:id="rId926" xr:uid="{00000000-0004-0000-0000-00009D030000}"/>
    <hyperlink ref="P100" r:id="rId927" xr:uid="{00000000-0004-0000-0000-00009E030000}"/>
    <hyperlink ref="R100" r:id="rId928" xr:uid="{00000000-0004-0000-0000-00009F030000}"/>
    <hyperlink ref="L100" r:id="rId929" xr:uid="{00000000-0004-0000-0000-0000A0030000}"/>
    <hyperlink ref="X100" r:id="rId930" xr:uid="{00000000-0004-0000-0000-0000A1030000}"/>
    <hyperlink ref="T169" r:id="rId931" xr:uid="{00000000-0004-0000-0000-0000A2030000}"/>
    <hyperlink ref="F169" r:id="rId932" xr:uid="{00000000-0004-0000-0000-0000A3030000}"/>
    <hyperlink ref="J169" r:id="rId933" xr:uid="{00000000-0004-0000-0000-0000A4030000}"/>
    <hyperlink ref="N169" r:id="rId934" xr:uid="{00000000-0004-0000-0000-0000A5030000}"/>
    <hyperlink ref="H169" r:id="rId935" xr:uid="{00000000-0004-0000-0000-0000A6030000}"/>
    <hyperlink ref="V169" r:id="rId936" xr:uid="{00000000-0004-0000-0000-0000A7030000}"/>
    <hyperlink ref="P169" r:id="rId937" xr:uid="{00000000-0004-0000-0000-0000A8030000}"/>
    <hyperlink ref="R169" r:id="rId938" xr:uid="{00000000-0004-0000-0000-0000A9030000}"/>
    <hyperlink ref="L169" r:id="rId939" xr:uid="{00000000-0004-0000-0000-0000AA030000}"/>
    <hyperlink ref="X169" r:id="rId940" xr:uid="{00000000-0004-0000-0000-0000AB030000}"/>
    <hyperlink ref="T93" r:id="rId941" xr:uid="{00000000-0004-0000-0000-0000AC030000}"/>
    <hyperlink ref="F93" r:id="rId942" xr:uid="{00000000-0004-0000-0000-0000AD030000}"/>
    <hyperlink ref="J93" r:id="rId943" xr:uid="{00000000-0004-0000-0000-0000AE030000}"/>
    <hyperlink ref="N93" r:id="rId944" xr:uid="{00000000-0004-0000-0000-0000AF030000}"/>
    <hyperlink ref="H93" r:id="rId945" xr:uid="{00000000-0004-0000-0000-0000B0030000}"/>
    <hyperlink ref="V93" r:id="rId946" xr:uid="{00000000-0004-0000-0000-0000B1030000}"/>
    <hyperlink ref="P93" r:id="rId947" xr:uid="{00000000-0004-0000-0000-0000B2030000}"/>
    <hyperlink ref="R93" r:id="rId948" xr:uid="{00000000-0004-0000-0000-0000B3030000}"/>
    <hyperlink ref="L93" r:id="rId949" xr:uid="{00000000-0004-0000-0000-0000B4030000}"/>
    <hyperlink ref="X93" r:id="rId950" xr:uid="{00000000-0004-0000-0000-0000B5030000}"/>
    <hyperlink ref="T45" r:id="rId951" xr:uid="{00000000-0004-0000-0000-0000B6030000}"/>
    <hyperlink ref="F45" r:id="rId952" xr:uid="{00000000-0004-0000-0000-0000B7030000}"/>
    <hyperlink ref="J45" r:id="rId953" xr:uid="{00000000-0004-0000-0000-0000B8030000}"/>
    <hyperlink ref="N45" r:id="rId954" xr:uid="{00000000-0004-0000-0000-0000B9030000}"/>
    <hyperlink ref="H45" r:id="rId955" xr:uid="{00000000-0004-0000-0000-0000BA030000}"/>
    <hyperlink ref="V45" r:id="rId956" xr:uid="{00000000-0004-0000-0000-0000BB030000}"/>
    <hyperlink ref="P45" r:id="rId957" xr:uid="{00000000-0004-0000-0000-0000BC030000}"/>
    <hyperlink ref="R45" r:id="rId958" xr:uid="{00000000-0004-0000-0000-0000BD030000}"/>
    <hyperlink ref="L45" r:id="rId959" xr:uid="{00000000-0004-0000-0000-0000BE030000}"/>
    <hyperlink ref="X45" r:id="rId960" xr:uid="{00000000-0004-0000-0000-0000BF030000}"/>
    <hyperlink ref="T27" r:id="rId961" xr:uid="{00000000-0004-0000-0000-0000C0030000}"/>
    <hyperlink ref="F27" r:id="rId962" xr:uid="{00000000-0004-0000-0000-0000C1030000}"/>
    <hyperlink ref="J27" r:id="rId963" xr:uid="{00000000-0004-0000-0000-0000C2030000}"/>
    <hyperlink ref="N27" r:id="rId964" xr:uid="{00000000-0004-0000-0000-0000C3030000}"/>
    <hyperlink ref="H27" r:id="rId965" xr:uid="{00000000-0004-0000-0000-0000C4030000}"/>
    <hyperlink ref="V27" r:id="rId966" xr:uid="{00000000-0004-0000-0000-0000C5030000}"/>
    <hyperlink ref="P27" r:id="rId967" xr:uid="{00000000-0004-0000-0000-0000C6030000}"/>
    <hyperlink ref="R27" r:id="rId968" xr:uid="{00000000-0004-0000-0000-0000C7030000}"/>
    <hyperlink ref="L27" r:id="rId969" xr:uid="{00000000-0004-0000-0000-0000C8030000}"/>
    <hyperlink ref="X27" r:id="rId970" xr:uid="{00000000-0004-0000-0000-0000C9030000}"/>
    <hyperlink ref="T4" r:id="rId971" xr:uid="{00000000-0004-0000-0000-0000CA030000}"/>
    <hyperlink ref="F4" r:id="rId972" xr:uid="{00000000-0004-0000-0000-0000CB030000}"/>
    <hyperlink ref="J4" r:id="rId973" xr:uid="{00000000-0004-0000-0000-0000CC030000}"/>
    <hyperlink ref="N4" r:id="rId974" xr:uid="{00000000-0004-0000-0000-0000CD030000}"/>
    <hyperlink ref="H4" r:id="rId975" xr:uid="{00000000-0004-0000-0000-0000CE030000}"/>
    <hyperlink ref="V4" r:id="rId976" xr:uid="{00000000-0004-0000-0000-0000CF030000}"/>
    <hyperlink ref="P4" r:id="rId977" xr:uid="{00000000-0004-0000-0000-0000D0030000}"/>
    <hyperlink ref="R4" r:id="rId978" xr:uid="{00000000-0004-0000-0000-0000D1030000}"/>
    <hyperlink ref="L4" r:id="rId979" xr:uid="{00000000-0004-0000-0000-0000D2030000}"/>
    <hyperlink ref="X4" r:id="rId980" xr:uid="{00000000-0004-0000-0000-0000D3030000}"/>
    <hyperlink ref="T143" r:id="rId981" xr:uid="{00000000-0004-0000-0000-0000D4030000}"/>
    <hyperlink ref="F143" r:id="rId982" xr:uid="{00000000-0004-0000-0000-0000D5030000}"/>
    <hyperlink ref="J143" r:id="rId983" xr:uid="{00000000-0004-0000-0000-0000D6030000}"/>
    <hyperlink ref="N143" r:id="rId984" xr:uid="{00000000-0004-0000-0000-0000D7030000}"/>
    <hyperlink ref="H143" r:id="rId985" xr:uid="{00000000-0004-0000-0000-0000D8030000}"/>
    <hyperlink ref="V143" r:id="rId986" xr:uid="{00000000-0004-0000-0000-0000D9030000}"/>
    <hyperlink ref="P143" r:id="rId987" xr:uid="{00000000-0004-0000-0000-0000DA030000}"/>
    <hyperlink ref="R143" r:id="rId988" xr:uid="{00000000-0004-0000-0000-0000DB030000}"/>
    <hyperlink ref="L143" r:id="rId989" xr:uid="{00000000-0004-0000-0000-0000DC030000}"/>
    <hyperlink ref="X143" r:id="rId990" xr:uid="{00000000-0004-0000-0000-0000DD030000}"/>
    <hyperlink ref="T170" r:id="rId991" xr:uid="{00000000-0004-0000-0000-0000DE030000}"/>
    <hyperlink ref="F170" r:id="rId992" xr:uid="{00000000-0004-0000-0000-0000DF030000}"/>
    <hyperlink ref="J170" r:id="rId993" xr:uid="{00000000-0004-0000-0000-0000E0030000}"/>
    <hyperlink ref="N170" r:id="rId994" xr:uid="{00000000-0004-0000-0000-0000E1030000}"/>
    <hyperlink ref="H170" r:id="rId995" xr:uid="{00000000-0004-0000-0000-0000E2030000}"/>
    <hyperlink ref="V170" r:id="rId996" xr:uid="{00000000-0004-0000-0000-0000E3030000}"/>
    <hyperlink ref="P170" r:id="rId997" xr:uid="{00000000-0004-0000-0000-0000E4030000}"/>
    <hyperlink ref="R170" r:id="rId998" xr:uid="{00000000-0004-0000-0000-0000E5030000}"/>
    <hyperlink ref="L170" r:id="rId999" xr:uid="{00000000-0004-0000-0000-0000E6030000}"/>
    <hyperlink ref="X170" r:id="rId1000" xr:uid="{00000000-0004-0000-0000-0000E7030000}"/>
    <hyperlink ref="T171" r:id="rId1001" xr:uid="{00000000-0004-0000-0000-0000E8030000}"/>
    <hyperlink ref="F171" r:id="rId1002" xr:uid="{00000000-0004-0000-0000-0000E9030000}"/>
    <hyperlink ref="J171" r:id="rId1003" xr:uid="{00000000-0004-0000-0000-0000EA030000}"/>
    <hyperlink ref="N171" r:id="rId1004" xr:uid="{00000000-0004-0000-0000-0000EB030000}"/>
    <hyperlink ref="H171" r:id="rId1005" xr:uid="{00000000-0004-0000-0000-0000EC030000}"/>
    <hyperlink ref="V171" r:id="rId1006" xr:uid="{00000000-0004-0000-0000-0000ED030000}"/>
    <hyperlink ref="P171" r:id="rId1007" xr:uid="{00000000-0004-0000-0000-0000EE030000}"/>
    <hyperlink ref="R171" r:id="rId1008" xr:uid="{00000000-0004-0000-0000-0000EF030000}"/>
    <hyperlink ref="L171" r:id="rId1009" xr:uid="{00000000-0004-0000-0000-0000F0030000}"/>
    <hyperlink ref="X171" r:id="rId1010" xr:uid="{00000000-0004-0000-0000-0000F1030000}"/>
    <hyperlink ref="T46" r:id="rId1011" xr:uid="{00000000-0004-0000-0000-0000F2030000}"/>
    <hyperlink ref="F46" r:id="rId1012" xr:uid="{00000000-0004-0000-0000-0000F3030000}"/>
    <hyperlink ref="J46" r:id="rId1013" xr:uid="{00000000-0004-0000-0000-0000F4030000}"/>
    <hyperlink ref="N46" r:id="rId1014" xr:uid="{00000000-0004-0000-0000-0000F5030000}"/>
    <hyperlink ref="H46" r:id="rId1015" xr:uid="{00000000-0004-0000-0000-0000F6030000}"/>
    <hyperlink ref="V46" r:id="rId1016" xr:uid="{00000000-0004-0000-0000-0000F7030000}"/>
    <hyperlink ref="P46" r:id="rId1017" xr:uid="{00000000-0004-0000-0000-0000F8030000}"/>
    <hyperlink ref="R46" r:id="rId1018" xr:uid="{00000000-0004-0000-0000-0000F9030000}"/>
    <hyperlink ref="L46" r:id="rId1019" xr:uid="{00000000-0004-0000-0000-0000FA030000}"/>
    <hyperlink ref="X46" r:id="rId1020" xr:uid="{00000000-0004-0000-0000-0000FB030000}"/>
    <hyperlink ref="T47" r:id="rId1021" xr:uid="{00000000-0004-0000-0000-0000FC030000}"/>
    <hyperlink ref="F47" r:id="rId1022" xr:uid="{00000000-0004-0000-0000-0000FD030000}"/>
    <hyperlink ref="J47" r:id="rId1023" xr:uid="{00000000-0004-0000-0000-0000FE030000}"/>
    <hyperlink ref="N47" r:id="rId1024" xr:uid="{00000000-0004-0000-0000-0000FF030000}"/>
    <hyperlink ref="H47" r:id="rId1025" xr:uid="{00000000-0004-0000-0000-000000040000}"/>
    <hyperlink ref="V47" r:id="rId1026" xr:uid="{00000000-0004-0000-0000-000001040000}"/>
    <hyperlink ref="P47" r:id="rId1027" xr:uid="{00000000-0004-0000-0000-000002040000}"/>
    <hyperlink ref="R47" r:id="rId1028" xr:uid="{00000000-0004-0000-0000-000003040000}"/>
    <hyperlink ref="L47" r:id="rId1029" xr:uid="{00000000-0004-0000-0000-000004040000}"/>
    <hyperlink ref="X47" r:id="rId1030" xr:uid="{00000000-0004-0000-0000-000005040000}"/>
    <hyperlink ref="T101" r:id="rId1031" xr:uid="{00000000-0004-0000-0000-000006040000}"/>
    <hyperlink ref="F101" r:id="rId1032" xr:uid="{00000000-0004-0000-0000-000007040000}"/>
    <hyperlink ref="J101" r:id="rId1033" xr:uid="{00000000-0004-0000-0000-000008040000}"/>
    <hyperlink ref="N101" r:id="rId1034" xr:uid="{00000000-0004-0000-0000-000009040000}"/>
    <hyperlink ref="H101" r:id="rId1035" xr:uid="{00000000-0004-0000-0000-00000A040000}"/>
    <hyperlink ref="V101" r:id="rId1036" xr:uid="{00000000-0004-0000-0000-00000B040000}"/>
    <hyperlink ref="P101" r:id="rId1037" xr:uid="{00000000-0004-0000-0000-00000C040000}"/>
    <hyperlink ref="R101" r:id="rId1038" xr:uid="{00000000-0004-0000-0000-00000D040000}"/>
    <hyperlink ref="L101" r:id="rId1039" xr:uid="{00000000-0004-0000-0000-00000E040000}"/>
    <hyperlink ref="X101" r:id="rId1040" xr:uid="{00000000-0004-0000-0000-00000F040000}"/>
    <hyperlink ref="T124" r:id="rId1041" xr:uid="{00000000-0004-0000-0000-000010040000}"/>
    <hyperlink ref="F124" r:id="rId1042" xr:uid="{00000000-0004-0000-0000-000011040000}"/>
    <hyperlink ref="J124" r:id="rId1043" xr:uid="{00000000-0004-0000-0000-000012040000}"/>
    <hyperlink ref="N124" r:id="rId1044" xr:uid="{00000000-0004-0000-0000-000013040000}"/>
    <hyperlink ref="H124" r:id="rId1045" xr:uid="{00000000-0004-0000-0000-000014040000}"/>
    <hyperlink ref="V124" r:id="rId1046" xr:uid="{00000000-0004-0000-0000-000015040000}"/>
    <hyperlink ref="P124" r:id="rId1047" xr:uid="{00000000-0004-0000-0000-000016040000}"/>
    <hyperlink ref="R124" r:id="rId1048" xr:uid="{00000000-0004-0000-0000-000017040000}"/>
    <hyperlink ref="L124" r:id="rId1049" xr:uid="{00000000-0004-0000-0000-000018040000}"/>
    <hyperlink ref="X124" r:id="rId1050" xr:uid="{00000000-0004-0000-0000-000019040000}"/>
    <hyperlink ref="T28" r:id="rId1051" xr:uid="{00000000-0004-0000-0000-00001A040000}"/>
    <hyperlink ref="F28" r:id="rId1052" xr:uid="{00000000-0004-0000-0000-00001B040000}"/>
    <hyperlink ref="J28" r:id="rId1053" xr:uid="{00000000-0004-0000-0000-00001C040000}"/>
    <hyperlink ref="N28" r:id="rId1054" xr:uid="{00000000-0004-0000-0000-00001D040000}"/>
    <hyperlink ref="H28" r:id="rId1055" xr:uid="{00000000-0004-0000-0000-00001E040000}"/>
    <hyperlink ref="V28" r:id="rId1056" xr:uid="{00000000-0004-0000-0000-00001F040000}"/>
    <hyperlink ref="P28" r:id="rId1057" xr:uid="{00000000-0004-0000-0000-000020040000}"/>
    <hyperlink ref="R28" r:id="rId1058" xr:uid="{00000000-0004-0000-0000-000021040000}"/>
    <hyperlink ref="L28" r:id="rId1059" xr:uid="{00000000-0004-0000-0000-000022040000}"/>
    <hyperlink ref="X28" r:id="rId1060" xr:uid="{00000000-0004-0000-0000-000023040000}"/>
    <hyperlink ref="T172" r:id="rId1061" xr:uid="{00000000-0004-0000-0000-000024040000}"/>
    <hyperlink ref="F172" r:id="rId1062" xr:uid="{00000000-0004-0000-0000-000025040000}"/>
    <hyperlink ref="J172" r:id="rId1063" xr:uid="{00000000-0004-0000-0000-000026040000}"/>
    <hyperlink ref="N172" r:id="rId1064" xr:uid="{00000000-0004-0000-0000-000027040000}"/>
    <hyperlink ref="H172" r:id="rId1065" xr:uid="{00000000-0004-0000-0000-000028040000}"/>
    <hyperlink ref="V172" r:id="rId1066" xr:uid="{00000000-0004-0000-0000-000029040000}"/>
    <hyperlink ref="P172" r:id="rId1067" xr:uid="{00000000-0004-0000-0000-00002A040000}"/>
    <hyperlink ref="R172" r:id="rId1068" xr:uid="{00000000-0004-0000-0000-00002B040000}"/>
    <hyperlink ref="L172" r:id="rId1069" xr:uid="{00000000-0004-0000-0000-00002C040000}"/>
    <hyperlink ref="X172" r:id="rId1070" xr:uid="{00000000-0004-0000-0000-00002D040000}"/>
    <hyperlink ref="T185" r:id="rId1071" xr:uid="{00000000-0004-0000-0000-00002E040000}"/>
    <hyperlink ref="F185" r:id="rId1072" xr:uid="{00000000-0004-0000-0000-00002F040000}"/>
    <hyperlink ref="J185" r:id="rId1073" xr:uid="{00000000-0004-0000-0000-000030040000}"/>
    <hyperlink ref="N185" r:id="rId1074" xr:uid="{00000000-0004-0000-0000-000031040000}"/>
    <hyperlink ref="H185" r:id="rId1075" xr:uid="{00000000-0004-0000-0000-000032040000}"/>
    <hyperlink ref="V185" r:id="rId1076" xr:uid="{00000000-0004-0000-0000-000033040000}"/>
    <hyperlink ref="P185" r:id="rId1077" xr:uid="{00000000-0004-0000-0000-000034040000}"/>
    <hyperlink ref="R185" r:id="rId1078" xr:uid="{00000000-0004-0000-0000-000035040000}"/>
    <hyperlink ref="L185" r:id="rId1079" xr:uid="{00000000-0004-0000-0000-000036040000}"/>
    <hyperlink ref="X185" r:id="rId1080" xr:uid="{00000000-0004-0000-0000-000037040000}"/>
    <hyperlink ref="T5" r:id="rId1081" xr:uid="{00000000-0004-0000-0000-000038040000}"/>
    <hyperlink ref="F5" r:id="rId1082" xr:uid="{00000000-0004-0000-0000-000039040000}"/>
    <hyperlink ref="J5" r:id="rId1083" xr:uid="{00000000-0004-0000-0000-00003A040000}"/>
    <hyperlink ref="N5" r:id="rId1084" xr:uid="{00000000-0004-0000-0000-00003B040000}"/>
    <hyperlink ref="H5" r:id="rId1085" xr:uid="{00000000-0004-0000-0000-00003C040000}"/>
    <hyperlink ref="V5" r:id="rId1086" xr:uid="{00000000-0004-0000-0000-00003D040000}"/>
    <hyperlink ref="P5" r:id="rId1087" xr:uid="{00000000-0004-0000-0000-00003E040000}"/>
    <hyperlink ref="R5" r:id="rId1088" xr:uid="{00000000-0004-0000-0000-00003F040000}"/>
    <hyperlink ref="L5" r:id="rId1089" xr:uid="{00000000-0004-0000-0000-000040040000}"/>
    <hyperlink ref="X5" r:id="rId1090" xr:uid="{00000000-0004-0000-0000-000041040000}"/>
    <hyperlink ref="T48" r:id="rId1091" xr:uid="{00000000-0004-0000-0000-000042040000}"/>
    <hyperlink ref="F48" r:id="rId1092" xr:uid="{00000000-0004-0000-0000-000043040000}"/>
    <hyperlink ref="J48" r:id="rId1093" xr:uid="{00000000-0004-0000-0000-000044040000}"/>
    <hyperlink ref="N48" r:id="rId1094" xr:uid="{00000000-0004-0000-0000-000045040000}"/>
    <hyperlink ref="H48" r:id="rId1095" xr:uid="{00000000-0004-0000-0000-000046040000}"/>
    <hyperlink ref="V48" r:id="rId1096" xr:uid="{00000000-0004-0000-0000-000047040000}"/>
    <hyperlink ref="P48" r:id="rId1097" xr:uid="{00000000-0004-0000-0000-000048040000}"/>
    <hyperlink ref="R48" r:id="rId1098" xr:uid="{00000000-0004-0000-0000-000049040000}"/>
    <hyperlink ref="L48" r:id="rId1099" xr:uid="{00000000-0004-0000-0000-00004A040000}"/>
    <hyperlink ref="X48" r:id="rId1100" xr:uid="{00000000-0004-0000-0000-00004B040000}"/>
    <hyperlink ref="T89" r:id="rId1101" xr:uid="{00000000-0004-0000-0000-00004C040000}"/>
    <hyperlink ref="F89" r:id="rId1102" xr:uid="{00000000-0004-0000-0000-00004D040000}"/>
    <hyperlink ref="J89" r:id="rId1103" xr:uid="{00000000-0004-0000-0000-00004E040000}"/>
    <hyperlink ref="N89" r:id="rId1104" xr:uid="{00000000-0004-0000-0000-00004F040000}"/>
    <hyperlink ref="H89" r:id="rId1105" xr:uid="{00000000-0004-0000-0000-000050040000}"/>
    <hyperlink ref="V89" r:id="rId1106" xr:uid="{00000000-0004-0000-0000-000051040000}"/>
    <hyperlink ref="P89" r:id="rId1107" xr:uid="{00000000-0004-0000-0000-000052040000}"/>
    <hyperlink ref="R89" r:id="rId1108" xr:uid="{00000000-0004-0000-0000-000053040000}"/>
    <hyperlink ref="L89" r:id="rId1109" xr:uid="{00000000-0004-0000-0000-000054040000}"/>
    <hyperlink ref="X89" r:id="rId1110" xr:uid="{00000000-0004-0000-0000-000055040000}"/>
    <hyperlink ref="T186" r:id="rId1111" xr:uid="{00000000-0004-0000-0000-000056040000}"/>
    <hyperlink ref="F186" r:id="rId1112" xr:uid="{00000000-0004-0000-0000-000057040000}"/>
    <hyperlink ref="J186" r:id="rId1113" xr:uid="{00000000-0004-0000-0000-000058040000}"/>
    <hyperlink ref="N186" r:id="rId1114" xr:uid="{00000000-0004-0000-0000-000059040000}"/>
    <hyperlink ref="H186" r:id="rId1115" xr:uid="{00000000-0004-0000-0000-00005A040000}"/>
    <hyperlink ref="V186" r:id="rId1116" xr:uid="{00000000-0004-0000-0000-00005B040000}"/>
    <hyperlink ref="P186" r:id="rId1117" xr:uid="{00000000-0004-0000-0000-00005C040000}"/>
    <hyperlink ref="R186" r:id="rId1118" xr:uid="{00000000-0004-0000-0000-00005D040000}"/>
    <hyperlink ref="L186" r:id="rId1119" xr:uid="{00000000-0004-0000-0000-00005E040000}"/>
    <hyperlink ref="X186" r:id="rId1120" xr:uid="{00000000-0004-0000-0000-00005F040000}"/>
    <hyperlink ref="T144" r:id="rId1121" xr:uid="{00000000-0004-0000-0000-000060040000}"/>
    <hyperlink ref="F144" r:id="rId1122" xr:uid="{00000000-0004-0000-0000-000061040000}"/>
    <hyperlink ref="J144" r:id="rId1123" xr:uid="{00000000-0004-0000-0000-000062040000}"/>
    <hyperlink ref="N144" r:id="rId1124" xr:uid="{00000000-0004-0000-0000-000063040000}"/>
    <hyperlink ref="H144" r:id="rId1125" xr:uid="{00000000-0004-0000-0000-000064040000}"/>
    <hyperlink ref="V144" r:id="rId1126" xr:uid="{00000000-0004-0000-0000-000065040000}"/>
    <hyperlink ref="P144" r:id="rId1127" xr:uid="{00000000-0004-0000-0000-000066040000}"/>
    <hyperlink ref="R144" r:id="rId1128" xr:uid="{00000000-0004-0000-0000-000067040000}"/>
    <hyperlink ref="L144" r:id="rId1129" xr:uid="{00000000-0004-0000-0000-000068040000}"/>
    <hyperlink ref="X144" r:id="rId1130" xr:uid="{00000000-0004-0000-0000-000069040000}"/>
    <hyperlink ref="T133" r:id="rId1131" xr:uid="{00000000-0004-0000-0000-00006A040000}"/>
    <hyperlink ref="F133" r:id="rId1132" xr:uid="{00000000-0004-0000-0000-00006B040000}"/>
    <hyperlink ref="J133" r:id="rId1133" xr:uid="{00000000-0004-0000-0000-00006C040000}"/>
    <hyperlink ref="N133" r:id="rId1134" xr:uid="{00000000-0004-0000-0000-00006D040000}"/>
    <hyperlink ref="H133" r:id="rId1135" xr:uid="{00000000-0004-0000-0000-00006E040000}"/>
    <hyperlink ref="V133" r:id="rId1136" xr:uid="{00000000-0004-0000-0000-00006F040000}"/>
    <hyperlink ref="P133" r:id="rId1137" xr:uid="{00000000-0004-0000-0000-000070040000}"/>
    <hyperlink ref="R133" r:id="rId1138" xr:uid="{00000000-0004-0000-0000-000071040000}"/>
    <hyperlink ref="L133" r:id="rId1139" xr:uid="{00000000-0004-0000-0000-000072040000}"/>
    <hyperlink ref="X133" r:id="rId1140" xr:uid="{00000000-0004-0000-0000-000073040000}"/>
    <hyperlink ref="T145" r:id="rId1141" xr:uid="{00000000-0004-0000-0000-000074040000}"/>
    <hyperlink ref="F145" r:id="rId1142" xr:uid="{00000000-0004-0000-0000-000075040000}"/>
    <hyperlink ref="J145" r:id="rId1143" xr:uid="{00000000-0004-0000-0000-000076040000}"/>
    <hyperlink ref="N145" r:id="rId1144" xr:uid="{00000000-0004-0000-0000-000077040000}"/>
    <hyperlink ref="H145" r:id="rId1145" xr:uid="{00000000-0004-0000-0000-000078040000}"/>
    <hyperlink ref="V145" r:id="rId1146" xr:uid="{00000000-0004-0000-0000-000079040000}"/>
    <hyperlink ref="P145" r:id="rId1147" xr:uid="{00000000-0004-0000-0000-00007A040000}"/>
    <hyperlink ref="R145" r:id="rId1148" xr:uid="{00000000-0004-0000-0000-00007B040000}"/>
    <hyperlink ref="L145" r:id="rId1149" xr:uid="{00000000-0004-0000-0000-00007C040000}"/>
    <hyperlink ref="X145" r:id="rId1150" xr:uid="{00000000-0004-0000-0000-00007D040000}"/>
    <hyperlink ref="T6" r:id="rId1151" xr:uid="{00000000-0004-0000-0000-00007E040000}"/>
    <hyperlink ref="F6" r:id="rId1152" xr:uid="{00000000-0004-0000-0000-00007F040000}"/>
    <hyperlink ref="J6" r:id="rId1153" xr:uid="{00000000-0004-0000-0000-000080040000}"/>
    <hyperlink ref="N6" r:id="rId1154" xr:uid="{00000000-0004-0000-0000-000081040000}"/>
    <hyperlink ref="H6" r:id="rId1155" xr:uid="{00000000-0004-0000-0000-000082040000}"/>
    <hyperlink ref="V6" r:id="rId1156" xr:uid="{00000000-0004-0000-0000-000083040000}"/>
    <hyperlink ref="P6" r:id="rId1157" xr:uid="{00000000-0004-0000-0000-000084040000}"/>
    <hyperlink ref="R6" r:id="rId1158" xr:uid="{00000000-0004-0000-0000-000085040000}"/>
    <hyperlink ref="L6" r:id="rId1159" xr:uid="{00000000-0004-0000-0000-000086040000}"/>
    <hyperlink ref="X6" r:id="rId1160" xr:uid="{00000000-0004-0000-0000-000087040000}"/>
    <hyperlink ref="T49" r:id="rId1161" xr:uid="{00000000-0004-0000-0000-000088040000}"/>
    <hyperlink ref="F49" r:id="rId1162" xr:uid="{00000000-0004-0000-0000-000089040000}"/>
    <hyperlink ref="J49" r:id="rId1163" xr:uid="{00000000-0004-0000-0000-00008A040000}"/>
    <hyperlink ref="N49" r:id="rId1164" xr:uid="{00000000-0004-0000-0000-00008B040000}"/>
    <hyperlink ref="H49" r:id="rId1165" xr:uid="{00000000-0004-0000-0000-00008C040000}"/>
    <hyperlink ref="V49" r:id="rId1166" xr:uid="{00000000-0004-0000-0000-00008D040000}"/>
    <hyperlink ref="P49" r:id="rId1167" xr:uid="{00000000-0004-0000-0000-00008E040000}"/>
    <hyperlink ref="R49" r:id="rId1168" xr:uid="{00000000-0004-0000-0000-00008F040000}"/>
    <hyperlink ref="L49" r:id="rId1169" xr:uid="{00000000-0004-0000-0000-000090040000}"/>
    <hyperlink ref="X49" r:id="rId1170" xr:uid="{00000000-0004-0000-0000-000091040000}"/>
    <hyperlink ref="T102" r:id="rId1171" xr:uid="{00000000-0004-0000-0000-000092040000}"/>
    <hyperlink ref="F102" r:id="rId1172" xr:uid="{00000000-0004-0000-0000-000093040000}"/>
    <hyperlink ref="J102" r:id="rId1173" xr:uid="{00000000-0004-0000-0000-000094040000}"/>
    <hyperlink ref="N102" r:id="rId1174" xr:uid="{00000000-0004-0000-0000-000095040000}"/>
    <hyperlink ref="H102" r:id="rId1175" xr:uid="{00000000-0004-0000-0000-000096040000}"/>
    <hyperlink ref="V102" r:id="rId1176" xr:uid="{00000000-0004-0000-0000-000097040000}"/>
    <hyperlink ref="P102" r:id="rId1177" xr:uid="{00000000-0004-0000-0000-000098040000}"/>
    <hyperlink ref="R102" r:id="rId1178" xr:uid="{00000000-0004-0000-0000-000099040000}"/>
    <hyperlink ref="L102" r:id="rId1179" xr:uid="{00000000-0004-0000-0000-00009A040000}"/>
    <hyperlink ref="X102" r:id="rId1180" xr:uid="{00000000-0004-0000-0000-00009B040000}"/>
    <hyperlink ref="T50" r:id="rId1181" xr:uid="{00000000-0004-0000-0000-00009C040000}"/>
    <hyperlink ref="F50" r:id="rId1182" xr:uid="{00000000-0004-0000-0000-00009D040000}"/>
    <hyperlink ref="J50" r:id="rId1183" xr:uid="{00000000-0004-0000-0000-00009E040000}"/>
    <hyperlink ref="N50" r:id="rId1184" xr:uid="{00000000-0004-0000-0000-00009F040000}"/>
    <hyperlink ref="H50" r:id="rId1185" xr:uid="{00000000-0004-0000-0000-0000A0040000}"/>
    <hyperlink ref="V50" r:id="rId1186" xr:uid="{00000000-0004-0000-0000-0000A1040000}"/>
    <hyperlink ref="P50" r:id="rId1187" xr:uid="{00000000-0004-0000-0000-0000A2040000}"/>
    <hyperlink ref="R50" r:id="rId1188" xr:uid="{00000000-0004-0000-0000-0000A3040000}"/>
    <hyperlink ref="L50" r:id="rId1189" xr:uid="{00000000-0004-0000-0000-0000A4040000}"/>
    <hyperlink ref="X50" r:id="rId1190" xr:uid="{00000000-0004-0000-0000-0000A5040000}"/>
    <hyperlink ref="T187" r:id="rId1191" xr:uid="{00000000-0004-0000-0000-0000A6040000}"/>
    <hyperlink ref="F187" r:id="rId1192" xr:uid="{00000000-0004-0000-0000-0000A7040000}"/>
    <hyperlink ref="J187" r:id="rId1193" xr:uid="{00000000-0004-0000-0000-0000A8040000}"/>
    <hyperlink ref="N187" r:id="rId1194" xr:uid="{00000000-0004-0000-0000-0000A9040000}"/>
    <hyperlink ref="H187" r:id="rId1195" xr:uid="{00000000-0004-0000-0000-0000AA040000}"/>
    <hyperlink ref="V187" r:id="rId1196" xr:uid="{00000000-0004-0000-0000-0000AB040000}"/>
    <hyperlink ref="P187" r:id="rId1197" xr:uid="{00000000-0004-0000-0000-0000AC040000}"/>
    <hyperlink ref="R187" r:id="rId1198" xr:uid="{00000000-0004-0000-0000-0000AD040000}"/>
    <hyperlink ref="L187" r:id="rId1199" xr:uid="{00000000-0004-0000-0000-0000AE040000}"/>
    <hyperlink ref="X187" r:id="rId1200" xr:uid="{00000000-0004-0000-0000-0000AF040000}"/>
    <hyperlink ref="T125" r:id="rId1201" xr:uid="{00000000-0004-0000-0000-0000B0040000}"/>
    <hyperlink ref="F125" r:id="rId1202" xr:uid="{00000000-0004-0000-0000-0000B1040000}"/>
    <hyperlink ref="J125" r:id="rId1203" xr:uid="{00000000-0004-0000-0000-0000B2040000}"/>
    <hyperlink ref="N125" r:id="rId1204" xr:uid="{00000000-0004-0000-0000-0000B3040000}"/>
    <hyperlink ref="H125" r:id="rId1205" xr:uid="{00000000-0004-0000-0000-0000B4040000}"/>
    <hyperlink ref="V125" r:id="rId1206" xr:uid="{00000000-0004-0000-0000-0000B5040000}"/>
    <hyperlink ref="P125" r:id="rId1207" xr:uid="{00000000-0004-0000-0000-0000B6040000}"/>
    <hyperlink ref="R125" r:id="rId1208" xr:uid="{00000000-0004-0000-0000-0000B7040000}"/>
    <hyperlink ref="L125" r:id="rId1209" xr:uid="{00000000-0004-0000-0000-0000B8040000}"/>
    <hyperlink ref="X125" r:id="rId1210" xr:uid="{00000000-0004-0000-0000-0000B9040000}"/>
    <hyperlink ref="T173" r:id="rId1211" xr:uid="{00000000-0004-0000-0000-0000BA040000}"/>
    <hyperlink ref="F173" r:id="rId1212" xr:uid="{00000000-0004-0000-0000-0000BB040000}"/>
    <hyperlink ref="J173" r:id="rId1213" xr:uid="{00000000-0004-0000-0000-0000BC040000}"/>
    <hyperlink ref="N173" r:id="rId1214" xr:uid="{00000000-0004-0000-0000-0000BD040000}"/>
    <hyperlink ref="H173" r:id="rId1215" xr:uid="{00000000-0004-0000-0000-0000BE040000}"/>
    <hyperlink ref="V173" r:id="rId1216" xr:uid="{00000000-0004-0000-0000-0000BF040000}"/>
    <hyperlink ref="P173" r:id="rId1217" xr:uid="{00000000-0004-0000-0000-0000C0040000}"/>
    <hyperlink ref="R173" r:id="rId1218" xr:uid="{00000000-0004-0000-0000-0000C1040000}"/>
    <hyperlink ref="L173" r:id="rId1219" xr:uid="{00000000-0004-0000-0000-0000C2040000}"/>
    <hyperlink ref="X173" r:id="rId1220" xr:uid="{00000000-0004-0000-0000-0000C3040000}"/>
    <hyperlink ref="T188" r:id="rId1221" xr:uid="{00000000-0004-0000-0000-0000C4040000}"/>
    <hyperlink ref="F188" r:id="rId1222" xr:uid="{00000000-0004-0000-0000-0000C5040000}"/>
    <hyperlink ref="J188" r:id="rId1223" xr:uid="{00000000-0004-0000-0000-0000C6040000}"/>
    <hyperlink ref="N188" r:id="rId1224" xr:uid="{00000000-0004-0000-0000-0000C7040000}"/>
    <hyperlink ref="H188" r:id="rId1225" xr:uid="{00000000-0004-0000-0000-0000C8040000}"/>
    <hyperlink ref="V188" r:id="rId1226" xr:uid="{00000000-0004-0000-0000-0000C9040000}"/>
    <hyperlink ref="P188" r:id="rId1227" xr:uid="{00000000-0004-0000-0000-0000CA040000}"/>
    <hyperlink ref="R188" r:id="rId1228" xr:uid="{00000000-0004-0000-0000-0000CB040000}"/>
    <hyperlink ref="L188" r:id="rId1229" xr:uid="{00000000-0004-0000-0000-0000CC040000}"/>
    <hyperlink ref="X188" r:id="rId1230" xr:uid="{00000000-0004-0000-0000-0000CD040000}"/>
    <hyperlink ref="T86" r:id="rId1231" xr:uid="{00000000-0004-0000-0000-0000CE040000}"/>
    <hyperlink ref="F86" r:id="rId1232" xr:uid="{00000000-0004-0000-0000-0000CF040000}"/>
    <hyperlink ref="J86" r:id="rId1233" xr:uid="{00000000-0004-0000-0000-0000D0040000}"/>
    <hyperlink ref="N86" r:id="rId1234" xr:uid="{00000000-0004-0000-0000-0000D1040000}"/>
    <hyperlink ref="H86" r:id="rId1235" xr:uid="{00000000-0004-0000-0000-0000D2040000}"/>
    <hyperlink ref="V86" r:id="rId1236" xr:uid="{00000000-0004-0000-0000-0000D3040000}"/>
    <hyperlink ref="P86" r:id="rId1237" xr:uid="{00000000-0004-0000-0000-0000D4040000}"/>
    <hyperlink ref="R86" r:id="rId1238" xr:uid="{00000000-0004-0000-0000-0000D5040000}"/>
    <hyperlink ref="L86" r:id="rId1239" xr:uid="{00000000-0004-0000-0000-0000D6040000}"/>
    <hyperlink ref="X86" r:id="rId1240" xr:uid="{00000000-0004-0000-0000-0000D7040000}"/>
    <hyperlink ref="T29" r:id="rId1241" xr:uid="{00000000-0004-0000-0000-0000D8040000}"/>
    <hyperlink ref="F29" r:id="rId1242" xr:uid="{00000000-0004-0000-0000-0000D9040000}"/>
    <hyperlink ref="J29" r:id="rId1243" xr:uid="{00000000-0004-0000-0000-0000DA040000}"/>
    <hyperlink ref="N29" r:id="rId1244" xr:uid="{00000000-0004-0000-0000-0000DB040000}"/>
    <hyperlink ref="H29" r:id="rId1245" xr:uid="{00000000-0004-0000-0000-0000DC040000}"/>
    <hyperlink ref="V29" r:id="rId1246" xr:uid="{00000000-0004-0000-0000-0000DD040000}"/>
    <hyperlink ref="P29" r:id="rId1247" xr:uid="{00000000-0004-0000-0000-0000DE040000}"/>
    <hyperlink ref="R29" r:id="rId1248" xr:uid="{00000000-0004-0000-0000-0000DF040000}"/>
    <hyperlink ref="L29" r:id="rId1249" xr:uid="{00000000-0004-0000-0000-0000E0040000}"/>
    <hyperlink ref="X29" r:id="rId1250" xr:uid="{00000000-0004-0000-0000-0000E1040000}"/>
    <hyperlink ref="T30" r:id="rId1251" xr:uid="{00000000-0004-0000-0000-0000E2040000}"/>
    <hyperlink ref="F30" r:id="rId1252" xr:uid="{00000000-0004-0000-0000-0000E3040000}"/>
    <hyperlink ref="J30" r:id="rId1253" xr:uid="{00000000-0004-0000-0000-0000E4040000}"/>
    <hyperlink ref="N30" r:id="rId1254" xr:uid="{00000000-0004-0000-0000-0000E5040000}"/>
    <hyperlink ref="H30" r:id="rId1255" xr:uid="{00000000-0004-0000-0000-0000E6040000}"/>
    <hyperlink ref="V30" r:id="rId1256" xr:uid="{00000000-0004-0000-0000-0000E7040000}"/>
    <hyperlink ref="P30" r:id="rId1257" xr:uid="{00000000-0004-0000-0000-0000E8040000}"/>
    <hyperlink ref="R30" r:id="rId1258" xr:uid="{00000000-0004-0000-0000-0000E9040000}"/>
    <hyperlink ref="L30" r:id="rId1259" xr:uid="{00000000-0004-0000-0000-0000EA040000}"/>
    <hyperlink ref="X30" r:id="rId1260" xr:uid="{00000000-0004-0000-0000-0000EB040000}"/>
    <hyperlink ref="T146" r:id="rId1261" xr:uid="{00000000-0004-0000-0000-0000EC040000}"/>
    <hyperlink ref="F146" r:id="rId1262" xr:uid="{00000000-0004-0000-0000-0000ED040000}"/>
    <hyperlink ref="J146" r:id="rId1263" xr:uid="{00000000-0004-0000-0000-0000EE040000}"/>
    <hyperlink ref="N146" r:id="rId1264" xr:uid="{00000000-0004-0000-0000-0000EF040000}"/>
    <hyperlink ref="H146" r:id="rId1265" xr:uid="{00000000-0004-0000-0000-0000F0040000}"/>
    <hyperlink ref="V146" r:id="rId1266" xr:uid="{00000000-0004-0000-0000-0000F1040000}"/>
    <hyperlink ref="P146" r:id="rId1267" xr:uid="{00000000-0004-0000-0000-0000F2040000}"/>
    <hyperlink ref="R146" r:id="rId1268" xr:uid="{00000000-0004-0000-0000-0000F3040000}"/>
    <hyperlink ref="L146" r:id="rId1269" xr:uid="{00000000-0004-0000-0000-0000F4040000}"/>
    <hyperlink ref="X146" r:id="rId1270" xr:uid="{00000000-0004-0000-0000-0000F5040000}"/>
    <hyperlink ref="T147" r:id="rId1271" xr:uid="{00000000-0004-0000-0000-0000F6040000}"/>
    <hyperlink ref="F147" r:id="rId1272" xr:uid="{00000000-0004-0000-0000-0000F7040000}"/>
    <hyperlink ref="J147" r:id="rId1273" xr:uid="{00000000-0004-0000-0000-0000F8040000}"/>
    <hyperlink ref="N147" r:id="rId1274" xr:uid="{00000000-0004-0000-0000-0000F9040000}"/>
    <hyperlink ref="H147" r:id="rId1275" xr:uid="{00000000-0004-0000-0000-0000FA040000}"/>
    <hyperlink ref="V147" r:id="rId1276" xr:uid="{00000000-0004-0000-0000-0000FB040000}"/>
    <hyperlink ref="P147" r:id="rId1277" xr:uid="{00000000-0004-0000-0000-0000FC040000}"/>
    <hyperlink ref="R147" r:id="rId1278" xr:uid="{00000000-0004-0000-0000-0000FD040000}"/>
    <hyperlink ref="L147" r:id="rId1279" xr:uid="{00000000-0004-0000-0000-0000FE040000}"/>
    <hyperlink ref="X147" r:id="rId1280" xr:uid="{00000000-0004-0000-0000-0000FF040000}"/>
    <hyperlink ref="T114" r:id="rId1281" xr:uid="{00000000-0004-0000-0000-000000050000}"/>
    <hyperlink ref="F114" r:id="rId1282" xr:uid="{00000000-0004-0000-0000-000001050000}"/>
    <hyperlink ref="J114" r:id="rId1283" xr:uid="{00000000-0004-0000-0000-000002050000}"/>
    <hyperlink ref="N114" r:id="rId1284" xr:uid="{00000000-0004-0000-0000-000003050000}"/>
    <hyperlink ref="H114" r:id="rId1285" xr:uid="{00000000-0004-0000-0000-000004050000}"/>
    <hyperlink ref="V114" r:id="rId1286" xr:uid="{00000000-0004-0000-0000-000005050000}"/>
    <hyperlink ref="P114" r:id="rId1287" xr:uid="{00000000-0004-0000-0000-000006050000}"/>
    <hyperlink ref="R114" r:id="rId1288" xr:uid="{00000000-0004-0000-0000-000007050000}"/>
    <hyperlink ref="L114" r:id="rId1289" xr:uid="{00000000-0004-0000-0000-000008050000}"/>
    <hyperlink ref="X114" r:id="rId1290" xr:uid="{00000000-0004-0000-0000-000009050000}"/>
    <hyperlink ref="T126" r:id="rId1291" xr:uid="{00000000-0004-0000-0000-00000A050000}"/>
    <hyperlink ref="F126" r:id="rId1292" xr:uid="{00000000-0004-0000-0000-00000B050000}"/>
    <hyperlink ref="J126" r:id="rId1293" xr:uid="{00000000-0004-0000-0000-00000C050000}"/>
    <hyperlink ref="N126" r:id="rId1294" xr:uid="{00000000-0004-0000-0000-00000D050000}"/>
    <hyperlink ref="H126" r:id="rId1295" xr:uid="{00000000-0004-0000-0000-00000E050000}"/>
    <hyperlink ref="V126" r:id="rId1296" xr:uid="{00000000-0004-0000-0000-00000F050000}"/>
    <hyperlink ref="P126" r:id="rId1297" xr:uid="{00000000-0004-0000-0000-000010050000}"/>
    <hyperlink ref="R126" r:id="rId1298" xr:uid="{00000000-0004-0000-0000-000011050000}"/>
    <hyperlink ref="L126" r:id="rId1299" xr:uid="{00000000-0004-0000-0000-000012050000}"/>
    <hyperlink ref="X126" r:id="rId1300" xr:uid="{00000000-0004-0000-0000-000013050000}"/>
    <hyperlink ref="T189" r:id="rId1301" xr:uid="{00000000-0004-0000-0000-000014050000}"/>
    <hyperlink ref="F189" r:id="rId1302" xr:uid="{00000000-0004-0000-0000-000015050000}"/>
    <hyperlink ref="J189" r:id="rId1303" xr:uid="{00000000-0004-0000-0000-000016050000}"/>
    <hyperlink ref="N189" r:id="rId1304" xr:uid="{00000000-0004-0000-0000-000017050000}"/>
    <hyperlink ref="H189" r:id="rId1305" xr:uid="{00000000-0004-0000-0000-000018050000}"/>
    <hyperlink ref="V189" r:id="rId1306" xr:uid="{00000000-0004-0000-0000-000019050000}"/>
    <hyperlink ref="P189" r:id="rId1307" xr:uid="{00000000-0004-0000-0000-00001A050000}"/>
    <hyperlink ref="R189" r:id="rId1308" xr:uid="{00000000-0004-0000-0000-00001B050000}"/>
    <hyperlink ref="L189" r:id="rId1309" xr:uid="{00000000-0004-0000-0000-00001C050000}"/>
    <hyperlink ref="X189" r:id="rId1310" xr:uid="{00000000-0004-0000-0000-00001D050000}"/>
    <hyperlink ref="T87" r:id="rId1311" xr:uid="{00000000-0004-0000-0000-00001E050000}"/>
    <hyperlink ref="F87" r:id="rId1312" xr:uid="{00000000-0004-0000-0000-00001F050000}"/>
    <hyperlink ref="J87" r:id="rId1313" xr:uid="{00000000-0004-0000-0000-000020050000}"/>
    <hyperlink ref="N87" r:id="rId1314" xr:uid="{00000000-0004-0000-0000-000021050000}"/>
    <hyperlink ref="H87" r:id="rId1315" xr:uid="{00000000-0004-0000-0000-000022050000}"/>
    <hyperlink ref="V87" r:id="rId1316" xr:uid="{00000000-0004-0000-0000-000023050000}"/>
    <hyperlink ref="P87" r:id="rId1317" xr:uid="{00000000-0004-0000-0000-000024050000}"/>
    <hyperlink ref="R87" r:id="rId1318" xr:uid="{00000000-0004-0000-0000-000025050000}"/>
    <hyperlink ref="L87" r:id="rId1319" xr:uid="{00000000-0004-0000-0000-000026050000}"/>
    <hyperlink ref="X87" r:id="rId1320" xr:uid="{00000000-0004-0000-0000-000027050000}"/>
    <hyperlink ref="T190" r:id="rId1321" xr:uid="{00000000-0004-0000-0000-000028050000}"/>
    <hyperlink ref="F190" r:id="rId1322" xr:uid="{00000000-0004-0000-0000-000029050000}"/>
    <hyperlink ref="J190" r:id="rId1323" xr:uid="{00000000-0004-0000-0000-00002A050000}"/>
    <hyperlink ref="N190" r:id="rId1324" xr:uid="{00000000-0004-0000-0000-00002B050000}"/>
    <hyperlink ref="H190" r:id="rId1325" xr:uid="{00000000-0004-0000-0000-00002C050000}"/>
    <hyperlink ref="V190" r:id="rId1326" xr:uid="{00000000-0004-0000-0000-00002D050000}"/>
    <hyperlink ref="P190" r:id="rId1327" xr:uid="{00000000-0004-0000-0000-00002E050000}"/>
    <hyperlink ref="R190" r:id="rId1328" xr:uid="{00000000-0004-0000-0000-00002F050000}"/>
    <hyperlink ref="L190" r:id="rId1329" xr:uid="{00000000-0004-0000-0000-000030050000}"/>
    <hyperlink ref="X190" r:id="rId1330" xr:uid="{00000000-0004-0000-0000-000031050000}"/>
    <hyperlink ref="T78" r:id="rId1331" xr:uid="{00000000-0004-0000-0000-000032050000}"/>
    <hyperlink ref="F78" r:id="rId1332" xr:uid="{00000000-0004-0000-0000-000033050000}"/>
    <hyperlink ref="J78" r:id="rId1333" xr:uid="{00000000-0004-0000-0000-000034050000}"/>
    <hyperlink ref="N78" r:id="rId1334" xr:uid="{00000000-0004-0000-0000-000035050000}"/>
    <hyperlink ref="H78" r:id="rId1335" xr:uid="{00000000-0004-0000-0000-000036050000}"/>
    <hyperlink ref="V78" r:id="rId1336" xr:uid="{00000000-0004-0000-0000-000037050000}"/>
    <hyperlink ref="P78" r:id="rId1337" xr:uid="{00000000-0004-0000-0000-000038050000}"/>
    <hyperlink ref="R78" r:id="rId1338" xr:uid="{00000000-0004-0000-0000-000039050000}"/>
    <hyperlink ref="L78" r:id="rId1339" xr:uid="{00000000-0004-0000-0000-00003A050000}"/>
    <hyperlink ref="X78" r:id="rId1340" xr:uid="{00000000-0004-0000-0000-00003B050000}"/>
    <hyperlink ref="T58" r:id="rId1341" xr:uid="{00000000-0004-0000-0000-00003C050000}"/>
    <hyperlink ref="F58" r:id="rId1342" xr:uid="{00000000-0004-0000-0000-00003D050000}"/>
    <hyperlink ref="J58" r:id="rId1343" xr:uid="{00000000-0004-0000-0000-00003E050000}"/>
    <hyperlink ref="N58" r:id="rId1344" xr:uid="{00000000-0004-0000-0000-00003F050000}"/>
    <hyperlink ref="H58" r:id="rId1345" xr:uid="{00000000-0004-0000-0000-000040050000}"/>
    <hyperlink ref="V58" r:id="rId1346" xr:uid="{00000000-0004-0000-0000-000041050000}"/>
    <hyperlink ref="P58" r:id="rId1347" xr:uid="{00000000-0004-0000-0000-000042050000}"/>
    <hyperlink ref="R58" r:id="rId1348" xr:uid="{00000000-0004-0000-0000-000043050000}"/>
    <hyperlink ref="L58" r:id="rId1349" xr:uid="{00000000-0004-0000-0000-000044050000}"/>
    <hyperlink ref="X58" r:id="rId1350" xr:uid="{00000000-0004-0000-0000-000045050000}"/>
    <hyperlink ref="T103" r:id="rId1351" xr:uid="{00000000-0004-0000-0000-000046050000}"/>
    <hyperlink ref="F103" r:id="rId1352" xr:uid="{00000000-0004-0000-0000-000047050000}"/>
    <hyperlink ref="J103" r:id="rId1353" xr:uid="{00000000-0004-0000-0000-000048050000}"/>
    <hyperlink ref="N103" r:id="rId1354" xr:uid="{00000000-0004-0000-0000-000049050000}"/>
    <hyperlink ref="H103" r:id="rId1355" xr:uid="{00000000-0004-0000-0000-00004A050000}"/>
    <hyperlink ref="V103" r:id="rId1356" xr:uid="{00000000-0004-0000-0000-00004B050000}"/>
    <hyperlink ref="P103" r:id="rId1357" xr:uid="{00000000-0004-0000-0000-00004C050000}"/>
    <hyperlink ref="R103" r:id="rId1358" xr:uid="{00000000-0004-0000-0000-00004D050000}"/>
    <hyperlink ref="L103" r:id="rId1359" xr:uid="{00000000-0004-0000-0000-00004E050000}"/>
    <hyperlink ref="X103" r:id="rId1360" xr:uid="{00000000-0004-0000-0000-00004F050000}"/>
    <hyperlink ref="T174" r:id="rId1361" xr:uid="{00000000-0004-0000-0000-000050050000}"/>
    <hyperlink ref="F174" r:id="rId1362" xr:uid="{00000000-0004-0000-0000-000051050000}"/>
    <hyperlink ref="J174" r:id="rId1363" xr:uid="{00000000-0004-0000-0000-000052050000}"/>
    <hyperlink ref="N174" r:id="rId1364" xr:uid="{00000000-0004-0000-0000-000053050000}"/>
    <hyperlink ref="H174" r:id="rId1365" xr:uid="{00000000-0004-0000-0000-000054050000}"/>
    <hyperlink ref="V174" r:id="rId1366" xr:uid="{00000000-0004-0000-0000-000055050000}"/>
    <hyperlink ref="P174" r:id="rId1367" xr:uid="{00000000-0004-0000-0000-000056050000}"/>
    <hyperlink ref="R174" r:id="rId1368" xr:uid="{00000000-0004-0000-0000-000057050000}"/>
    <hyperlink ref="L174" r:id="rId1369" xr:uid="{00000000-0004-0000-0000-000058050000}"/>
    <hyperlink ref="X174" r:id="rId1370" xr:uid="{00000000-0004-0000-0000-000059050000}"/>
    <hyperlink ref="T175" r:id="rId1371" xr:uid="{00000000-0004-0000-0000-00005A050000}"/>
    <hyperlink ref="F175" r:id="rId1372" xr:uid="{00000000-0004-0000-0000-00005B050000}"/>
    <hyperlink ref="J175" r:id="rId1373" xr:uid="{00000000-0004-0000-0000-00005C050000}"/>
    <hyperlink ref="N175" r:id="rId1374" xr:uid="{00000000-0004-0000-0000-00005D050000}"/>
    <hyperlink ref="H175" r:id="rId1375" xr:uid="{00000000-0004-0000-0000-00005E050000}"/>
    <hyperlink ref="V175" r:id="rId1376" xr:uid="{00000000-0004-0000-0000-00005F050000}"/>
    <hyperlink ref="P175" r:id="rId1377" xr:uid="{00000000-0004-0000-0000-000060050000}"/>
    <hyperlink ref="R175" r:id="rId1378" xr:uid="{00000000-0004-0000-0000-000061050000}"/>
    <hyperlink ref="L175" r:id="rId1379" xr:uid="{00000000-0004-0000-0000-000062050000}"/>
    <hyperlink ref="X175" r:id="rId1380" xr:uid="{00000000-0004-0000-0000-000063050000}"/>
    <hyperlink ref="T115" r:id="rId1381" xr:uid="{00000000-0004-0000-0000-000064050000}"/>
    <hyperlink ref="F115" r:id="rId1382" xr:uid="{00000000-0004-0000-0000-000065050000}"/>
    <hyperlink ref="J115" r:id="rId1383" xr:uid="{00000000-0004-0000-0000-000066050000}"/>
    <hyperlink ref="N115" r:id="rId1384" xr:uid="{00000000-0004-0000-0000-000067050000}"/>
    <hyperlink ref="H115" r:id="rId1385" xr:uid="{00000000-0004-0000-0000-000068050000}"/>
    <hyperlink ref="V115" r:id="rId1386" xr:uid="{00000000-0004-0000-0000-000069050000}"/>
    <hyperlink ref="P115" r:id="rId1387" xr:uid="{00000000-0004-0000-0000-00006A050000}"/>
    <hyperlink ref="R115" r:id="rId1388" xr:uid="{00000000-0004-0000-0000-00006B050000}"/>
    <hyperlink ref="L115" r:id="rId1389" xr:uid="{00000000-0004-0000-0000-00006C050000}"/>
    <hyperlink ref="X115" r:id="rId1390" xr:uid="{00000000-0004-0000-0000-00006D050000}"/>
    <hyperlink ref="T119" r:id="rId1391" xr:uid="{00000000-0004-0000-0000-00006E050000}"/>
    <hyperlink ref="F119" r:id="rId1392" xr:uid="{00000000-0004-0000-0000-00006F050000}"/>
    <hyperlink ref="J119" r:id="rId1393" xr:uid="{00000000-0004-0000-0000-000070050000}"/>
    <hyperlink ref="N119" r:id="rId1394" xr:uid="{00000000-0004-0000-0000-000071050000}"/>
    <hyperlink ref="H119" r:id="rId1395" xr:uid="{00000000-0004-0000-0000-000072050000}"/>
    <hyperlink ref="V119" r:id="rId1396" xr:uid="{00000000-0004-0000-0000-000073050000}"/>
    <hyperlink ref="P119" r:id="rId1397" xr:uid="{00000000-0004-0000-0000-000074050000}"/>
    <hyperlink ref="R119" r:id="rId1398" xr:uid="{00000000-0004-0000-0000-000075050000}"/>
    <hyperlink ref="L119" r:id="rId1399" xr:uid="{00000000-0004-0000-0000-000076050000}"/>
    <hyperlink ref="X119" r:id="rId1400" xr:uid="{00000000-0004-0000-0000-000077050000}"/>
    <hyperlink ref="T148" r:id="rId1401" xr:uid="{00000000-0004-0000-0000-000078050000}"/>
    <hyperlink ref="F148" r:id="rId1402" xr:uid="{00000000-0004-0000-0000-000079050000}"/>
    <hyperlink ref="J148" r:id="rId1403" xr:uid="{00000000-0004-0000-0000-00007A050000}"/>
    <hyperlink ref="N148" r:id="rId1404" xr:uid="{00000000-0004-0000-0000-00007B050000}"/>
    <hyperlink ref="H148" r:id="rId1405" xr:uid="{00000000-0004-0000-0000-00007C050000}"/>
    <hyperlink ref="V148" r:id="rId1406" xr:uid="{00000000-0004-0000-0000-00007D050000}"/>
    <hyperlink ref="P148" r:id="rId1407" xr:uid="{00000000-0004-0000-0000-00007E050000}"/>
    <hyperlink ref="R148" r:id="rId1408" xr:uid="{00000000-0004-0000-0000-00007F050000}"/>
    <hyperlink ref="L148" r:id="rId1409" xr:uid="{00000000-0004-0000-0000-000080050000}"/>
    <hyperlink ref="X148" r:id="rId1410" xr:uid="{00000000-0004-0000-0000-000081050000}"/>
    <hyperlink ref="T176" r:id="rId1411" xr:uid="{00000000-0004-0000-0000-000082050000}"/>
    <hyperlink ref="F176" r:id="rId1412" xr:uid="{00000000-0004-0000-0000-000083050000}"/>
    <hyperlink ref="J176" r:id="rId1413" xr:uid="{00000000-0004-0000-0000-000084050000}"/>
    <hyperlink ref="N176" r:id="rId1414" xr:uid="{00000000-0004-0000-0000-000085050000}"/>
    <hyperlink ref="H176" r:id="rId1415" xr:uid="{00000000-0004-0000-0000-000086050000}"/>
    <hyperlink ref="V176" r:id="rId1416" xr:uid="{00000000-0004-0000-0000-000087050000}"/>
    <hyperlink ref="P176" r:id="rId1417" xr:uid="{00000000-0004-0000-0000-000088050000}"/>
    <hyperlink ref="R176" r:id="rId1418" xr:uid="{00000000-0004-0000-0000-000089050000}"/>
    <hyperlink ref="L176" r:id="rId1419" xr:uid="{00000000-0004-0000-0000-00008A050000}"/>
    <hyperlink ref="X176" r:id="rId1420" xr:uid="{00000000-0004-0000-0000-00008B050000}"/>
    <hyperlink ref="T138" r:id="rId1421" xr:uid="{00000000-0004-0000-0000-00008C050000}"/>
    <hyperlink ref="F138" r:id="rId1422" xr:uid="{00000000-0004-0000-0000-00008D050000}"/>
    <hyperlink ref="J138" r:id="rId1423" xr:uid="{00000000-0004-0000-0000-00008E050000}"/>
    <hyperlink ref="N138" r:id="rId1424" xr:uid="{00000000-0004-0000-0000-00008F050000}"/>
    <hyperlink ref="H138" r:id="rId1425" xr:uid="{00000000-0004-0000-0000-000090050000}"/>
    <hyperlink ref="V138" r:id="rId1426" xr:uid="{00000000-0004-0000-0000-000091050000}"/>
    <hyperlink ref="P138" r:id="rId1427" xr:uid="{00000000-0004-0000-0000-000092050000}"/>
    <hyperlink ref="R138" r:id="rId1428" xr:uid="{00000000-0004-0000-0000-000093050000}"/>
    <hyperlink ref="L138" r:id="rId1429" xr:uid="{00000000-0004-0000-0000-000094050000}"/>
    <hyperlink ref="X138" r:id="rId1430" xr:uid="{00000000-0004-0000-0000-000095050000}"/>
    <hyperlink ref="T10" r:id="rId1431" xr:uid="{00000000-0004-0000-0000-000096050000}"/>
    <hyperlink ref="F10" r:id="rId1432" xr:uid="{00000000-0004-0000-0000-000097050000}"/>
    <hyperlink ref="J10" r:id="rId1433" xr:uid="{00000000-0004-0000-0000-000098050000}"/>
    <hyperlink ref="N10" r:id="rId1434" xr:uid="{00000000-0004-0000-0000-000099050000}"/>
    <hyperlink ref="H10" r:id="rId1435" xr:uid="{00000000-0004-0000-0000-00009A050000}"/>
    <hyperlink ref="V10" r:id="rId1436" xr:uid="{00000000-0004-0000-0000-00009B050000}"/>
    <hyperlink ref="P10" r:id="rId1437" xr:uid="{00000000-0004-0000-0000-00009C050000}"/>
    <hyperlink ref="R10" r:id="rId1438" xr:uid="{00000000-0004-0000-0000-00009D050000}"/>
    <hyperlink ref="L10" r:id="rId1439" xr:uid="{00000000-0004-0000-0000-00009E050000}"/>
    <hyperlink ref="X10" r:id="rId1440" xr:uid="{00000000-0004-0000-0000-00009F050000}"/>
    <hyperlink ref="T71" r:id="rId1441" xr:uid="{00000000-0004-0000-0000-0000A0050000}"/>
    <hyperlink ref="F71" r:id="rId1442" xr:uid="{00000000-0004-0000-0000-0000A1050000}"/>
    <hyperlink ref="J71" r:id="rId1443" xr:uid="{00000000-0004-0000-0000-0000A2050000}"/>
    <hyperlink ref="N71" r:id="rId1444" xr:uid="{00000000-0004-0000-0000-0000A3050000}"/>
    <hyperlink ref="H71" r:id="rId1445" xr:uid="{00000000-0004-0000-0000-0000A4050000}"/>
    <hyperlink ref="V71" r:id="rId1446" xr:uid="{00000000-0004-0000-0000-0000A5050000}"/>
    <hyperlink ref="P71" r:id="rId1447" xr:uid="{00000000-0004-0000-0000-0000A6050000}"/>
    <hyperlink ref="R71" r:id="rId1448" xr:uid="{00000000-0004-0000-0000-0000A7050000}"/>
    <hyperlink ref="L71" r:id="rId1449" xr:uid="{00000000-0004-0000-0000-0000A8050000}"/>
    <hyperlink ref="X71" r:id="rId1450" xr:uid="{00000000-0004-0000-0000-0000A9050000}"/>
    <hyperlink ref="T72" r:id="rId1451" xr:uid="{00000000-0004-0000-0000-0000AA050000}"/>
    <hyperlink ref="F72" r:id="rId1452" xr:uid="{00000000-0004-0000-0000-0000AB050000}"/>
    <hyperlink ref="J72" r:id="rId1453" xr:uid="{00000000-0004-0000-0000-0000AC050000}"/>
    <hyperlink ref="N72" r:id="rId1454" xr:uid="{00000000-0004-0000-0000-0000AD050000}"/>
    <hyperlink ref="H72" r:id="rId1455" xr:uid="{00000000-0004-0000-0000-0000AE050000}"/>
    <hyperlink ref="V72" r:id="rId1456" xr:uid="{00000000-0004-0000-0000-0000AF050000}"/>
    <hyperlink ref="P72" r:id="rId1457" xr:uid="{00000000-0004-0000-0000-0000B0050000}"/>
    <hyperlink ref="R72" r:id="rId1458" xr:uid="{00000000-0004-0000-0000-0000B1050000}"/>
    <hyperlink ref="L72" r:id="rId1459" xr:uid="{00000000-0004-0000-0000-0000B2050000}"/>
    <hyperlink ref="X72" r:id="rId1460" xr:uid="{00000000-0004-0000-0000-0000B3050000}"/>
    <hyperlink ref="T73" r:id="rId1461" xr:uid="{00000000-0004-0000-0000-0000B4050000}"/>
    <hyperlink ref="F73" r:id="rId1462" xr:uid="{00000000-0004-0000-0000-0000B5050000}"/>
    <hyperlink ref="J73" r:id="rId1463" xr:uid="{00000000-0004-0000-0000-0000B6050000}"/>
    <hyperlink ref="N73" r:id="rId1464" xr:uid="{00000000-0004-0000-0000-0000B7050000}"/>
    <hyperlink ref="H73" r:id="rId1465" xr:uid="{00000000-0004-0000-0000-0000B8050000}"/>
    <hyperlink ref="V73" r:id="rId1466" xr:uid="{00000000-0004-0000-0000-0000B9050000}"/>
    <hyperlink ref="P73" r:id="rId1467" xr:uid="{00000000-0004-0000-0000-0000BA050000}"/>
    <hyperlink ref="R73" r:id="rId1468" xr:uid="{00000000-0004-0000-0000-0000BB050000}"/>
    <hyperlink ref="L73" r:id="rId1469" xr:uid="{00000000-0004-0000-0000-0000BC050000}"/>
    <hyperlink ref="X73" r:id="rId1470" xr:uid="{00000000-0004-0000-0000-0000BD050000}"/>
    <hyperlink ref="T191" r:id="rId1471" xr:uid="{00000000-0004-0000-0000-0000BE050000}"/>
    <hyperlink ref="F191" r:id="rId1472" xr:uid="{00000000-0004-0000-0000-0000BF050000}"/>
    <hyperlink ref="J191" r:id="rId1473" xr:uid="{00000000-0004-0000-0000-0000C0050000}"/>
    <hyperlink ref="N191" r:id="rId1474" xr:uid="{00000000-0004-0000-0000-0000C1050000}"/>
    <hyperlink ref="H191" r:id="rId1475" xr:uid="{00000000-0004-0000-0000-0000C2050000}"/>
    <hyperlink ref="V191" r:id="rId1476" xr:uid="{00000000-0004-0000-0000-0000C3050000}"/>
    <hyperlink ref="P191" r:id="rId1477" xr:uid="{00000000-0004-0000-0000-0000C4050000}"/>
    <hyperlink ref="R191" r:id="rId1478" xr:uid="{00000000-0004-0000-0000-0000C5050000}"/>
    <hyperlink ref="L191" r:id="rId1479" xr:uid="{00000000-0004-0000-0000-0000C6050000}"/>
    <hyperlink ref="X191" r:id="rId1480" xr:uid="{00000000-0004-0000-0000-0000C7050000}"/>
    <hyperlink ref="T149" r:id="rId1481" xr:uid="{00000000-0004-0000-0000-0000C8050000}"/>
    <hyperlink ref="F149" r:id="rId1482" xr:uid="{00000000-0004-0000-0000-0000C9050000}"/>
    <hyperlink ref="J149" r:id="rId1483" xr:uid="{00000000-0004-0000-0000-0000CA050000}"/>
    <hyperlink ref="N149" r:id="rId1484" xr:uid="{00000000-0004-0000-0000-0000CB050000}"/>
    <hyperlink ref="H149" r:id="rId1485" xr:uid="{00000000-0004-0000-0000-0000CC050000}"/>
    <hyperlink ref="V149" r:id="rId1486" xr:uid="{00000000-0004-0000-0000-0000CD050000}"/>
    <hyperlink ref="P149" r:id="rId1487" xr:uid="{00000000-0004-0000-0000-0000CE050000}"/>
    <hyperlink ref="R149" r:id="rId1488" xr:uid="{00000000-0004-0000-0000-0000CF050000}"/>
    <hyperlink ref="L149" r:id="rId1489" xr:uid="{00000000-0004-0000-0000-0000D0050000}"/>
    <hyperlink ref="X149" r:id="rId1490" xr:uid="{00000000-0004-0000-0000-0000D1050000}"/>
    <hyperlink ref="T18" r:id="rId1491" xr:uid="{00000000-0004-0000-0000-0000D2050000}"/>
    <hyperlink ref="F18" r:id="rId1492" xr:uid="{00000000-0004-0000-0000-0000D3050000}"/>
    <hyperlink ref="J18" r:id="rId1493" xr:uid="{00000000-0004-0000-0000-0000D4050000}"/>
    <hyperlink ref="N18" r:id="rId1494" xr:uid="{00000000-0004-0000-0000-0000D5050000}"/>
    <hyperlink ref="H18" r:id="rId1495" xr:uid="{00000000-0004-0000-0000-0000D6050000}"/>
    <hyperlink ref="V18" r:id="rId1496" xr:uid="{00000000-0004-0000-0000-0000D7050000}"/>
    <hyperlink ref="P18" r:id="rId1497" xr:uid="{00000000-0004-0000-0000-0000D8050000}"/>
    <hyperlink ref="R18" r:id="rId1498" xr:uid="{00000000-0004-0000-0000-0000D9050000}"/>
    <hyperlink ref="L18" r:id="rId1499" xr:uid="{00000000-0004-0000-0000-0000DA050000}"/>
    <hyperlink ref="X18" r:id="rId1500" xr:uid="{00000000-0004-0000-0000-0000DB050000}"/>
    <hyperlink ref="T116" r:id="rId1501" xr:uid="{00000000-0004-0000-0000-0000DC050000}"/>
    <hyperlink ref="F116" r:id="rId1502" xr:uid="{00000000-0004-0000-0000-0000DD050000}"/>
    <hyperlink ref="J116" r:id="rId1503" xr:uid="{00000000-0004-0000-0000-0000DE050000}"/>
    <hyperlink ref="N116" r:id="rId1504" xr:uid="{00000000-0004-0000-0000-0000DF050000}"/>
    <hyperlink ref="H116" r:id="rId1505" xr:uid="{00000000-0004-0000-0000-0000E0050000}"/>
    <hyperlink ref="V116" r:id="rId1506" xr:uid="{00000000-0004-0000-0000-0000E1050000}"/>
    <hyperlink ref="P116" r:id="rId1507" xr:uid="{00000000-0004-0000-0000-0000E2050000}"/>
    <hyperlink ref="R116" r:id="rId1508" xr:uid="{00000000-0004-0000-0000-0000E3050000}"/>
    <hyperlink ref="L116" r:id="rId1509" xr:uid="{00000000-0004-0000-0000-0000E4050000}"/>
    <hyperlink ref="X116" r:id="rId1510" xr:uid="{00000000-0004-0000-0000-0000E5050000}"/>
    <hyperlink ref="T31" r:id="rId1511" xr:uid="{00000000-0004-0000-0000-0000E6050000}"/>
    <hyperlink ref="F31" r:id="rId1512" xr:uid="{00000000-0004-0000-0000-0000E7050000}"/>
    <hyperlink ref="J31" r:id="rId1513" xr:uid="{00000000-0004-0000-0000-0000E8050000}"/>
    <hyperlink ref="N31" r:id="rId1514" xr:uid="{00000000-0004-0000-0000-0000E9050000}"/>
    <hyperlink ref="H31" r:id="rId1515" xr:uid="{00000000-0004-0000-0000-0000EA050000}"/>
    <hyperlink ref="V31" r:id="rId1516" xr:uid="{00000000-0004-0000-0000-0000EB050000}"/>
    <hyperlink ref="P31" r:id="rId1517" xr:uid="{00000000-0004-0000-0000-0000EC050000}"/>
    <hyperlink ref="R31" r:id="rId1518" xr:uid="{00000000-0004-0000-0000-0000ED050000}"/>
    <hyperlink ref="L31" r:id="rId1519" xr:uid="{00000000-0004-0000-0000-0000EE050000}"/>
    <hyperlink ref="X31" r:id="rId1520" xr:uid="{00000000-0004-0000-0000-0000EF050000}"/>
    <hyperlink ref="T150" r:id="rId1521" xr:uid="{00000000-0004-0000-0000-0000F0050000}"/>
    <hyperlink ref="F150" r:id="rId1522" xr:uid="{00000000-0004-0000-0000-0000F1050000}"/>
    <hyperlink ref="J150" r:id="rId1523" xr:uid="{00000000-0004-0000-0000-0000F2050000}"/>
    <hyperlink ref="N150" r:id="rId1524" xr:uid="{00000000-0004-0000-0000-0000F3050000}"/>
    <hyperlink ref="H150" r:id="rId1525" xr:uid="{00000000-0004-0000-0000-0000F4050000}"/>
    <hyperlink ref="V150" r:id="rId1526" xr:uid="{00000000-0004-0000-0000-0000F5050000}"/>
    <hyperlink ref="P150" r:id="rId1527" xr:uid="{00000000-0004-0000-0000-0000F6050000}"/>
    <hyperlink ref="R150" r:id="rId1528" xr:uid="{00000000-0004-0000-0000-0000F7050000}"/>
    <hyperlink ref="L150" r:id="rId1529" xr:uid="{00000000-0004-0000-0000-0000F8050000}"/>
    <hyperlink ref="X150" r:id="rId1530" xr:uid="{00000000-0004-0000-0000-0000F9050000}"/>
    <hyperlink ref="T51" r:id="rId1531" xr:uid="{00000000-0004-0000-0000-0000FA050000}"/>
    <hyperlink ref="F51" r:id="rId1532" xr:uid="{00000000-0004-0000-0000-0000FB050000}"/>
    <hyperlink ref="J51" r:id="rId1533" xr:uid="{00000000-0004-0000-0000-0000FC050000}"/>
    <hyperlink ref="N51" r:id="rId1534" xr:uid="{00000000-0004-0000-0000-0000FD050000}"/>
    <hyperlink ref="H51" r:id="rId1535" xr:uid="{00000000-0004-0000-0000-0000FE050000}"/>
    <hyperlink ref="V51" r:id="rId1536" xr:uid="{00000000-0004-0000-0000-0000FF050000}"/>
    <hyperlink ref="P51" r:id="rId1537" xr:uid="{00000000-0004-0000-0000-000000060000}"/>
    <hyperlink ref="R51" r:id="rId1538" xr:uid="{00000000-0004-0000-0000-000001060000}"/>
    <hyperlink ref="L51" r:id="rId1539" xr:uid="{00000000-0004-0000-0000-000002060000}"/>
    <hyperlink ref="X51" r:id="rId1540" xr:uid="{00000000-0004-0000-0000-000003060000}"/>
    <hyperlink ref="T32" r:id="rId1541" xr:uid="{00000000-0004-0000-0000-000004060000}"/>
    <hyperlink ref="F32" r:id="rId1542" xr:uid="{00000000-0004-0000-0000-000005060000}"/>
    <hyperlink ref="J32" r:id="rId1543" xr:uid="{00000000-0004-0000-0000-000006060000}"/>
    <hyperlink ref="N32" r:id="rId1544" xr:uid="{00000000-0004-0000-0000-000007060000}"/>
    <hyperlink ref="H32" r:id="rId1545" xr:uid="{00000000-0004-0000-0000-000008060000}"/>
    <hyperlink ref="V32" r:id="rId1546" xr:uid="{00000000-0004-0000-0000-000009060000}"/>
    <hyperlink ref="P32" r:id="rId1547" xr:uid="{00000000-0004-0000-0000-00000A060000}"/>
    <hyperlink ref="R32" r:id="rId1548" xr:uid="{00000000-0004-0000-0000-00000B060000}"/>
    <hyperlink ref="L32" r:id="rId1549" xr:uid="{00000000-0004-0000-0000-00000C060000}"/>
    <hyperlink ref="X32" r:id="rId1550" xr:uid="{00000000-0004-0000-0000-00000D060000}"/>
    <hyperlink ref="T104" r:id="rId1551" xr:uid="{00000000-0004-0000-0000-00000E060000}"/>
    <hyperlink ref="F104" r:id="rId1552" xr:uid="{00000000-0004-0000-0000-00000F060000}"/>
    <hyperlink ref="J104" r:id="rId1553" xr:uid="{00000000-0004-0000-0000-000010060000}"/>
    <hyperlink ref="N104" r:id="rId1554" xr:uid="{00000000-0004-0000-0000-000011060000}"/>
    <hyperlink ref="H104" r:id="rId1555" xr:uid="{00000000-0004-0000-0000-000012060000}"/>
    <hyperlink ref="V104" r:id="rId1556" xr:uid="{00000000-0004-0000-0000-000013060000}"/>
    <hyperlink ref="P104" r:id="rId1557" xr:uid="{00000000-0004-0000-0000-000014060000}"/>
    <hyperlink ref="R104" r:id="rId1558" xr:uid="{00000000-0004-0000-0000-000015060000}"/>
    <hyperlink ref="L104" r:id="rId1559" xr:uid="{00000000-0004-0000-0000-000016060000}"/>
    <hyperlink ref="X104" r:id="rId1560" xr:uid="{00000000-0004-0000-0000-000017060000}"/>
    <hyperlink ref="T177" r:id="rId1561" xr:uid="{00000000-0004-0000-0000-000018060000}"/>
    <hyperlink ref="F177" r:id="rId1562" xr:uid="{00000000-0004-0000-0000-000019060000}"/>
    <hyperlink ref="J177" r:id="rId1563" xr:uid="{00000000-0004-0000-0000-00001A060000}"/>
    <hyperlink ref="N177" r:id="rId1564" xr:uid="{00000000-0004-0000-0000-00001B060000}"/>
    <hyperlink ref="H177" r:id="rId1565" xr:uid="{00000000-0004-0000-0000-00001C060000}"/>
    <hyperlink ref="V177" r:id="rId1566" xr:uid="{00000000-0004-0000-0000-00001D060000}"/>
    <hyperlink ref="P177" r:id="rId1567" xr:uid="{00000000-0004-0000-0000-00001E060000}"/>
    <hyperlink ref="R177" r:id="rId1568" xr:uid="{00000000-0004-0000-0000-00001F060000}"/>
    <hyperlink ref="L177" r:id="rId1569" xr:uid="{00000000-0004-0000-0000-000020060000}"/>
    <hyperlink ref="X177" r:id="rId1570" xr:uid="{00000000-0004-0000-0000-000021060000}"/>
    <hyperlink ref="T178" r:id="rId1571" xr:uid="{00000000-0004-0000-0000-000022060000}"/>
    <hyperlink ref="F178" r:id="rId1572" xr:uid="{00000000-0004-0000-0000-000023060000}"/>
    <hyperlink ref="J178" r:id="rId1573" xr:uid="{00000000-0004-0000-0000-000024060000}"/>
    <hyperlink ref="N178" r:id="rId1574" xr:uid="{00000000-0004-0000-0000-000025060000}"/>
    <hyperlink ref="H178" r:id="rId1575" xr:uid="{00000000-0004-0000-0000-000026060000}"/>
    <hyperlink ref="V178" r:id="rId1576" xr:uid="{00000000-0004-0000-0000-000027060000}"/>
    <hyperlink ref="P178" r:id="rId1577" xr:uid="{00000000-0004-0000-0000-000028060000}"/>
    <hyperlink ref="R178" r:id="rId1578" xr:uid="{00000000-0004-0000-0000-000029060000}"/>
    <hyperlink ref="L178" r:id="rId1579" xr:uid="{00000000-0004-0000-0000-00002A060000}"/>
    <hyperlink ref="X178" r:id="rId1580" xr:uid="{00000000-0004-0000-0000-00002B060000}"/>
    <hyperlink ref="T192" r:id="rId1581" xr:uid="{00000000-0004-0000-0000-00002C060000}"/>
    <hyperlink ref="F192" r:id="rId1582" xr:uid="{00000000-0004-0000-0000-00002D060000}"/>
    <hyperlink ref="J192" r:id="rId1583" xr:uid="{00000000-0004-0000-0000-00002E060000}"/>
    <hyperlink ref="N192" r:id="rId1584" xr:uid="{00000000-0004-0000-0000-00002F060000}"/>
    <hyperlink ref="H192" r:id="rId1585" xr:uid="{00000000-0004-0000-0000-000030060000}"/>
    <hyperlink ref="V192" r:id="rId1586" xr:uid="{00000000-0004-0000-0000-000031060000}"/>
    <hyperlink ref="P192" r:id="rId1587" xr:uid="{00000000-0004-0000-0000-000032060000}"/>
    <hyperlink ref="R192" r:id="rId1588" xr:uid="{00000000-0004-0000-0000-000033060000}"/>
    <hyperlink ref="L192" r:id="rId1589" xr:uid="{00000000-0004-0000-0000-000034060000}"/>
    <hyperlink ref="X192" r:id="rId1590" xr:uid="{00000000-0004-0000-0000-000035060000}"/>
    <hyperlink ref="T37" r:id="rId1591" xr:uid="{00000000-0004-0000-0000-000036060000}"/>
    <hyperlink ref="F37" r:id="rId1592" xr:uid="{00000000-0004-0000-0000-000037060000}"/>
    <hyperlink ref="J37" r:id="rId1593" xr:uid="{00000000-0004-0000-0000-000038060000}"/>
    <hyperlink ref="N37" r:id="rId1594" xr:uid="{00000000-0004-0000-0000-000039060000}"/>
    <hyperlink ref="H37" r:id="rId1595" xr:uid="{00000000-0004-0000-0000-00003A060000}"/>
    <hyperlink ref="V37" r:id="rId1596" xr:uid="{00000000-0004-0000-0000-00003B060000}"/>
    <hyperlink ref="P37" r:id="rId1597" xr:uid="{00000000-0004-0000-0000-00003C060000}"/>
    <hyperlink ref="R37" r:id="rId1598" xr:uid="{00000000-0004-0000-0000-00003D060000}"/>
    <hyperlink ref="L37" r:id="rId1599" xr:uid="{00000000-0004-0000-0000-00003E060000}"/>
    <hyperlink ref="X37" r:id="rId1600" xr:uid="{00000000-0004-0000-0000-00003F060000}"/>
    <hyperlink ref="T52" r:id="rId1601" xr:uid="{00000000-0004-0000-0000-000040060000}"/>
    <hyperlink ref="F52" r:id="rId1602" xr:uid="{00000000-0004-0000-0000-000041060000}"/>
    <hyperlink ref="J52" r:id="rId1603" xr:uid="{00000000-0004-0000-0000-000042060000}"/>
    <hyperlink ref="N52" r:id="rId1604" xr:uid="{00000000-0004-0000-0000-000043060000}"/>
    <hyperlink ref="H52" r:id="rId1605" xr:uid="{00000000-0004-0000-0000-000044060000}"/>
    <hyperlink ref="V52" r:id="rId1606" xr:uid="{00000000-0004-0000-0000-000045060000}"/>
    <hyperlink ref="P52" r:id="rId1607" xr:uid="{00000000-0004-0000-0000-000046060000}"/>
    <hyperlink ref="R52" r:id="rId1608" xr:uid="{00000000-0004-0000-0000-000047060000}"/>
    <hyperlink ref="L52" r:id="rId1609" xr:uid="{00000000-0004-0000-0000-000048060000}"/>
    <hyperlink ref="X52" r:id="rId1610" xr:uid="{00000000-0004-0000-0000-000049060000}"/>
    <hyperlink ref="T38" r:id="rId1611" xr:uid="{00000000-0004-0000-0000-00004A060000}"/>
    <hyperlink ref="F38" r:id="rId1612" xr:uid="{00000000-0004-0000-0000-00004B060000}"/>
    <hyperlink ref="J38" r:id="rId1613" xr:uid="{00000000-0004-0000-0000-00004C060000}"/>
    <hyperlink ref="N38" r:id="rId1614" xr:uid="{00000000-0004-0000-0000-00004D060000}"/>
    <hyperlink ref="H38" r:id="rId1615" xr:uid="{00000000-0004-0000-0000-00004E060000}"/>
    <hyperlink ref="V38" r:id="rId1616" xr:uid="{00000000-0004-0000-0000-00004F060000}"/>
    <hyperlink ref="P38" r:id="rId1617" xr:uid="{00000000-0004-0000-0000-000050060000}"/>
    <hyperlink ref="R38" r:id="rId1618" xr:uid="{00000000-0004-0000-0000-000051060000}"/>
    <hyperlink ref="L38" r:id="rId1619" xr:uid="{00000000-0004-0000-0000-000052060000}"/>
    <hyperlink ref="X38" r:id="rId1620" xr:uid="{00000000-0004-0000-0000-000053060000}"/>
    <hyperlink ref="T179" r:id="rId1621" xr:uid="{00000000-0004-0000-0000-000054060000}"/>
    <hyperlink ref="F179" r:id="rId1622" xr:uid="{00000000-0004-0000-0000-000055060000}"/>
    <hyperlink ref="J179" r:id="rId1623" xr:uid="{00000000-0004-0000-0000-000056060000}"/>
    <hyperlink ref="N179" r:id="rId1624" xr:uid="{00000000-0004-0000-0000-000057060000}"/>
    <hyperlink ref="H179" r:id="rId1625" xr:uid="{00000000-0004-0000-0000-000058060000}"/>
    <hyperlink ref="V179" r:id="rId1626" xr:uid="{00000000-0004-0000-0000-000059060000}"/>
    <hyperlink ref="P179" r:id="rId1627" xr:uid="{00000000-0004-0000-0000-00005A060000}"/>
    <hyperlink ref="R179" r:id="rId1628" xr:uid="{00000000-0004-0000-0000-00005B060000}"/>
    <hyperlink ref="L179" r:id="rId1629" xr:uid="{00000000-0004-0000-0000-00005C060000}"/>
    <hyperlink ref="X179" r:id="rId1630" xr:uid="{00000000-0004-0000-0000-00005D060000}"/>
    <hyperlink ref="T127" r:id="rId1631" xr:uid="{00000000-0004-0000-0000-00005E060000}"/>
    <hyperlink ref="F127" r:id="rId1632" xr:uid="{00000000-0004-0000-0000-00005F060000}"/>
    <hyperlink ref="J127" r:id="rId1633" xr:uid="{00000000-0004-0000-0000-000060060000}"/>
    <hyperlink ref="N127" r:id="rId1634" xr:uid="{00000000-0004-0000-0000-000061060000}"/>
    <hyperlink ref="H127" r:id="rId1635" xr:uid="{00000000-0004-0000-0000-000062060000}"/>
    <hyperlink ref="V127" r:id="rId1636" xr:uid="{00000000-0004-0000-0000-000063060000}"/>
    <hyperlink ref="P127" r:id="rId1637" xr:uid="{00000000-0004-0000-0000-000064060000}"/>
    <hyperlink ref="R127" r:id="rId1638" xr:uid="{00000000-0004-0000-0000-000065060000}"/>
    <hyperlink ref="L127" r:id="rId1639" xr:uid="{00000000-0004-0000-0000-000066060000}"/>
    <hyperlink ref="X127" r:id="rId1640" xr:uid="{00000000-0004-0000-0000-000067060000}"/>
    <hyperlink ref="T94" r:id="rId1641" xr:uid="{00000000-0004-0000-0000-000068060000}"/>
    <hyperlink ref="F94" r:id="rId1642" xr:uid="{00000000-0004-0000-0000-000069060000}"/>
    <hyperlink ref="J94" r:id="rId1643" xr:uid="{00000000-0004-0000-0000-00006A060000}"/>
    <hyperlink ref="N94" r:id="rId1644" xr:uid="{00000000-0004-0000-0000-00006B060000}"/>
    <hyperlink ref="H94" r:id="rId1645" xr:uid="{00000000-0004-0000-0000-00006C060000}"/>
    <hyperlink ref="V94" r:id="rId1646" xr:uid="{00000000-0004-0000-0000-00006D060000}"/>
    <hyperlink ref="P94" r:id="rId1647" xr:uid="{00000000-0004-0000-0000-00006E060000}"/>
    <hyperlink ref="R94" r:id="rId1648" xr:uid="{00000000-0004-0000-0000-00006F060000}"/>
    <hyperlink ref="L94" r:id="rId1649" xr:uid="{00000000-0004-0000-0000-000070060000}"/>
    <hyperlink ref="X94" r:id="rId1650" xr:uid="{00000000-0004-0000-0000-000071060000}"/>
    <hyperlink ref="T39" r:id="rId1651" xr:uid="{00000000-0004-0000-0000-000072060000}"/>
    <hyperlink ref="F39" r:id="rId1652" xr:uid="{00000000-0004-0000-0000-000073060000}"/>
    <hyperlink ref="J39" r:id="rId1653" xr:uid="{00000000-0004-0000-0000-000074060000}"/>
    <hyperlink ref="N39" r:id="rId1654" xr:uid="{00000000-0004-0000-0000-000075060000}"/>
    <hyperlink ref="H39" r:id="rId1655" xr:uid="{00000000-0004-0000-0000-000076060000}"/>
    <hyperlink ref="V39" r:id="rId1656" xr:uid="{00000000-0004-0000-0000-000077060000}"/>
    <hyperlink ref="P39" r:id="rId1657" xr:uid="{00000000-0004-0000-0000-000078060000}"/>
    <hyperlink ref="R39" r:id="rId1658" xr:uid="{00000000-0004-0000-0000-000079060000}"/>
    <hyperlink ref="L39" r:id="rId1659" xr:uid="{00000000-0004-0000-0000-00007A060000}"/>
    <hyperlink ref="X39" r:id="rId1660" xr:uid="{00000000-0004-0000-0000-00007B060000}"/>
    <hyperlink ref="T74" r:id="rId1661" xr:uid="{00000000-0004-0000-0000-00007C060000}"/>
    <hyperlink ref="F74" r:id="rId1662" xr:uid="{00000000-0004-0000-0000-00007D060000}"/>
    <hyperlink ref="J74" r:id="rId1663" xr:uid="{00000000-0004-0000-0000-00007E060000}"/>
    <hyperlink ref="N74" r:id="rId1664" xr:uid="{00000000-0004-0000-0000-00007F060000}"/>
    <hyperlink ref="H74" r:id="rId1665" xr:uid="{00000000-0004-0000-0000-000080060000}"/>
    <hyperlink ref="V74" r:id="rId1666" xr:uid="{00000000-0004-0000-0000-000081060000}"/>
    <hyperlink ref="P74" r:id="rId1667" xr:uid="{00000000-0004-0000-0000-000082060000}"/>
    <hyperlink ref="R74" r:id="rId1668" xr:uid="{00000000-0004-0000-0000-000083060000}"/>
    <hyperlink ref="L74" r:id="rId1669" xr:uid="{00000000-0004-0000-0000-000084060000}"/>
    <hyperlink ref="X74" r:id="rId1670" xr:uid="{00000000-0004-0000-0000-000085060000}"/>
    <hyperlink ref="T180" r:id="rId1671" xr:uid="{00000000-0004-0000-0000-000086060000}"/>
    <hyperlink ref="F180" r:id="rId1672" xr:uid="{00000000-0004-0000-0000-000087060000}"/>
    <hyperlink ref="J180" r:id="rId1673" xr:uid="{00000000-0004-0000-0000-000088060000}"/>
    <hyperlink ref="N180" r:id="rId1674" xr:uid="{00000000-0004-0000-0000-000089060000}"/>
    <hyperlink ref="H180" r:id="rId1675" xr:uid="{00000000-0004-0000-0000-00008A060000}"/>
    <hyperlink ref="V180" r:id="rId1676" xr:uid="{00000000-0004-0000-0000-00008B060000}"/>
    <hyperlink ref="P180" r:id="rId1677" xr:uid="{00000000-0004-0000-0000-00008C060000}"/>
    <hyperlink ref="R180" r:id="rId1678" xr:uid="{00000000-0004-0000-0000-00008D060000}"/>
    <hyperlink ref="L180" r:id="rId1679" xr:uid="{00000000-0004-0000-0000-00008E060000}"/>
    <hyperlink ref="X180" r:id="rId1680" xr:uid="{00000000-0004-0000-0000-00008F060000}"/>
    <hyperlink ref="T151" r:id="rId1681" xr:uid="{00000000-0004-0000-0000-000090060000}"/>
    <hyperlink ref="F151" r:id="rId1682" xr:uid="{00000000-0004-0000-0000-000091060000}"/>
    <hyperlink ref="J151" r:id="rId1683" xr:uid="{00000000-0004-0000-0000-000092060000}"/>
    <hyperlink ref="N151" r:id="rId1684" xr:uid="{00000000-0004-0000-0000-000093060000}"/>
    <hyperlink ref="H151" r:id="rId1685" xr:uid="{00000000-0004-0000-0000-000094060000}"/>
    <hyperlink ref="V151" r:id="rId1686" xr:uid="{00000000-0004-0000-0000-000095060000}"/>
    <hyperlink ref="P151" r:id="rId1687" xr:uid="{00000000-0004-0000-0000-000096060000}"/>
    <hyperlink ref="R151" r:id="rId1688" xr:uid="{00000000-0004-0000-0000-000097060000}"/>
    <hyperlink ref="L151" r:id="rId1689" xr:uid="{00000000-0004-0000-0000-000098060000}"/>
    <hyperlink ref="X151" r:id="rId1690" xr:uid="{00000000-0004-0000-0000-000099060000}"/>
    <hyperlink ref="T95" r:id="rId1691" xr:uid="{00000000-0004-0000-0000-00009A060000}"/>
    <hyperlink ref="F95" r:id="rId1692" xr:uid="{00000000-0004-0000-0000-00009B060000}"/>
    <hyperlink ref="J95" r:id="rId1693" xr:uid="{00000000-0004-0000-0000-00009C060000}"/>
    <hyperlink ref="N95" r:id="rId1694" xr:uid="{00000000-0004-0000-0000-00009D060000}"/>
    <hyperlink ref="H95" r:id="rId1695" xr:uid="{00000000-0004-0000-0000-00009E060000}"/>
    <hyperlink ref="V95" r:id="rId1696" xr:uid="{00000000-0004-0000-0000-00009F060000}"/>
    <hyperlink ref="P95" r:id="rId1697" xr:uid="{00000000-0004-0000-0000-0000A0060000}"/>
    <hyperlink ref="R95" r:id="rId1698" xr:uid="{00000000-0004-0000-0000-0000A1060000}"/>
    <hyperlink ref="L95" r:id="rId1699" xr:uid="{00000000-0004-0000-0000-0000A2060000}"/>
    <hyperlink ref="X95" r:id="rId1700" xr:uid="{00000000-0004-0000-0000-0000A3060000}"/>
    <hyperlink ref="T134" r:id="rId1701" xr:uid="{00000000-0004-0000-0000-0000A4060000}"/>
    <hyperlink ref="F134" r:id="rId1702" xr:uid="{00000000-0004-0000-0000-0000A5060000}"/>
    <hyperlink ref="J134" r:id="rId1703" xr:uid="{00000000-0004-0000-0000-0000A6060000}"/>
    <hyperlink ref="N134" r:id="rId1704" xr:uid="{00000000-0004-0000-0000-0000A7060000}"/>
    <hyperlink ref="H134" r:id="rId1705" xr:uid="{00000000-0004-0000-0000-0000A8060000}"/>
    <hyperlink ref="V134" r:id="rId1706" xr:uid="{00000000-0004-0000-0000-0000A9060000}"/>
    <hyperlink ref="P134" r:id="rId1707" xr:uid="{00000000-0004-0000-0000-0000AA060000}"/>
    <hyperlink ref="R134" r:id="rId1708" xr:uid="{00000000-0004-0000-0000-0000AB060000}"/>
    <hyperlink ref="L134" r:id="rId1709" xr:uid="{00000000-0004-0000-0000-0000AC060000}"/>
    <hyperlink ref="X134" r:id="rId1710" xr:uid="{00000000-0004-0000-0000-0000AD060000}"/>
    <hyperlink ref="T53" r:id="rId1711" xr:uid="{00000000-0004-0000-0000-0000AE060000}"/>
    <hyperlink ref="F53" r:id="rId1712" xr:uid="{00000000-0004-0000-0000-0000AF060000}"/>
    <hyperlink ref="J53" r:id="rId1713" xr:uid="{00000000-0004-0000-0000-0000B0060000}"/>
    <hyperlink ref="N53" r:id="rId1714" xr:uid="{00000000-0004-0000-0000-0000B1060000}"/>
    <hyperlink ref="H53" r:id="rId1715" xr:uid="{00000000-0004-0000-0000-0000B2060000}"/>
    <hyperlink ref="V53" r:id="rId1716" xr:uid="{00000000-0004-0000-0000-0000B3060000}"/>
    <hyperlink ref="P53" r:id="rId1717" xr:uid="{00000000-0004-0000-0000-0000B4060000}"/>
    <hyperlink ref="R53" r:id="rId1718" xr:uid="{00000000-0004-0000-0000-0000B5060000}"/>
    <hyperlink ref="L53" r:id="rId1719" xr:uid="{00000000-0004-0000-0000-0000B6060000}"/>
    <hyperlink ref="X53" r:id="rId1720" xr:uid="{00000000-0004-0000-0000-0000B7060000}"/>
    <hyperlink ref="T105" r:id="rId1721" xr:uid="{00000000-0004-0000-0000-0000B8060000}"/>
    <hyperlink ref="F105" r:id="rId1722" xr:uid="{00000000-0004-0000-0000-0000B9060000}"/>
    <hyperlink ref="J105" r:id="rId1723" xr:uid="{00000000-0004-0000-0000-0000BA060000}"/>
    <hyperlink ref="N105" r:id="rId1724" xr:uid="{00000000-0004-0000-0000-0000BB060000}"/>
    <hyperlink ref="H105" r:id="rId1725" xr:uid="{00000000-0004-0000-0000-0000BC060000}"/>
    <hyperlink ref="V105" r:id="rId1726" xr:uid="{00000000-0004-0000-0000-0000BD060000}"/>
    <hyperlink ref="P105" r:id="rId1727" xr:uid="{00000000-0004-0000-0000-0000BE060000}"/>
    <hyperlink ref="R105" r:id="rId1728" xr:uid="{00000000-0004-0000-0000-0000BF060000}"/>
    <hyperlink ref="L105" r:id="rId1729" xr:uid="{00000000-0004-0000-0000-0000C0060000}"/>
    <hyperlink ref="X105" r:id="rId1730" xr:uid="{00000000-0004-0000-0000-0000C1060000}"/>
    <hyperlink ref="T106" r:id="rId1731" xr:uid="{00000000-0004-0000-0000-0000C2060000}"/>
    <hyperlink ref="F106" r:id="rId1732" xr:uid="{00000000-0004-0000-0000-0000C3060000}"/>
    <hyperlink ref="J106" r:id="rId1733" xr:uid="{00000000-0004-0000-0000-0000C4060000}"/>
    <hyperlink ref="N106" r:id="rId1734" xr:uid="{00000000-0004-0000-0000-0000C5060000}"/>
    <hyperlink ref="H106" r:id="rId1735" xr:uid="{00000000-0004-0000-0000-0000C6060000}"/>
    <hyperlink ref="V106" r:id="rId1736" xr:uid="{00000000-0004-0000-0000-0000C7060000}"/>
    <hyperlink ref="P106" r:id="rId1737" xr:uid="{00000000-0004-0000-0000-0000C8060000}"/>
    <hyperlink ref="R106" r:id="rId1738" xr:uid="{00000000-0004-0000-0000-0000C9060000}"/>
    <hyperlink ref="L106" r:id="rId1739" xr:uid="{00000000-0004-0000-0000-0000CA060000}"/>
    <hyperlink ref="X106" r:id="rId1740" xr:uid="{00000000-0004-0000-0000-0000CB060000}"/>
    <hyperlink ref="T33" r:id="rId1741" xr:uid="{00000000-0004-0000-0000-0000CC060000}"/>
    <hyperlink ref="F33" r:id="rId1742" xr:uid="{00000000-0004-0000-0000-0000CD060000}"/>
    <hyperlink ref="J33" r:id="rId1743" xr:uid="{00000000-0004-0000-0000-0000CE060000}"/>
    <hyperlink ref="N33" r:id="rId1744" xr:uid="{00000000-0004-0000-0000-0000CF060000}"/>
    <hyperlink ref="H33" r:id="rId1745" xr:uid="{00000000-0004-0000-0000-0000D0060000}"/>
    <hyperlink ref="V33" r:id="rId1746" xr:uid="{00000000-0004-0000-0000-0000D1060000}"/>
    <hyperlink ref="P33" r:id="rId1747" xr:uid="{00000000-0004-0000-0000-0000D2060000}"/>
    <hyperlink ref="R33" r:id="rId1748" xr:uid="{00000000-0004-0000-0000-0000D3060000}"/>
    <hyperlink ref="L33" r:id="rId1749" xr:uid="{00000000-0004-0000-0000-0000D4060000}"/>
    <hyperlink ref="X33" r:id="rId1750" xr:uid="{00000000-0004-0000-0000-0000D5060000}"/>
    <hyperlink ref="T193" r:id="rId1751" xr:uid="{00000000-0004-0000-0000-0000D6060000}"/>
    <hyperlink ref="F193" r:id="rId1752" xr:uid="{00000000-0004-0000-0000-0000D7060000}"/>
    <hyperlink ref="J193" r:id="rId1753" xr:uid="{00000000-0004-0000-0000-0000D8060000}"/>
    <hyperlink ref="N193" r:id="rId1754" xr:uid="{00000000-0004-0000-0000-0000D9060000}"/>
    <hyperlink ref="H193" r:id="rId1755" xr:uid="{00000000-0004-0000-0000-0000DA060000}"/>
    <hyperlink ref="V193" r:id="rId1756" xr:uid="{00000000-0004-0000-0000-0000DB060000}"/>
    <hyperlink ref="P193" r:id="rId1757" xr:uid="{00000000-0004-0000-0000-0000DC060000}"/>
    <hyperlink ref="R193" r:id="rId1758" xr:uid="{00000000-0004-0000-0000-0000DD060000}"/>
    <hyperlink ref="L193" r:id="rId1759" xr:uid="{00000000-0004-0000-0000-0000DE060000}"/>
    <hyperlink ref="X193" r:id="rId1760" xr:uid="{00000000-0004-0000-0000-0000DF060000}"/>
    <hyperlink ref="T75" r:id="rId1761" xr:uid="{00000000-0004-0000-0000-0000E0060000}"/>
    <hyperlink ref="F75" r:id="rId1762" xr:uid="{00000000-0004-0000-0000-0000E1060000}"/>
    <hyperlink ref="J75" r:id="rId1763" xr:uid="{00000000-0004-0000-0000-0000E2060000}"/>
    <hyperlink ref="N75" r:id="rId1764" xr:uid="{00000000-0004-0000-0000-0000E3060000}"/>
    <hyperlink ref="H75" r:id="rId1765" xr:uid="{00000000-0004-0000-0000-0000E4060000}"/>
    <hyperlink ref="V75" r:id="rId1766" xr:uid="{00000000-0004-0000-0000-0000E5060000}"/>
    <hyperlink ref="P75" r:id="rId1767" xr:uid="{00000000-0004-0000-0000-0000E6060000}"/>
    <hyperlink ref="R75" r:id="rId1768" xr:uid="{00000000-0004-0000-0000-0000E7060000}"/>
    <hyperlink ref="L75" r:id="rId1769" xr:uid="{00000000-0004-0000-0000-0000E8060000}"/>
    <hyperlink ref="X75" r:id="rId1770" xr:uid="{00000000-0004-0000-0000-0000E9060000}"/>
    <hyperlink ref="T7" r:id="rId1771" xr:uid="{00000000-0004-0000-0000-0000EA060000}"/>
    <hyperlink ref="F7" r:id="rId1772" xr:uid="{00000000-0004-0000-0000-0000EB060000}"/>
    <hyperlink ref="J7" r:id="rId1773" xr:uid="{00000000-0004-0000-0000-0000EC060000}"/>
    <hyperlink ref="N7" r:id="rId1774" xr:uid="{00000000-0004-0000-0000-0000ED060000}"/>
    <hyperlink ref="H7" r:id="rId1775" xr:uid="{00000000-0004-0000-0000-0000EE060000}"/>
    <hyperlink ref="V7" r:id="rId1776" xr:uid="{00000000-0004-0000-0000-0000EF060000}"/>
    <hyperlink ref="P7" r:id="rId1777" xr:uid="{00000000-0004-0000-0000-0000F0060000}"/>
    <hyperlink ref="R7" r:id="rId1778" xr:uid="{00000000-0004-0000-0000-0000F1060000}"/>
    <hyperlink ref="L7" r:id="rId1779" xr:uid="{00000000-0004-0000-0000-0000F2060000}"/>
    <hyperlink ref="X7" r:id="rId1780" xr:uid="{00000000-0004-0000-0000-0000F3060000}"/>
    <hyperlink ref="T152" r:id="rId1781" xr:uid="{00000000-0004-0000-0000-0000F4060000}"/>
    <hyperlink ref="F152" r:id="rId1782" xr:uid="{00000000-0004-0000-0000-0000F5060000}"/>
    <hyperlink ref="J152" r:id="rId1783" xr:uid="{00000000-0004-0000-0000-0000F6060000}"/>
    <hyperlink ref="N152" r:id="rId1784" xr:uid="{00000000-0004-0000-0000-0000F7060000}"/>
    <hyperlink ref="H152" r:id="rId1785" xr:uid="{00000000-0004-0000-0000-0000F8060000}"/>
    <hyperlink ref="V152" r:id="rId1786" xr:uid="{00000000-0004-0000-0000-0000F9060000}"/>
    <hyperlink ref="P152" r:id="rId1787" xr:uid="{00000000-0004-0000-0000-0000FA060000}"/>
    <hyperlink ref="R152" r:id="rId1788" xr:uid="{00000000-0004-0000-0000-0000FB060000}"/>
    <hyperlink ref="L152" r:id="rId1789" xr:uid="{00000000-0004-0000-0000-0000FC060000}"/>
    <hyperlink ref="X152" r:id="rId1790" xr:uid="{00000000-0004-0000-0000-0000FD060000}"/>
    <hyperlink ref="T135" r:id="rId1791" xr:uid="{00000000-0004-0000-0000-0000FE060000}"/>
    <hyperlink ref="F135" r:id="rId1792" xr:uid="{00000000-0004-0000-0000-0000FF060000}"/>
    <hyperlink ref="J135" r:id="rId1793" xr:uid="{00000000-0004-0000-0000-000000070000}"/>
    <hyperlink ref="N135" r:id="rId1794" xr:uid="{00000000-0004-0000-0000-000001070000}"/>
    <hyperlink ref="H135" r:id="rId1795" xr:uid="{00000000-0004-0000-0000-000002070000}"/>
    <hyperlink ref="V135" r:id="rId1796" xr:uid="{00000000-0004-0000-0000-000003070000}"/>
    <hyperlink ref="P135" r:id="rId1797" xr:uid="{00000000-0004-0000-0000-000004070000}"/>
    <hyperlink ref="R135" r:id="rId1798" xr:uid="{00000000-0004-0000-0000-000005070000}"/>
    <hyperlink ref="L135" r:id="rId1799" xr:uid="{00000000-0004-0000-0000-000006070000}"/>
    <hyperlink ref="X135" r:id="rId1800" xr:uid="{00000000-0004-0000-0000-000007070000}"/>
    <hyperlink ref="T194" r:id="rId1801" xr:uid="{00000000-0004-0000-0000-000008070000}"/>
    <hyperlink ref="F194" r:id="rId1802" xr:uid="{00000000-0004-0000-0000-000009070000}"/>
    <hyperlink ref="J194" r:id="rId1803" xr:uid="{00000000-0004-0000-0000-00000A070000}"/>
    <hyperlink ref="N194" r:id="rId1804" xr:uid="{00000000-0004-0000-0000-00000B070000}"/>
    <hyperlink ref="H194" r:id="rId1805" xr:uid="{00000000-0004-0000-0000-00000C070000}"/>
    <hyperlink ref="V194" r:id="rId1806" xr:uid="{00000000-0004-0000-0000-00000D070000}"/>
    <hyperlink ref="P194" r:id="rId1807" xr:uid="{00000000-0004-0000-0000-00000E070000}"/>
    <hyperlink ref="R194" r:id="rId1808" xr:uid="{00000000-0004-0000-0000-00000F070000}"/>
    <hyperlink ref="L194" r:id="rId1809" xr:uid="{00000000-0004-0000-0000-000010070000}"/>
    <hyperlink ref="X194" r:id="rId1810" xr:uid="{00000000-0004-0000-0000-000011070000}"/>
    <hyperlink ref="T11" r:id="rId1811" xr:uid="{00000000-0004-0000-0000-000012070000}"/>
    <hyperlink ref="F11" r:id="rId1812" xr:uid="{00000000-0004-0000-0000-000013070000}"/>
    <hyperlink ref="J11" r:id="rId1813" xr:uid="{00000000-0004-0000-0000-000014070000}"/>
    <hyperlink ref="N11" r:id="rId1814" xr:uid="{00000000-0004-0000-0000-000015070000}"/>
    <hyperlink ref="H11" r:id="rId1815" xr:uid="{00000000-0004-0000-0000-000016070000}"/>
    <hyperlink ref="V11" r:id="rId1816" xr:uid="{00000000-0004-0000-0000-000017070000}"/>
    <hyperlink ref="P11" r:id="rId1817" xr:uid="{00000000-0004-0000-0000-000018070000}"/>
    <hyperlink ref="R11" r:id="rId1818" xr:uid="{00000000-0004-0000-0000-000019070000}"/>
    <hyperlink ref="L11" r:id="rId1819" xr:uid="{00000000-0004-0000-0000-00001A070000}"/>
    <hyperlink ref="X11" r:id="rId1820" xr:uid="{00000000-0004-0000-0000-00001B070000}"/>
    <hyperlink ref="T153" r:id="rId1821" xr:uid="{00000000-0004-0000-0000-00001C070000}"/>
    <hyperlink ref="F153" r:id="rId1822" xr:uid="{00000000-0004-0000-0000-00001D070000}"/>
    <hyperlink ref="J153" r:id="rId1823" xr:uid="{00000000-0004-0000-0000-00001E070000}"/>
    <hyperlink ref="N153" r:id="rId1824" xr:uid="{00000000-0004-0000-0000-00001F070000}"/>
    <hyperlink ref="H153" r:id="rId1825" xr:uid="{00000000-0004-0000-0000-000020070000}"/>
    <hyperlink ref="V153" r:id="rId1826" xr:uid="{00000000-0004-0000-0000-000021070000}"/>
    <hyperlink ref="P153" r:id="rId1827" xr:uid="{00000000-0004-0000-0000-000022070000}"/>
    <hyperlink ref="R153" r:id="rId1828" xr:uid="{00000000-0004-0000-0000-000023070000}"/>
    <hyperlink ref="L153" r:id="rId1829" xr:uid="{00000000-0004-0000-0000-000024070000}"/>
    <hyperlink ref="X153" r:id="rId1830" xr:uid="{00000000-0004-0000-0000-000025070000}"/>
    <hyperlink ref="T117" r:id="rId1831" xr:uid="{00000000-0004-0000-0000-000026070000}"/>
    <hyperlink ref="F117" r:id="rId1832" xr:uid="{00000000-0004-0000-0000-000027070000}"/>
    <hyperlink ref="J117" r:id="rId1833" xr:uid="{00000000-0004-0000-0000-000028070000}"/>
    <hyperlink ref="N117" r:id="rId1834" xr:uid="{00000000-0004-0000-0000-000029070000}"/>
    <hyperlink ref="H117" r:id="rId1835" xr:uid="{00000000-0004-0000-0000-00002A070000}"/>
    <hyperlink ref="V117" r:id="rId1836" xr:uid="{00000000-0004-0000-0000-00002B070000}"/>
    <hyperlink ref="P117" r:id="rId1837" xr:uid="{00000000-0004-0000-0000-00002C070000}"/>
    <hyperlink ref="R117" r:id="rId1838" xr:uid="{00000000-0004-0000-0000-00002D070000}"/>
    <hyperlink ref="L117" r:id="rId1839" xr:uid="{00000000-0004-0000-0000-00002E070000}"/>
    <hyperlink ref="X117" r:id="rId1840" xr:uid="{00000000-0004-0000-0000-00002F070000}"/>
    <hyperlink ref="T181" r:id="rId1841" xr:uid="{00000000-0004-0000-0000-000030070000}"/>
    <hyperlink ref="F181" r:id="rId1842" xr:uid="{00000000-0004-0000-0000-000031070000}"/>
    <hyperlink ref="J181" r:id="rId1843" xr:uid="{00000000-0004-0000-0000-000032070000}"/>
    <hyperlink ref="N181" r:id="rId1844" xr:uid="{00000000-0004-0000-0000-000033070000}"/>
    <hyperlink ref="H181" r:id="rId1845" xr:uid="{00000000-0004-0000-0000-000034070000}"/>
    <hyperlink ref="V181" r:id="rId1846" xr:uid="{00000000-0004-0000-0000-000035070000}"/>
    <hyperlink ref="P181" r:id="rId1847" xr:uid="{00000000-0004-0000-0000-000036070000}"/>
    <hyperlink ref="R181" r:id="rId1848" xr:uid="{00000000-0004-0000-0000-000037070000}"/>
    <hyperlink ref="L181" r:id="rId1849" xr:uid="{00000000-0004-0000-0000-000038070000}"/>
    <hyperlink ref="X181" r:id="rId1850" xr:uid="{00000000-0004-0000-0000-000039070000}"/>
    <hyperlink ref="T90" r:id="rId1851" xr:uid="{00000000-0004-0000-0000-00003A070000}"/>
    <hyperlink ref="F90" r:id="rId1852" xr:uid="{00000000-0004-0000-0000-00003B070000}"/>
    <hyperlink ref="J90" r:id="rId1853" xr:uid="{00000000-0004-0000-0000-00003C070000}"/>
    <hyperlink ref="N90" r:id="rId1854" xr:uid="{00000000-0004-0000-0000-00003D070000}"/>
    <hyperlink ref="H90" r:id="rId1855" xr:uid="{00000000-0004-0000-0000-00003E070000}"/>
    <hyperlink ref="V90" r:id="rId1856" xr:uid="{00000000-0004-0000-0000-00003F070000}"/>
    <hyperlink ref="P90" r:id="rId1857" xr:uid="{00000000-0004-0000-0000-000040070000}"/>
    <hyperlink ref="R90" r:id="rId1858" xr:uid="{00000000-0004-0000-0000-000041070000}"/>
    <hyperlink ref="L90" r:id="rId1859" xr:uid="{00000000-0004-0000-0000-000042070000}"/>
    <hyperlink ref="X90" r:id="rId1860" xr:uid="{00000000-0004-0000-0000-000043070000}"/>
    <hyperlink ref="T79" r:id="rId1861" xr:uid="{00000000-0004-0000-0000-000044070000}"/>
    <hyperlink ref="F79" r:id="rId1862" xr:uid="{00000000-0004-0000-0000-000045070000}"/>
    <hyperlink ref="J79" r:id="rId1863" xr:uid="{00000000-0004-0000-0000-000046070000}"/>
    <hyperlink ref="N79" r:id="rId1864" xr:uid="{00000000-0004-0000-0000-000047070000}"/>
    <hyperlink ref="H79" r:id="rId1865" xr:uid="{00000000-0004-0000-0000-000048070000}"/>
    <hyperlink ref="V79" r:id="rId1866" xr:uid="{00000000-0004-0000-0000-000049070000}"/>
    <hyperlink ref="P79" r:id="rId1867" xr:uid="{00000000-0004-0000-0000-00004A070000}"/>
    <hyperlink ref="R79" r:id="rId1868" xr:uid="{00000000-0004-0000-0000-00004B070000}"/>
    <hyperlink ref="L79" r:id="rId1869" xr:uid="{00000000-0004-0000-0000-00004C070000}"/>
    <hyperlink ref="X79" r:id="rId1870" xr:uid="{00000000-0004-0000-0000-00004D070000}"/>
    <hyperlink ref="T136" r:id="rId1871" xr:uid="{00000000-0004-0000-0000-00004E070000}"/>
    <hyperlink ref="F136" r:id="rId1872" xr:uid="{00000000-0004-0000-0000-00004F070000}"/>
    <hyperlink ref="J136" r:id="rId1873" xr:uid="{00000000-0004-0000-0000-000050070000}"/>
    <hyperlink ref="N136" r:id="rId1874" xr:uid="{00000000-0004-0000-0000-000051070000}"/>
    <hyperlink ref="H136" r:id="rId1875" xr:uid="{00000000-0004-0000-0000-000052070000}"/>
    <hyperlink ref="V136" r:id="rId1876" xr:uid="{00000000-0004-0000-0000-000053070000}"/>
    <hyperlink ref="P136" r:id="rId1877" xr:uid="{00000000-0004-0000-0000-000054070000}"/>
    <hyperlink ref="R136" r:id="rId1878" xr:uid="{00000000-0004-0000-0000-000055070000}"/>
    <hyperlink ref="L136" r:id="rId1879" xr:uid="{00000000-0004-0000-0000-000056070000}"/>
    <hyperlink ref="X136" r:id="rId1880" xr:uid="{00000000-0004-0000-0000-000057070000}"/>
    <hyperlink ref="T195" r:id="rId1881" xr:uid="{00000000-0004-0000-0000-000058070000}"/>
    <hyperlink ref="F195" r:id="rId1882" xr:uid="{00000000-0004-0000-0000-000059070000}"/>
    <hyperlink ref="J195" r:id="rId1883" xr:uid="{00000000-0004-0000-0000-00005A070000}"/>
    <hyperlink ref="N195" r:id="rId1884" xr:uid="{00000000-0004-0000-0000-00005B070000}"/>
    <hyperlink ref="H195" r:id="rId1885" xr:uid="{00000000-0004-0000-0000-00005C070000}"/>
    <hyperlink ref="V195" r:id="rId1886" xr:uid="{00000000-0004-0000-0000-00005D070000}"/>
    <hyperlink ref="P195" r:id="rId1887" xr:uid="{00000000-0004-0000-0000-00005E070000}"/>
    <hyperlink ref="R195" r:id="rId1888" xr:uid="{00000000-0004-0000-0000-00005F070000}"/>
    <hyperlink ref="L195" r:id="rId1889" xr:uid="{00000000-0004-0000-0000-000060070000}"/>
    <hyperlink ref="X195" r:id="rId1890" xr:uid="{00000000-0004-0000-0000-000061070000}"/>
    <hyperlink ref="T59" r:id="rId1891" xr:uid="{00000000-0004-0000-0000-000062070000}"/>
    <hyperlink ref="F59" r:id="rId1892" xr:uid="{00000000-0004-0000-0000-000063070000}"/>
    <hyperlink ref="J59" r:id="rId1893" xr:uid="{00000000-0004-0000-0000-000064070000}"/>
    <hyperlink ref="N59" r:id="rId1894" xr:uid="{00000000-0004-0000-0000-000065070000}"/>
    <hyperlink ref="H59" r:id="rId1895" xr:uid="{00000000-0004-0000-0000-000066070000}"/>
    <hyperlink ref="V59" r:id="rId1896" xr:uid="{00000000-0004-0000-0000-000067070000}"/>
    <hyperlink ref="P59" r:id="rId1897" xr:uid="{00000000-0004-0000-0000-000068070000}"/>
    <hyperlink ref="R59" r:id="rId1898" xr:uid="{00000000-0004-0000-0000-000069070000}"/>
    <hyperlink ref="L59" r:id="rId1899" xr:uid="{00000000-0004-0000-0000-00006A070000}"/>
    <hyperlink ref="X59" r:id="rId1900" xr:uid="{00000000-0004-0000-0000-00006B070000}"/>
    <hyperlink ref="T107" r:id="rId1901" xr:uid="{00000000-0004-0000-0000-00006C070000}"/>
    <hyperlink ref="F107" r:id="rId1902" xr:uid="{00000000-0004-0000-0000-00006D070000}"/>
    <hyperlink ref="J107" r:id="rId1903" xr:uid="{00000000-0004-0000-0000-00006E070000}"/>
    <hyperlink ref="N107" r:id="rId1904" xr:uid="{00000000-0004-0000-0000-00006F070000}"/>
    <hyperlink ref="H107" r:id="rId1905" xr:uid="{00000000-0004-0000-0000-000070070000}"/>
    <hyperlink ref="V107" r:id="rId1906" xr:uid="{00000000-0004-0000-0000-000071070000}"/>
    <hyperlink ref="P107" r:id="rId1907" xr:uid="{00000000-0004-0000-0000-000072070000}"/>
    <hyperlink ref="R107" r:id="rId1908" xr:uid="{00000000-0004-0000-0000-000073070000}"/>
    <hyperlink ref="L107" r:id="rId1909" xr:uid="{00000000-0004-0000-0000-000074070000}"/>
    <hyperlink ref="X107" r:id="rId1910" xr:uid="{00000000-0004-0000-0000-000075070000}"/>
    <hyperlink ref="T96" r:id="rId1911" xr:uid="{00000000-0004-0000-0000-000076070000}"/>
    <hyperlink ref="F96" r:id="rId1912" xr:uid="{00000000-0004-0000-0000-000077070000}"/>
    <hyperlink ref="J96" r:id="rId1913" xr:uid="{00000000-0004-0000-0000-000078070000}"/>
    <hyperlink ref="N96" r:id="rId1914" xr:uid="{00000000-0004-0000-0000-000079070000}"/>
    <hyperlink ref="H96" r:id="rId1915" xr:uid="{00000000-0004-0000-0000-00007A070000}"/>
    <hyperlink ref="V96" r:id="rId1916" xr:uid="{00000000-0004-0000-0000-00007B070000}"/>
    <hyperlink ref="P96" r:id="rId1917" xr:uid="{00000000-0004-0000-0000-00007C070000}"/>
    <hyperlink ref="R96" r:id="rId1918" xr:uid="{00000000-0004-0000-0000-00007D070000}"/>
    <hyperlink ref="L96" r:id="rId1919" xr:uid="{00000000-0004-0000-0000-00007E070000}"/>
    <hyperlink ref="X96" r:id="rId1920" xr:uid="{00000000-0004-0000-0000-00007F070000}"/>
    <hyperlink ref="T54" r:id="rId1921" xr:uid="{00000000-0004-0000-0000-000080070000}"/>
    <hyperlink ref="F54" r:id="rId1922" xr:uid="{00000000-0004-0000-0000-000081070000}"/>
    <hyperlink ref="J54" r:id="rId1923" xr:uid="{00000000-0004-0000-0000-000082070000}"/>
    <hyperlink ref="N54" r:id="rId1924" xr:uid="{00000000-0004-0000-0000-000083070000}"/>
    <hyperlink ref="H54" r:id="rId1925" xr:uid="{00000000-0004-0000-0000-000084070000}"/>
    <hyperlink ref="V54" r:id="rId1926" xr:uid="{00000000-0004-0000-0000-000085070000}"/>
    <hyperlink ref="P54" r:id="rId1927" xr:uid="{00000000-0004-0000-0000-000086070000}"/>
    <hyperlink ref="R54" r:id="rId1928" xr:uid="{00000000-0004-0000-0000-000087070000}"/>
    <hyperlink ref="L54" r:id="rId1929" xr:uid="{00000000-0004-0000-0000-000088070000}"/>
    <hyperlink ref="X54" r:id="rId1930" xr:uid="{00000000-0004-0000-0000-000089070000}"/>
    <hyperlink ref="T55" r:id="rId1931" xr:uid="{00000000-0004-0000-0000-00008A070000}"/>
    <hyperlink ref="F55" r:id="rId1932" xr:uid="{00000000-0004-0000-0000-00008B070000}"/>
    <hyperlink ref="J55" r:id="rId1933" xr:uid="{00000000-0004-0000-0000-00008C070000}"/>
    <hyperlink ref="N55" r:id="rId1934" xr:uid="{00000000-0004-0000-0000-00008D070000}"/>
    <hyperlink ref="H55" r:id="rId1935" xr:uid="{00000000-0004-0000-0000-00008E070000}"/>
    <hyperlink ref="V55" r:id="rId1936" xr:uid="{00000000-0004-0000-0000-00008F070000}"/>
    <hyperlink ref="P55" r:id="rId1937" xr:uid="{00000000-0004-0000-0000-000090070000}"/>
    <hyperlink ref="R55" r:id="rId1938" xr:uid="{00000000-0004-0000-0000-000091070000}"/>
    <hyperlink ref="L55" r:id="rId1939" xr:uid="{00000000-0004-0000-0000-000092070000}"/>
    <hyperlink ref="X55" r:id="rId1940" xr:uid="{00000000-0004-0000-0000-00009307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0A946-97DE-A74C-9C5E-049DAC3B0B0D}">
  <dimension ref="A1:Y17"/>
  <sheetViews>
    <sheetView zoomScaleNormal="150" zoomScaleSheetLayoutView="100" workbookViewId="0">
      <selection sqref="A1:B17"/>
    </sheetView>
  </sheetViews>
  <sheetFormatPr defaultRowHeight="15" x14ac:dyDescent="0.2"/>
  <cols>
    <col min="1" max="1" width="11.296875" style="6" bestFit="1" customWidth="1"/>
    <col min="2" max="2" width="28.515625" style="6" bestFit="1" customWidth="1"/>
    <col min="3" max="3" width="12.9140625" style="6" bestFit="1" customWidth="1"/>
    <col min="4" max="4" width="14.2578125" style="6" bestFit="1" customWidth="1"/>
    <col min="5" max="5" width="65.109375" style="6" bestFit="1" customWidth="1"/>
    <col min="6" max="6" width="106.67578125" style="6" bestFit="1" customWidth="1"/>
    <col min="7" max="7" width="56.23046875" style="6" bestFit="1" customWidth="1"/>
    <col min="8" max="8" width="62.8203125" style="6" bestFit="1" customWidth="1"/>
    <col min="9" max="9" width="46.140625" style="6" bestFit="1" customWidth="1"/>
    <col min="10" max="10" width="112.59375" style="6" bestFit="1" customWidth="1"/>
    <col min="11" max="11" width="18.29296875" style="6" bestFit="1" customWidth="1"/>
    <col min="12" max="12" width="62.8203125" style="6" bestFit="1" customWidth="1"/>
    <col min="13" max="13" width="49.234375" style="6" bestFit="1" customWidth="1"/>
    <col min="14" max="14" width="62.8203125" style="6" bestFit="1" customWidth="1"/>
    <col min="15" max="15" width="25.421875" style="6" bestFit="1" customWidth="1"/>
    <col min="16" max="16" width="62.8203125" style="6" bestFit="1" customWidth="1"/>
    <col min="17" max="17" width="52.4609375" style="6" bestFit="1" customWidth="1"/>
    <col min="18" max="18" width="100.890625" style="6" bestFit="1" customWidth="1"/>
    <col min="19" max="19" width="32.1484375" style="6" bestFit="1" customWidth="1"/>
    <col min="20" max="20" width="35.6484375" style="6" bestFit="1" customWidth="1"/>
    <col min="21" max="21" width="22.05859375" style="6" bestFit="1" customWidth="1"/>
    <col min="22" max="22" width="49.50390625" style="6" bestFit="1" customWidth="1"/>
    <col min="23" max="23" width="46.2734375" style="6" bestFit="1" customWidth="1"/>
    <col min="24" max="24" width="191.15625" style="6" bestFit="1" customWidth="1"/>
    <col min="25" max="25" width="12.77734375" style="6" bestFit="1" customWidth="1"/>
    <col min="26" max="16384" width="8.609375" style="6"/>
  </cols>
  <sheetData>
    <row r="1" spans="1:25"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row>
    <row r="2" spans="1:25" x14ac:dyDescent="0.2">
      <c r="A2" s="1">
        <v>6</v>
      </c>
      <c r="B2" s="1" t="s">
        <v>29</v>
      </c>
      <c r="C2" s="1" t="s">
        <v>219</v>
      </c>
      <c r="D2" s="1" t="s">
        <v>220</v>
      </c>
      <c r="E2" s="1" t="s">
        <v>1778</v>
      </c>
      <c r="F2" s="2" t="s">
        <v>1863</v>
      </c>
      <c r="G2" s="1" t="s">
        <v>1779</v>
      </c>
      <c r="H2" s="2" t="s">
        <v>1780</v>
      </c>
      <c r="I2" s="1" t="s">
        <v>1781</v>
      </c>
      <c r="J2" s="2" t="s">
        <v>1864</v>
      </c>
      <c r="K2" s="1" t="s">
        <v>1782</v>
      </c>
      <c r="L2" s="2" t="s">
        <v>1780</v>
      </c>
      <c r="M2" s="1" t="s">
        <v>1783</v>
      </c>
      <c r="N2" s="2" t="s">
        <v>1784</v>
      </c>
      <c r="O2" s="1" t="s">
        <v>1785</v>
      </c>
      <c r="P2" s="2" t="s">
        <v>1780</v>
      </c>
      <c r="Q2" s="1" t="s">
        <v>1786</v>
      </c>
      <c r="R2" s="2" t="s">
        <v>1865</v>
      </c>
      <c r="S2" s="1" t="s">
        <v>1866</v>
      </c>
      <c r="T2" s="2" t="s">
        <v>1524</v>
      </c>
      <c r="U2" s="1" t="s">
        <v>755</v>
      </c>
      <c r="V2" s="2" t="s">
        <v>1580</v>
      </c>
      <c r="W2" s="1" t="s">
        <v>723</v>
      </c>
      <c r="X2" s="2" t="s">
        <v>1775</v>
      </c>
      <c r="Y2" s="1">
        <v>6</v>
      </c>
    </row>
    <row r="3" spans="1:25" x14ac:dyDescent="0.2">
      <c r="A3" s="1">
        <v>24</v>
      </c>
      <c r="B3" s="1" t="s">
        <v>47</v>
      </c>
      <c r="C3" s="1" t="s">
        <v>219</v>
      </c>
      <c r="D3" s="1" t="s">
        <v>220</v>
      </c>
      <c r="E3" s="1" t="s">
        <v>242</v>
      </c>
      <c r="F3" s="2" t="s">
        <v>367</v>
      </c>
      <c r="G3" s="1" t="s">
        <v>551</v>
      </c>
      <c r="H3" s="2" t="s">
        <v>684</v>
      </c>
      <c r="I3" s="1" t="s">
        <v>706</v>
      </c>
      <c r="J3" s="2" t="s">
        <v>782</v>
      </c>
      <c r="K3" s="1" t="s">
        <v>723</v>
      </c>
      <c r="L3" s="2" t="s">
        <v>684</v>
      </c>
      <c r="M3" s="1" t="s">
        <v>997</v>
      </c>
      <c r="N3" s="2" t="s">
        <v>684</v>
      </c>
      <c r="O3" s="1" t="s">
        <v>723</v>
      </c>
      <c r="P3" s="2" t="s">
        <v>684</v>
      </c>
      <c r="Q3" s="1" t="s">
        <v>1161</v>
      </c>
      <c r="R3" s="2" t="s">
        <v>1302</v>
      </c>
      <c r="S3" s="1" t="s">
        <v>1476</v>
      </c>
      <c r="T3" s="2" t="s">
        <v>1524</v>
      </c>
      <c r="U3" s="1" t="s">
        <v>723</v>
      </c>
      <c r="V3" s="2" t="s">
        <v>1598</v>
      </c>
      <c r="W3" s="1" t="s">
        <v>1718</v>
      </c>
      <c r="X3" s="2" t="s">
        <v>1776</v>
      </c>
      <c r="Y3" s="1">
        <v>24</v>
      </c>
    </row>
    <row r="4" spans="1:25" x14ac:dyDescent="0.2">
      <c r="A4" s="1">
        <v>39</v>
      </c>
      <c r="B4" s="1" t="s">
        <v>62</v>
      </c>
      <c r="C4" s="1" t="s">
        <v>219</v>
      </c>
      <c r="D4" s="1" t="s">
        <v>220</v>
      </c>
      <c r="E4" s="1" t="s">
        <v>232</v>
      </c>
      <c r="F4" s="2" t="s">
        <v>382</v>
      </c>
      <c r="G4" s="1" t="s">
        <v>565</v>
      </c>
      <c r="H4" s="2" t="s">
        <v>684</v>
      </c>
      <c r="I4" s="1" t="s">
        <v>702</v>
      </c>
      <c r="J4" s="2" t="s">
        <v>796</v>
      </c>
      <c r="K4" s="1" t="s">
        <v>723</v>
      </c>
      <c r="L4" s="2" t="s">
        <v>684</v>
      </c>
      <c r="M4" s="1" t="s">
        <v>1019</v>
      </c>
      <c r="N4" s="2" t="s">
        <v>684</v>
      </c>
      <c r="O4" s="1" t="s">
        <v>723</v>
      </c>
      <c r="P4" s="2" t="s">
        <v>684</v>
      </c>
      <c r="Q4" s="1" t="s">
        <v>1174</v>
      </c>
      <c r="R4" s="2" t="s">
        <v>1316</v>
      </c>
      <c r="S4" s="1" t="s">
        <v>1485</v>
      </c>
      <c r="T4" s="2" t="s">
        <v>1524</v>
      </c>
      <c r="U4" s="1" t="s">
        <v>723</v>
      </c>
      <c r="V4" s="2" t="s">
        <v>1612</v>
      </c>
      <c r="W4" s="1" t="s">
        <v>1716</v>
      </c>
      <c r="X4" s="2" t="s">
        <v>1776</v>
      </c>
      <c r="Y4" s="1">
        <v>39</v>
      </c>
    </row>
    <row r="5" spans="1:25" x14ac:dyDescent="0.2">
      <c r="A5" s="1">
        <v>48</v>
      </c>
      <c r="B5" s="1" t="s">
        <v>71</v>
      </c>
      <c r="C5" s="1" t="s">
        <v>219</v>
      </c>
      <c r="D5" s="1" t="s">
        <v>220</v>
      </c>
      <c r="E5" s="1" t="s">
        <v>257</v>
      </c>
      <c r="F5" s="2" t="s">
        <v>365</v>
      </c>
      <c r="G5" s="1" t="s">
        <v>574</v>
      </c>
      <c r="H5" s="2" t="s">
        <v>684</v>
      </c>
      <c r="I5" s="1" t="s">
        <v>722</v>
      </c>
      <c r="J5" s="2" t="s">
        <v>805</v>
      </c>
      <c r="K5" s="1" t="s">
        <v>723</v>
      </c>
      <c r="L5" s="2" t="s">
        <v>684</v>
      </c>
      <c r="M5" s="1" t="s">
        <v>1028</v>
      </c>
      <c r="N5" s="2" t="s">
        <v>684</v>
      </c>
      <c r="O5" s="1" t="s">
        <v>723</v>
      </c>
      <c r="P5" s="2" t="s">
        <v>684</v>
      </c>
      <c r="Q5" s="1" t="s">
        <v>1152</v>
      </c>
      <c r="R5" s="2" t="s">
        <v>1325</v>
      </c>
      <c r="S5" s="1" t="s">
        <v>1490</v>
      </c>
      <c r="T5" s="2" t="s">
        <v>1524</v>
      </c>
      <c r="U5" s="1" t="s">
        <v>723</v>
      </c>
      <c r="V5" s="2" t="s">
        <v>1620</v>
      </c>
      <c r="W5" s="1" t="s">
        <v>1711</v>
      </c>
      <c r="X5" s="2" t="s">
        <v>1776</v>
      </c>
      <c r="Y5" s="1">
        <v>48</v>
      </c>
    </row>
    <row r="6" spans="1:25" x14ac:dyDescent="0.2">
      <c r="A6" s="1">
        <v>59</v>
      </c>
      <c r="B6" s="1" t="s">
        <v>82</v>
      </c>
      <c r="C6" s="1" t="s">
        <v>219</v>
      </c>
      <c r="D6" s="1" t="s">
        <v>220</v>
      </c>
      <c r="E6" s="1" t="s">
        <v>1821</v>
      </c>
      <c r="F6" s="2" t="s">
        <v>1822</v>
      </c>
      <c r="G6" s="1" t="s">
        <v>1823</v>
      </c>
      <c r="H6" s="2" t="s">
        <v>1824</v>
      </c>
      <c r="I6" s="1" t="s">
        <v>1825</v>
      </c>
      <c r="J6" s="2" t="s">
        <v>1826</v>
      </c>
      <c r="K6" s="1" t="s">
        <v>1827</v>
      </c>
      <c r="L6" s="2" t="s">
        <v>1828</v>
      </c>
      <c r="M6" s="1" t="s">
        <v>1829</v>
      </c>
      <c r="N6" s="2" t="s">
        <v>1828</v>
      </c>
      <c r="O6" s="1" t="s">
        <v>1830</v>
      </c>
      <c r="P6" s="2" t="s">
        <v>1828</v>
      </c>
      <c r="Q6" s="1" t="s">
        <v>1831</v>
      </c>
      <c r="R6" s="2" t="s">
        <v>1832</v>
      </c>
      <c r="S6" s="1" t="s">
        <v>1833</v>
      </c>
      <c r="T6" s="2" t="s">
        <v>1834</v>
      </c>
      <c r="U6" s="1" t="s">
        <v>1835</v>
      </c>
      <c r="V6" s="2" t="s">
        <v>1836</v>
      </c>
      <c r="W6" s="1" t="s">
        <v>1837</v>
      </c>
      <c r="X6" s="2" t="s">
        <v>1775</v>
      </c>
      <c r="Y6" s="1">
        <v>59</v>
      </c>
    </row>
    <row r="7" spans="1:25" x14ac:dyDescent="0.2">
      <c r="A7" s="1">
        <v>97</v>
      </c>
      <c r="B7" s="1" t="s">
        <v>120</v>
      </c>
      <c r="C7" s="1" t="s">
        <v>219</v>
      </c>
      <c r="D7" s="1" t="s">
        <v>220</v>
      </c>
      <c r="E7" s="1" t="s">
        <v>262</v>
      </c>
      <c r="F7" s="2" t="s">
        <v>435</v>
      </c>
      <c r="G7" s="1" t="s">
        <v>591</v>
      </c>
      <c r="H7" s="2" t="s">
        <v>684</v>
      </c>
      <c r="I7" s="1" t="s">
        <v>731</v>
      </c>
      <c r="J7" s="2" t="s">
        <v>853</v>
      </c>
      <c r="K7" s="1" t="s">
        <v>723</v>
      </c>
      <c r="L7" s="2" t="s">
        <v>684</v>
      </c>
      <c r="M7" s="1" t="s">
        <v>1000</v>
      </c>
      <c r="N7" s="2" t="s">
        <v>684</v>
      </c>
      <c r="O7" s="1" t="s">
        <v>723</v>
      </c>
      <c r="P7" s="2" t="s">
        <v>684</v>
      </c>
      <c r="Q7" s="1" t="s">
        <v>1213</v>
      </c>
      <c r="R7" s="2" t="s">
        <v>1373</v>
      </c>
      <c r="S7" s="1" t="s">
        <v>723</v>
      </c>
      <c r="T7" s="2" t="s">
        <v>1524</v>
      </c>
      <c r="U7" s="1" t="s">
        <v>723</v>
      </c>
      <c r="V7" s="2" t="s">
        <v>1653</v>
      </c>
      <c r="W7" s="1" t="s">
        <v>1732</v>
      </c>
      <c r="X7" s="2" t="s">
        <v>1775</v>
      </c>
      <c r="Y7" s="1">
        <v>97</v>
      </c>
    </row>
    <row r="8" spans="1:25" x14ac:dyDescent="0.2">
      <c r="A8" s="1">
        <v>103</v>
      </c>
      <c r="B8" s="1" t="s">
        <v>126</v>
      </c>
      <c r="C8" s="1" t="s">
        <v>219</v>
      </c>
      <c r="D8" s="1" t="s">
        <v>220</v>
      </c>
      <c r="E8" s="1" t="s">
        <v>262</v>
      </c>
      <c r="F8" s="2" t="s">
        <v>441</v>
      </c>
      <c r="G8" s="1" t="s">
        <v>616</v>
      </c>
      <c r="H8" s="2" t="s">
        <v>684</v>
      </c>
      <c r="I8" s="1" t="s">
        <v>723</v>
      </c>
      <c r="J8" s="2" t="s">
        <v>859</v>
      </c>
      <c r="K8" s="1" t="s">
        <v>723</v>
      </c>
      <c r="L8" s="2" t="s">
        <v>684</v>
      </c>
      <c r="M8" s="1" t="s">
        <v>1060</v>
      </c>
      <c r="N8" s="2" t="s">
        <v>684</v>
      </c>
      <c r="O8" s="1" t="s">
        <v>723</v>
      </c>
      <c r="P8" s="2" t="s">
        <v>684</v>
      </c>
      <c r="Q8" s="1" t="s">
        <v>1208</v>
      </c>
      <c r="R8" s="2" t="s">
        <v>1379</v>
      </c>
      <c r="S8" s="1" t="s">
        <v>689</v>
      </c>
      <c r="T8" s="2" t="s">
        <v>1524</v>
      </c>
      <c r="U8" s="1" t="s">
        <v>723</v>
      </c>
      <c r="V8" s="2" t="s">
        <v>859</v>
      </c>
      <c r="W8" s="1" t="s">
        <v>1748</v>
      </c>
      <c r="X8" s="2" t="s">
        <v>1775</v>
      </c>
      <c r="Y8" s="1">
        <v>103</v>
      </c>
    </row>
    <row r="9" spans="1:25" x14ac:dyDescent="0.2">
      <c r="A9" s="1">
        <v>104</v>
      </c>
      <c r="B9" s="1" t="s">
        <v>127</v>
      </c>
      <c r="C9" s="1" t="s">
        <v>219</v>
      </c>
      <c r="D9" s="1" t="s">
        <v>220</v>
      </c>
      <c r="E9" s="1" t="s">
        <v>290</v>
      </c>
      <c r="F9" s="2" t="s">
        <v>442</v>
      </c>
      <c r="G9" s="1" t="s">
        <v>617</v>
      </c>
      <c r="H9" s="2" t="s">
        <v>684</v>
      </c>
      <c r="I9" s="1" t="s">
        <v>731</v>
      </c>
      <c r="J9" s="2" t="s">
        <v>860</v>
      </c>
      <c r="K9" s="1" t="s">
        <v>723</v>
      </c>
      <c r="L9" s="2" t="s">
        <v>684</v>
      </c>
      <c r="M9" s="1" t="s">
        <v>1067</v>
      </c>
      <c r="N9" s="2" t="s">
        <v>684</v>
      </c>
      <c r="O9" s="1" t="s">
        <v>723</v>
      </c>
      <c r="P9" s="2" t="s">
        <v>684</v>
      </c>
      <c r="Q9" s="1" t="s">
        <v>1218</v>
      </c>
      <c r="R9" s="2" t="s">
        <v>1380</v>
      </c>
      <c r="S9" s="1" t="s">
        <v>689</v>
      </c>
      <c r="T9" s="2" t="s">
        <v>1524</v>
      </c>
      <c r="U9" s="1" t="s">
        <v>723</v>
      </c>
      <c r="V9" s="2" t="s">
        <v>1657</v>
      </c>
      <c r="W9" s="1" t="s">
        <v>1749</v>
      </c>
      <c r="X9" s="2" t="s">
        <v>1776</v>
      </c>
      <c r="Y9" s="1">
        <v>104</v>
      </c>
    </row>
    <row r="10" spans="1:25" x14ac:dyDescent="0.2">
      <c r="A10" s="1">
        <v>111</v>
      </c>
      <c r="B10" s="1" t="s">
        <v>134</v>
      </c>
      <c r="C10" s="1" t="s">
        <v>219</v>
      </c>
      <c r="D10" s="1" t="s">
        <v>220</v>
      </c>
      <c r="E10" s="1" t="s">
        <v>294</v>
      </c>
      <c r="F10" s="2" t="s">
        <v>449</v>
      </c>
      <c r="G10" s="1" t="s">
        <v>622</v>
      </c>
      <c r="H10" s="2" t="s">
        <v>684</v>
      </c>
      <c r="I10" s="1" t="s">
        <v>755</v>
      </c>
      <c r="J10" s="2" t="s">
        <v>867</v>
      </c>
      <c r="K10" s="1" t="s">
        <v>978</v>
      </c>
      <c r="L10" s="2" t="s">
        <v>684</v>
      </c>
      <c r="M10" s="1" t="s">
        <v>1072</v>
      </c>
      <c r="N10" s="2" t="s">
        <v>684</v>
      </c>
      <c r="O10" s="1" t="s">
        <v>1136</v>
      </c>
      <c r="P10" s="2" t="s">
        <v>684</v>
      </c>
      <c r="Q10" s="1" t="s">
        <v>1223</v>
      </c>
      <c r="R10" s="2" t="s">
        <v>1387</v>
      </c>
      <c r="S10" s="1" t="s">
        <v>723</v>
      </c>
      <c r="T10" s="2" t="s">
        <v>1524</v>
      </c>
      <c r="U10" s="1" t="s">
        <v>1565</v>
      </c>
      <c r="V10" s="2" t="s">
        <v>1660</v>
      </c>
      <c r="W10" s="1" t="s">
        <v>689</v>
      </c>
      <c r="X10" s="2" t="s">
        <v>1775</v>
      </c>
      <c r="Y10" s="1">
        <v>111</v>
      </c>
    </row>
    <row r="11" spans="1:25" x14ac:dyDescent="0.2">
      <c r="A11" s="1">
        <v>118</v>
      </c>
      <c r="B11" s="1" t="s">
        <v>141</v>
      </c>
      <c r="C11" s="1" t="s">
        <v>219</v>
      </c>
      <c r="D11" s="1" t="s">
        <v>220</v>
      </c>
      <c r="E11" s="1" t="s">
        <v>262</v>
      </c>
      <c r="F11" s="2" t="s">
        <v>455</v>
      </c>
      <c r="G11" s="1" t="s">
        <v>588</v>
      </c>
      <c r="H11" s="2" t="s">
        <v>684</v>
      </c>
      <c r="I11" s="1" t="s">
        <v>723</v>
      </c>
      <c r="J11" s="2" t="s">
        <v>874</v>
      </c>
      <c r="K11" s="1" t="s">
        <v>723</v>
      </c>
      <c r="L11" s="2" t="s">
        <v>684</v>
      </c>
      <c r="M11" s="1" t="s">
        <v>262</v>
      </c>
      <c r="N11" s="2" t="s">
        <v>684</v>
      </c>
      <c r="O11" s="1" t="s">
        <v>723</v>
      </c>
      <c r="P11" s="2" t="s">
        <v>684</v>
      </c>
      <c r="Q11" s="1" t="s">
        <v>1230</v>
      </c>
      <c r="R11" s="2" t="s">
        <v>1394</v>
      </c>
      <c r="S11" s="1" t="s">
        <v>723</v>
      </c>
      <c r="T11" s="2" t="s">
        <v>1524</v>
      </c>
      <c r="U11" s="1" t="s">
        <v>723</v>
      </c>
      <c r="V11" s="2" t="s">
        <v>874</v>
      </c>
      <c r="W11" s="1" t="s">
        <v>1753</v>
      </c>
      <c r="X11" s="2" t="s">
        <v>1776</v>
      </c>
      <c r="Y11" s="1">
        <v>118</v>
      </c>
    </row>
    <row r="12" spans="1:25" x14ac:dyDescent="0.2">
      <c r="A12" s="1">
        <v>120</v>
      </c>
      <c r="B12" s="1" t="s">
        <v>143</v>
      </c>
      <c r="C12" s="1" t="s">
        <v>219</v>
      </c>
      <c r="D12" s="1" t="s">
        <v>220</v>
      </c>
      <c r="E12" s="1" t="s">
        <v>300</v>
      </c>
      <c r="F12" s="2" t="s">
        <v>457</v>
      </c>
      <c r="G12" s="1" t="s">
        <v>628</v>
      </c>
      <c r="H12" s="2" t="s">
        <v>684</v>
      </c>
      <c r="I12" s="1" t="s">
        <v>723</v>
      </c>
      <c r="J12" s="2" t="s">
        <v>876</v>
      </c>
      <c r="K12" s="1" t="s">
        <v>723</v>
      </c>
      <c r="L12" s="2" t="s">
        <v>684</v>
      </c>
      <c r="M12" s="1" t="s">
        <v>1078</v>
      </c>
      <c r="N12" s="2" t="s">
        <v>684</v>
      </c>
      <c r="O12" s="1" t="s">
        <v>723</v>
      </c>
      <c r="P12" s="2" t="s">
        <v>684</v>
      </c>
      <c r="Q12" s="1" t="s">
        <v>1232</v>
      </c>
      <c r="R12" s="2" t="s">
        <v>1396</v>
      </c>
      <c r="S12" s="1" t="s">
        <v>723</v>
      </c>
      <c r="T12" s="2" t="s">
        <v>1524</v>
      </c>
      <c r="U12" s="1" t="s">
        <v>723</v>
      </c>
      <c r="V12" s="2" t="s">
        <v>876</v>
      </c>
      <c r="W12" s="1" t="s">
        <v>689</v>
      </c>
      <c r="X12" s="2" t="s">
        <v>1775</v>
      </c>
      <c r="Y12" s="1">
        <v>120</v>
      </c>
    </row>
    <row r="13" spans="1:25" x14ac:dyDescent="0.2">
      <c r="A13" s="1">
        <v>155</v>
      </c>
      <c r="B13" s="1" t="s">
        <v>178</v>
      </c>
      <c r="C13" s="1" t="s">
        <v>219</v>
      </c>
      <c r="D13" s="1" t="s">
        <v>220</v>
      </c>
      <c r="E13" s="1" t="s">
        <v>262</v>
      </c>
      <c r="F13" s="2" t="s">
        <v>491</v>
      </c>
      <c r="G13" s="1" t="s">
        <v>656</v>
      </c>
      <c r="H13" s="2" t="s">
        <v>684</v>
      </c>
      <c r="I13" s="1" t="s">
        <v>723</v>
      </c>
      <c r="J13" s="2" t="s">
        <v>911</v>
      </c>
      <c r="K13" s="1" t="s">
        <v>723</v>
      </c>
      <c r="L13" s="2" t="s">
        <v>684</v>
      </c>
      <c r="M13" s="1" t="s">
        <v>1101</v>
      </c>
      <c r="N13" s="2" t="s">
        <v>684</v>
      </c>
      <c r="O13" s="1" t="s">
        <v>723</v>
      </c>
      <c r="P13" s="2" t="s">
        <v>684</v>
      </c>
      <c r="Q13" s="1" t="s">
        <v>1257</v>
      </c>
      <c r="R13" s="2" t="s">
        <v>1431</v>
      </c>
      <c r="S13" s="1" t="s">
        <v>723</v>
      </c>
      <c r="T13" s="2" t="s">
        <v>1524</v>
      </c>
      <c r="U13" s="1" t="s">
        <v>723</v>
      </c>
      <c r="V13" s="2" t="s">
        <v>911</v>
      </c>
      <c r="W13" s="1" t="s">
        <v>689</v>
      </c>
      <c r="X13" s="2" t="s">
        <v>1775</v>
      </c>
      <c r="Y13" s="1">
        <v>155</v>
      </c>
    </row>
    <row r="14" spans="1:25" x14ac:dyDescent="0.2">
      <c r="A14" s="1">
        <v>162</v>
      </c>
      <c r="B14" s="1" t="s">
        <v>185</v>
      </c>
      <c r="C14" s="1" t="s">
        <v>219</v>
      </c>
      <c r="D14" s="1" t="s">
        <v>220</v>
      </c>
      <c r="E14" s="1" t="s">
        <v>326</v>
      </c>
      <c r="F14" s="2" t="s">
        <v>498</v>
      </c>
      <c r="G14" s="1" t="s">
        <v>659</v>
      </c>
      <c r="H14" s="2" t="s">
        <v>684</v>
      </c>
      <c r="I14" s="1" t="s">
        <v>689</v>
      </c>
      <c r="J14" s="2" t="s">
        <v>918</v>
      </c>
      <c r="K14" s="1" t="s">
        <v>689</v>
      </c>
      <c r="L14" s="2" t="s">
        <v>684</v>
      </c>
      <c r="M14" s="1" t="s">
        <v>1106</v>
      </c>
      <c r="N14" s="2" t="s">
        <v>684</v>
      </c>
      <c r="O14" s="1" t="s">
        <v>689</v>
      </c>
      <c r="P14" s="2" t="s">
        <v>684</v>
      </c>
      <c r="Q14" s="1" t="s">
        <v>1262</v>
      </c>
      <c r="R14" s="2" t="s">
        <v>1438</v>
      </c>
      <c r="S14" s="1" t="s">
        <v>723</v>
      </c>
      <c r="T14" s="2" t="s">
        <v>1524</v>
      </c>
      <c r="U14" s="1" t="s">
        <v>1574</v>
      </c>
      <c r="V14" s="2" t="s">
        <v>1686</v>
      </c>
      <c r="W14" s="1" t="s">
        <v>723</v>
      </c>
      <c r="X14" s="2" t="s">
        <v>1775</v>
      </c>
      <c r="Y14" s="1">
        <v>162</v>
      </c>
    </row>
    <row r="15" spans="1:25" x14ac:dyDescent="0.2">
      <c r="A15" s="1">
        <v>173</v>
      </c>
      <c r="B15" s="1" t="s">
        <v>196</v>
      </c>
      <c r="C15" s="1" t="s">
        <v>219</v>
      </c>
      <c r="D15" s="1" t="s">
        <v>220</v>
      </c>
      <c r="E15" s="1" t="s">
        <v>262</v>
      </c>
      <c r="F15" s="2" t="s">
        <v>508</v>
      </c>
      <c r="G15" s="1" t="s">
        <v>663</v>
      </c>
      <c r="H15" s="2" t="s">
        <v>684</v>
      </c>
      <c r="I15" s="1" t="s">
        <v>723</v>
      </c>
      <c r="J15" s="2" t="s">
        <v>929</v>
      </c>
      <c r="K15" s="1" t="s">
        <v>723</v>
      </c>
      <c r="L15" s="2" t="s">
        <v>684</v>
      </c>
      <c r="M15" s="1" t="s">
        <v>262</v>
      </c>
      <c r="N15" s="2" t="s">
        <v>684</v>
      </c>
      <c r="O15" s="1" t="s">
        <v>723</v>
      </c>
      <c r="P15" s="2" t="s">
        <v>684</v>
      </c>
      <c r="Q15" s="1" t="s">
        <v>1270</v>
      </c>
      <c r="R15" s="2" t="s">
        <v>1449</v>
      </c>
      <c r="S15" s="1" t="s">
        <v>1519</v>
      </c>
      <c r="T15" s="2" t="s">
        <v>1524</v>
      </c>
      <c r="U15" s="1" t="s">
        <v>723</v>
      </c>
      <c r="V15" s="2" t="s">
        <v>929</v>
      </c>
      <c r="W15" s="1" t="s">
        <v>1767</v>
      </c>
      <c r="X15" s="2" t="s">
        <v>1776</v>
      </c>
      <c r="Y15" s="1">
        <v>173</v>
      </c>
    </row>
    <row r="16" spans="1:25" x14ac:dyDescent="0.2">
      <c r="A16" s="1">
        <v>194</v>
      </c>
      <c r="B16" s="1" t="s">
        <v>217</v>
      </c>
      <c r="C16" s="1" t="s">
        <v>219</v>
      </c>
      <c r="D16" s="1" t="s">
        <v>220</v>
      </c>
      <c r="E16" s="1" t="s">
        <v>343</v>
      </c>
      <c r="F16" s="2" t="s">
        <v>527</v>
      </c>
      <c r="G16" s="1" t="s">
        <v>678</v>
      </c>
      <c r="H16" s="2" t="s">
        <v>684</v>
      </c>
      <c r="I16" s="1" t="s">
        <v>755</v>
      </c>
      <c r="J16" s="2" t="s">
        <v>950</v>
      </c>
      <c r="K16" s="1" t="s">
        <v>723</v>
      </c>
      <c r="L16" s="2" t="s">
        <v>684</v>
      </c>
      <c r="M16" s="1" t="s">
        <v>1118</v>
      </c>
      <c r="N16" s="2" t="s">
        <v>684</v>
      </c>
      <c r="O16" s="1" t="s">
        <v>723</v>
      </c>
      <c r="P16" s="2" t="s">
        <v>684</v>
      </c>
      <c r="Q16" s="1" t="s">
        <v>1152</v>
      </c>
      <c r="R16" s="2" t="s">
        <v>1470</v>
      </c>
      <c r="S16" s="1" t="s">
        <v>689</v>
      </c>
      <c r="T16" s="2" t="s">
        <v>1524</v>
      </c>
      <c r="U16" s="1" t="s">
        <v>723</v>
      </c>
      <c r="V16" s="2" t="s">
        <v>1703</v>
      </c>
      <c r="W16" s="1" t="s">
        <v>689</v>
      </c>
      <c r="X16" s="2" t="s">
        <v>1775</v>
      </c>
      <c r="Y16" s="1">
        <v>194</v>
      </c>
    </row>
    <row r="17" spans="1:25" x14ac:dyDescent="0.2">
      <c r="A17" s="1">
        <v>195</v>
      </c>
      <c r="B17" s="1" t="s">
        <v>218</v>
      </c>
      <c r="C17" s="1" t="s">
        <v>219</v>
      </c>
      <c r="D17" s="1" t="s">
        <v>220</v>
      </c>
      <c r="E17" s="1" t="s">
        <v>344</v>
      </c>
      <c r="F17" s="2" t="s">
        <v>528</v>
      </c>
      <c r="G17" s="1" t="s">
        <v>679</v>
      </c>
      <c r="H17" s="2" t="s">
        <v>684</v>
      </c>
      <c r="I17" s="1" t="s">
        <v>723</v>
      </c>
      <c r="J17" s="2" t="s">
        <v>951</v>
      </c>
      <c r="K17" s="1" t="s">
        <v>723</v>
      </c>
      <c r="L17" s="2" t="s">
        <v>684</v>
      </c>
      <c r="M17" s="1" t="s">
        <v>1118</v>
      </c>
      <c r="N17" s="2" t="s">
        <v>684</v>
      </c>
      <c r="O17" s="1" t="s">
        <v>723</v>
      </c>
      <c r="P17" s="2" t="s">
        <v>684</v>
      </c>
      <c r="Q17" s="1" t="s">
        <v>1152</v>
      </c>
      <c r="R17" s="2" t="s">
        <v>1471</v>
      </c>
      <c r="S17" s="1" t="s">
        <v>689</v>
      </c>
      <c r="T17" s="2" t="s">
        <v>1524</v>
      </c>
      <c r="U17" s="1" t="s">
        <v>723</v>
      </c>
      <c r="V17" s="2" t="s">
        <v>951</v>
      </c>
      <c r="W17" s="1" t="s">
        <v>689</v>
      </c>
      <c r="X17" s="2" t="s">
        <v>1775</v>
      </c>
      <c r="Y17" s="1">
        <v>195</v>
      </c>
    </row>
  </sheetData>
  <hyperlinks>
    <hyperlink ref="F3" r:id="rId1" xr:uid="{A51D0280-41ED-BC4F-8203-999C33FF1F95}"/>
    <hyperlink ref="H3" r:id="rId2" xr:uid="{B64C0952-A1AC-E543-BADE-1CF2E4A25935}"/>
    <hyperlink ref="J3" r:id="rId3" xr:uid="{51D78B94-0711-9646-89A8-1A3386C71138}"/>
    <hyperlink ref="L3" r:id="rId4" xr:uid="{7876649E-C5CB-7347-AE4C-A621340CB5C0}"/>
    <hyperlink ref="N3" r:id="rId5" xr:uid="{53E517ED-B3F7-DA4F-AED8-AEE4421EE63F}"/>
    <hyperlink ref="P3" r:id="rId6" xr:uid="{0D685F0C-B82E-8A43-B745-28264C8B8476}"/>
    <hyperlink ref="R3" r:id="rId7" xr:uid="{2905A2A8-BBBC-8941-B867-8C0C7962097F}"/>
    <hyperlink ref="T3" r:id="rId8" xr:uid="{35AC504F-C7DB-664D-9C42-041F29955CA2}"/>
    <hyperlink ref="V3" r:id="rId9" xr:uid="{788803E6-BC06-8C49-BCA2-C51D5708C08E}"/>
    <hyperlink ref="X3" r:id="rId10" xr:uid="{0775615E-C60F-C94E-B437-D7190AC7041C}"/>
    <hyperlink ref="F4" r:id="rId11" xr:uid="{94B9F006-FCA6-AC4B-88EB-2730283820F5}"/>
    <hyperlink ref="H4" r:id="rId12" xr:uid="{5F72DFF2-9034-B14C-A093-52B1D55CC97A}"/>
    <hyperlink ref="J4" r:id="rId13" xr:uid="{BC1EB362-1C03-D747-BC1A-D963C6BE0E3C}"/>
    <hyperlink ref="L4" r:id="rId14" xr:uid="{62B6676F-B412-F941-9828-0CBD4B46F1EE}"/>
    <hyperlink ref="N4" r:id="rId15" xr:uid="{EEB3681D-41FC-CD41-8EAF-15F7A2CCB143}"/>
    <hyperlink ref="P4" r:id="rId16" xr:uid="{FC2F7523-05CB-B74D-86A5-A0AE1C0F9921}"/>
    <hyperlink ref="R4" r:id="rId17" xr:uid="{F5C4F67A-45FD-D745-A6D8-569FD869BDC0}"/>
    <hyperlink ref="T4" r:id="rId18" xr:uid="{4C99FDF9-DF89-BD49-AFF2-EF6F225DF607}"/>
    <hyperlink ref="V4" r:id="rId19" xr:uid="{A390ABB8-B929-EA4E-BEBA-AA806D718199}"/>
    <hyperlink ref="X4" r:id="rId20" xr:uid="{17F500D9-4565-F840-AB34-9A0C563B8B5F}"/>
    <hyperlink ref="F5" r:id="rId21" xr:uid="{0640B81F-8715-8A4A-867B-25CC070EA576}"/>
    <hyperlink ref="H5" r:id="rId22" xr:uid="{171DC065-3641-2644-B640-EBF94F0EDC41}"/>
    <hyperlink ref="J5" r:id="rId23" xr:uid="{3DB2EBFB-C2CD-8F49-83D1-0E561A81A122}"/>
    <hyperlink ref="L5" r:id="rId24" xr:uid="{62074E22-F246-1D42-B694-564BD5B1A682}"/>
    <hyperlink ref="N5" r:id="rId25" xr:uid="{A59F60C6-D70E-534D-86FA-5B8CEF8E120A}"/>
    <hyperlink ref="P5" r:id="rId26" xr:uid="{16CD2C7E-D0D2-DA45-8023-90F3010E11AD}"/>
    <hyperlink ref="R5" r:id="rId27" xr:uid="{813301D2-3DF2-2C4D-A46C-C8A28F2ADB4B}"/>
    <hyperlink ref="T5" r:id="rId28" xr:uid="{E58008B7-B3FB-F84A-A4CF-336602AC178D}"/>
    <hyperlink ref="V5" r:id="rId29" xr:uid="{ED8A863A-7307-4045-876A-CEAD4F1B30DA}"/>
    <hyperlink ref="X5" r:id="rId30" xr:uid="{DFA6F15A-74A9-7240-AE78-75E2DC220D1D}"/>
    <hyperlink ref="F7" r:id="rId31" xr:uid="{6ECB0667-8A79-8944-91AF-67D79475AB1B}"/>
    <hyperlink ref="H7" r:id="rId32" xr:uid="{F236B3BD-31F8-984C-884F-79435DA11CC9}"/>
    <hyperlink ref="J7" r:id="rId33" xr:uid="{7C0215C2-2907-1A42-AC1F-37E4CCFAF350}"/>
    <hyperlink ref="L7" r:id="rId34" xr:uid="{EB81E144-450D-3F47-8D9F-D840612D59E0}"/>
    <hyperlink ref="N7" r:id="rId35" xr:uid="{37A1D068-5518-AD4D-BDF7-8872710B879A}"/>
    <hyperlink ref="P7" r:id="rId36" xr:uid="{2278C26D-14C2-8142-BAAD-A48361696D6D}"/>
    <hyperlink ref="R7" r:id="rId37" xr:uid="{54DA5AFB-89E6-FA41-B077-6EE0BB272BCF}"/>
    <hyperlink ref="T7" r:id="rId38" xr:uid="{EB41F550-F4F1-D645-A7BA-932BB7AE0CC6}"/>
    <hyperlink ref="V7" r:id="rId39" xr:uid="{6A22321D-FD31-484A-8475-52AA799272A4}"/>
    <hyperlink ref="X7" r:id="rId40" xr:uid="{0A5CD04D-71F2-3D4E-9B82-94980EB38455}"/>
    <hyperlink ref="F8" r:id="rId41" xr:uid="{D8FF9528-5F37-7D4F-9123-3C227BD514F4}"/>
    <hyperlink ref="H8" r:id="rId42" xr:uid="{E6A189AD-C4D4-8343-B876-A6EE7334FCC0}"/>
    <hyperlink ref="J8" r:id="rId43" xr:uid="{47C2DD46-51AF-2D45-9CE0-BD3253E77401}"/>
    <hyperlink ref="L8" r:id="rId44" xr:uid="{CE3128BF-F99E-B143-BAEF-DDC8BCB02678}"/>
    <hyperlink ref="N8" r:id="rId45" xr:uid="{6408D8C9-A59C-F44F-9EDA-A779A91002DB}"/>
    <hyperlink ref="P8" r:id="rId46" xr:uid="{7FAAD7F0-86FF-DC43-A29E-CFCC725A0995}"/>
    <hyperlink ref="R8" r:id="rId47" xr:uid="{DF9BB5CD-3E74-BA45-9FCD-B700DA6B05A6}"/>
    <hyperlink ref="T8" r:id="rId48" xr:uid="{99AFD292-121D-9442-B532-ED2A23399466}"/>
    <hyperlink ref="V8" r:id="rId49" xr:uid="{C556A369-B37F-7C43-AD20-A82585AB919A}"/>
    <hyperlink ref="X8" r:id="rId50" xr:uid="{119CA37B-904C-344C-9F30-78D260633AB5}"/>
    <hyperlink ref="F9" r:id="rId51" xr:uid="{0CACE9CF-12E8-5E40-AFDA-A995BEF71A38}"/>
    <hyperlink ref="H9" r:id="rId52" xr:uid="{01A3E976-9D3C-0D43-B011-D83B143E7A92}"/>
    <hyperlink ref="J9" r:id="rId53" xr:uid="{9A9E1507-DB2A-2B44-9974-D1442796E8AA}"/>
    <hyperlink ref="L9" r:id="rId54" xr:uid="{6BDEAFDD-A9B6-6442-9A6E-A1D7F0177528}"/>
    <hyperlink ref="N9" r:id="rId55" xr:uid="{26EFB17E-5696-8D46-81F5-13AC30AFADA9}"/>
    <hyperlink ref="P9" r:id="rId56" xr:uid="{9C1B0FE7-7E02-9947-B7A9-57B4ABEDB762}"/>
    <hyperlink ref="R9" r:id="rId57" xr:uid="{90C75018-5F97-F94B-859D-07D781FFA4C4}"/>
    <hyperlink ref="T9" r:id="rId58" xr:uid="{C3EEB0C7-C7AF-5049-91B9-E2591F82CB5E}"/>
    <hyperlink ref="V9" r:id="rId59" xr:uid="{108DA3A3-331F-F440-BA0C-FDCE85FE1B95}"/>
    <hyperlink ref="X9" r:id="rId60" xr:uid="{B1A9DEB4-9849-2F4B-8745-9641E75F869A}"/>
    <hyperlink ref="F10" r:id="rId61" xr:uid="{8686C8E7-81B4-C447-B6F0-69EFC84721DE}"/>
    <hyperlink ref="H10" r:id="rId62" xr:uid="{DB99B65E-D827-A944-8926-A6D95D015719}"/>
    <hyperlink ref="J10" r:id="rId63" xr:uid="{3729C30E-A9D7-2B42-AAD3-CBDAA2C6073C}"/>
    <hyperlink ref="L10" r:id="rId64" xr:uid="{23B4A764-D326-054F-8A2D-F887FB8DF93C}"/>
    <hyperlink ref="N10" r:id="rId65" xr:uid="{F48DC18D-578D-B44F-B4F7-4A04C68397C7}"/>
    <hyperlink ref="P10" r:id="rId66" xr:uid="{53D6C4B9-C339-F343-BFCF-10E12B2ABDAB}"/>
    <hyperlink ref="R10" r:id="rId67" xr:uid="{5BC7E774-F95C-4947-BE07-BDB5C0EC3B0D}"/>
    <hyperlink ref="T10" r:id="rId68" xr:uid="{1303B00D-B6B7-814F-9161-260DC0E9F0D1}"/>
    <hyperlink ref="V10" r:id="rId69" xr:uid="{D07BC921-7EC2-DA4F-8086-70A9BD8D4C3C}"/>
    <hyperlink ref="X10" r:id="rId70" xr:uid="{E90F55CF-1424-6B41-B8EC-3E2A83DC2C35}"/>
    <hyperlink ref="F11" r:id="rId71" xr:uid="{27746AA1-625B-174C-B362-E78927EF1633}"/>
    <hyperlink ref="H11" r:id="rId72" xr:uid="{C0444D9B-B9AE-6D4C-9642-0F0FA4698F8F}"/>
    <hyperlink ref="J11" r:id="rId73" xr:uid="{B16616A9-8EBD-BC43-98AE-98202280B6C3}"/>
    <hyperlink ref="L11" r:id="rId74" xr:uid="{ABE8038F-E87F-BA49-8A82-008A2EC8BC85}"/>
    <hyperlink ref="N11" r:id="rId75" xr:uid="{1821F8E0-7836-DD44-B915-0B4D6A2CC584}"/>
    <hyperlink ref="P11" r:id="rId76" xr:uid="{567E94C8-37B4-BA43-811D-434DC9F279CB}"/>
    <hyperlink ref="R11" r:id="rId77" xr:uid="{E3B17E7E-3E45-A742-88C9-3228B3C7592A}"/>
    <hyperlink ref="T11" r:id="rId78" xr:uid="{4CEE2DE8-4122-DB40-AACC-9CBD6E3F85C1}"/>
    <hyperlink ref="V11" r:id="rId79" xr:uid="{2D9BCE1D-582E-B24D-A062-9A090F4DB1D3}"/>
    <hyperlink ref="X11" r:id="rId80" xr:uid="{307B85ED-488A-3B44-88E7-797D88461276}"/>
    <hyperlink ref="F12" r:id="rId81" xr:uid="{DF4AB6A2-C0C7-4B48-A5D4-1B968A6E6998}"/>
    <hyperlink ref="H12" r:id="rId82" xr:uid="{F5771EDE-1D8A-2A47-962A-3391C845F28B}"/>
    <hyperlink ref="J12" r:id="rId83" xr:uid="{2E182B1C-943F-AC44-9FC3-AB70837FFF81}"/>
    <hyperlink ref="L12" r:id="rId84" xr:uid="{77A04FA0-8368-6042-820D-8C167C8E957F}"/>
    <hyperlink ref="N12" r:id="rId85" xr:uid="{642B325B-716E-B541-979F-5EF2B2E8938F}"/>
    <hyperlink ref="P12" r:id="rId86" xr:uid="{E84B0A77-9819-E144-9AB3-7CA7DC001E4D}"/>
    <hyperlink ref="R12" r:id="rId87" xr:uid="{9DCEE81A-A892-DA48-B774-588FDEFF9B4E}"/>
    <hyperlink ref="T12" r:id="rId88" xr:uid="{C12FE3E1-D981-AB49-B849-50F1415E6D21}"/>
    <hyperlink ref="V12" r:id="rId89" xr:uid="{C0F5A989-233D-294D-8185-543F43A729EA}"/>
    <hyperlink ref="X12" r:id="rId90" xr:uid="{588A9B32-5D1B-5443-84AB-85295768AB74}"/>
    <hyperlink ref="F13" r:id="rId91" xr:uid="{9D944B51-1074-3F47-94A1-8B942E388C08}"/>
    <hyperlink ref="H13" r:id="rId92" xr:uid="{A65EAB52-4855-9149-958A-33CD76985EBC}"/>
    <hyperlink ref="J13" r:id="rId93" xr:uid="{D7769BA6-977F-6846-8B84-052206E6D695}"/>
    <hyperlink ref="L13" r:id="rId94" xr:uid="{6512A4B6-91B9-6F48-A52E-E55FC7E11EE2}"/>
    <hyperlink ref="N13" r:id="rId95" xr:uid="{617B23EF-3D6B-4549-9982-E7F6A040A215}"/>
    <hyperlink ref="P13" r:id="rId96" xr:uid="{44FC7E53-F669-334B-817E-19A9D87622B8}"/>
    <hyperlink ref="R13" r:id="rId97" xr:uid="{072F370F-8516-6F4B-A5C6-CAE417E90E81}"/>
    <hyperlink ref="T13" r:id="rId98" xr:uid="{CAE481F7-9635-E143-9EF1-4FE91AAA0BBB}"/>
    <hyperlink ref="V13" r:id="rId99" xr:uid="{EFB60854-F038-964D-AC23-0D28A6DAC472}"/>
    <hyperlink ref="X13" r:id="rId100" xr:uid="{7C8EE9D3-3DE5-F14A-8D27-B282CFEBDAA1}"/>
    <hyperlink ref="F14" r:id="rId101" xr:uid="{53348A31-8CFC-8140-95EA-670FAD546934}"/>
    <hyperlink ref="H14" r:id="rId102" xr:uid="{CEB00C12-B774-B34D-B03E-EB837B4DEF8F}"/>
    <hyperlink ref="J14" r:id="rId103" xr:uid="{37DD27D6-664D-2940-8345-11A9A6FB5115}"/>
    <hyperlink ref="L14" r:id="rId104" xr:uid="{0FCB1F47-1DEE-1045-8AA5-B517A60E087A}"/>
    <hyperlink ref="N14" r:id="rId105" xr:uid="{761F48BF-97F4-1D41-BC8A-10A32CE58E49}"/>
    <hyperlink ref="P14" r:id="rId106" xr:uid="{C5157307-44C2-DA42-B3A3-2CC3F45FEA9E}"/>
    <hyperlink ref="R14" r:id="rId107" xr:uid="{65F8B1FF-993B-AF40-BADA-D2171FB8F370}"/>
    <hyperlink ref="T14" r:id="rId108" xr:uid="{C9B324E8-8818-8046-B3F2-12A217F559E0}"/>
    <hyperlink ref="V14" r:id="rId109" xr:uid="{CFE8467F-F2D9-8841-9A7C-07B41ECDFFFF}"/>
    <hyperlink ref="X14" r:id="rId110" xr:uid="{EC06552B-D4FC-AC43-90CE-9E44F3F22064}"/>
    <hyperlink ref="F15" r:id="rId111" xr:uid="{EB1FC617-E6E8-D048-B00F-7ABA8DA8FF4F}"/>
    <hyperlink ref="H15" r:id="rId112" xr:uid="{6325E895-6259-8D46-A1A8-484C27555B30}"/>
    <hyperlink ref="J15" r:id="rId113" xr:uid="{CED1A16A-2D9F-4D4E-A916-000DD3AE160A}"/>
    <hyperlink ref="L15" r:id="rId114" xr:uid="{0F4E6FE3-B39E-F94B-B397-DA2002F98B9A}"/>
    <hyperlink ref="N15" r:id="rId115" xr:uid="{6EF9E73C-7C32-554A-A3F5-B7C1B08D9B1B}"/>
    <hyperlink ref="P15" r:id="rId116" xr:uid="{E40CB697-1C7F-8141-A9CF-1F7A17BFDD7C}"/>
    <hyperlink ref="R15" r:id="rId117" xr:uid="{9BCED347-200F-FA45-B0CD-FCBEF7326809}"/>
    <hyperlink ref="T15" r:id="rId118" xr:uid="{B9503803-8490-0B45-9038-7DA9D1B27B9D}"/>
    <hyperlink ref="V15" r:id="rId119" xr:uid="{CFD60FAD-596C-5C4C-B453-35DAF859F58C}"/>
    <hyperlink ref="X15" r:id="rId120" xr:uid="{EA094CA8-8415-864B-BDF5-C7A4AB410739}"/>
    <hyperlink ref="F16" r:id="rId121" xr:uid="{A98038AA-891B-A64C-882D-A79A37CC4266}"/>
    <hyperlink ref="H16" r:id="rId122" xr:uid="{2E06D2F0-9D8E-F046-8BD0-9E33A8D78B48}"/>
    <hyperlink ref="J16" r:id="rId123" xr:uid="{62C51AF6-EE42-DE49-957B-4FC54210DFAC}"/>
    <hyperlink ref="L16" r:id="rId124" xr:uid="{B6792AF3-B804-8B47-A042-75976A2384F3}"/>
    <hyperlink ref="N16" r:id="rId125" xr:uid="{355D89A4-BA16-3F4E-9EB3-4C39972EE41F}"/>
    <hyperlink ref="P16" r:id="rId126" xr:uid="{CCACC88A-5F35-9649-B215-3870866444FA}"/>
    <hyperlink ref="R16" r:id="rId127" xr:uid="{0581A487-8A5B-C548-8F4F-B6F1047AAA2A}"/>
    <hyperlink ref="T16" r:id="rId128" xr:uid="{BC8EC83E-0D4B-614E-AFEA-9D366DE386AC}"/>
    <hyperlink ref="V16" r:id="rId129" xr:uid="{BA5F3088-715D-DD46-A963-FDD1CDE20A66}"/>
    <hyperlink ref="X16" r:id="rId130" xr:uid="{0604A95C-85C2-E44B-95E5-019E6E874202}"/>
    <hyperlink ref="F17" r:id="rId131" xr:uid="{DFF64EA2-6429-5341-8BE9-EC6D2D22B996}"/>
    <hyperlink ref="H17" r:id="rId132" xr:uid="{F69762C8-6E1C-D24B-8D21-ED33A3C04823}"/>
    <hyperlink ref="J17" r:id="rId133" xr:uid="{5D1128CB-4EDF-0D42-9FA2-3B604005EE8C}"/>
    <hyperlink ref="L17" r:id="rId134" xr:uid="{A8EC61A3-1073-BF4B-9FFA-FC9A3305C270}"/>
    <hyperlink ref="N17" r:id="rId135" xr:uid="{DC5C34C0-9B68-2543-A475-EF6C9FBE83A4}"/>
    <hyperlink ref="P17" r:id="rId136" xr:uid="{6FB46395-BBF0-5248-82B1-A872946EA7F9}"/>
    <hyperlink ref="R17" r:id="rId137" xr:uid="{8F4C1B9D-B25B-3A47-9E0D-FDE031C8B73A}"/>
    <hyperlink ref="T17" r:id="rId138" xr:uid="{A1B1735F-F67B-604B-8CD9-07AB13B123F4}"/>
    <hyperlink ref="V17" r:id="rId139" xr:uid="{A62B1B34-B02F-2944-90F2-9476F4233CC0}"/>
    <hyperlink ref="X17" r:id="rId140" xr:uid="{DA6B0B63-F577-F744-95EC-683999759EFD}"/>
    <hyperlink ref="X2" r:id="rId141" xr:uid="{EC1423A2-6D35-1040-88EC-44A1184B508C}"/>
    <hyperlink ref="V2" r:id="rId142" xr:uid="{0468D432-C0EB-A849-95A9-4AC32786C6DB}"/>
    <hyperlink ref="T2" r:id="rId143" xr:uid="{5A22480A-CC29-C24A-8191-5D84CD638A87}"/>
    <hyperlink ref="X6" r:id="rId144" xr:uid="{EA581559-4184-E14E-8250-F5DFA43A8328}"/>
    <hyperlink ref="V6" r:id="rId145" xr:uid="{659ADDAB-AD08-2840-B773-805B2460D100}"/>
    <hyperlink ref="T6" r:id="rId146" xr:uid="{974AF406-A753-204B-82DF-0ADBB33774ED}"/>
    <hyperlink ref="R6" r:id="rId147" xr:uid="{FE55BA90-80F5-4D43-9F8F-27B61B5473BE}"/>
    <hyperlink ref="P6" r:id="rId148" xr:uid="{BD0E2883-3908-EF48-AE27-D4377131B2FB}"/>
    <hyperlink ref="N6" r:id="rId149" xr:uid="{EDDA51CB-79EA-F746-94A0-7430F663C65D}"/>
    <hyperlink ref="L6" r:id="rId150" xr:uid="{7D11BF76-EFD1-274A-910D-3804EC172F29}"/>
    <hyperlink ref="J6" r:id="rId151" xr:uid="{7A2CEDD7-BAA8-D147-9A1E-6448DBE6BB4D}"/>
    <hyperlink ref="H6" r:id="rId152" xr:uid="{8756209F-8B15-E246-8FAD-F1E17C499874}"/>
    <hyperlink ref="F6" r:id="rId153" xr:uid="{CCDD1D4F-F62C-6B44-9CDC-F194C0A0D478}"/>
    <hyperlink ref="F2" r:id="rId154" xr:uid="{A59C26EE-EB75-8A4D-A4CD-4FD65C3547BB}"/>
    <hyperlink ref="H2" r:id="rId155" xr:uid="{AB385197-4382-F84D-B094-26934D759530}"/>
    <hyperlink ref="J2" r:id="rId156" xr:uid="{70469746-1C2D-1B46-B4D8-698E6486E5E5}"/>
    <hyperlink ref="L2" r:id="rId157" xr:uid="{5546E4D1-A92C-C844-9C75-16DDC954A11A}"/>
    <hyperlink ref="N2" r:id="rId158" xr:uid="{ED57511E-B25D-EE4D-8226-860978EA50A3}"/>
    <hyperlink ref="P2" r:id="rId159" xr:uid="{651213F0-8197-3649-A2D1-856ACA2E08A6}"/>
    <hyperlink ref="R2" r:id="rId160" xr:uid="{125CD08F-15C7-874E-B2BA-C02C2953754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200D3-CE66-6346-9BF2-798942B003A1}">
  <dimension ref="A1:Y14"/>
  <sheetViews>
    <sheetView zoomScaleNormal="150" zoomScaleSheetLayoutView="100" workbookViewId="0">
      <selection activeCell="Z19" sqref="Z19"/>
    </sheetView>
  </sheetViews>
  <sheetFormatPr defaultRowHeight="15" x14ac:dyDescent="0.2"/>
  <cols>
    <col min="1" max="16384" width="8.609375" style="6"/>
  </cols>
  <sheetData>
    <row r="1" spans="1:25"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row>
    <row r="2" spans="1:25" x14ac:dyDescent="0.2">
      <c r="A2" s="3">
        <v>20</v>
      </c>
      <c r="B2" s="3" t="s">
        <v>43</v>
      </c>
      <c r="C2" s="3" t="s">
        <v>219</v>
      </c>
      <c r="D2" s="3" t="s">
        <v>1777</v>
      </c>
      <c r="E2" s="3" t="s">
        <v>238</v>
      </c>
      <c r="F2" s="4" t="s">
        <v>363</v>
      </c>
      <c r="G2" s="3" t="s">
        <v>547</v>
      </c>
      <c r="H2" s="4" t="s">
        <v>684</v>
      </c>
      <c r="I2" s="3" t="s">
        <v>702</v>
      </c>
      <c r="J2" s="4" t="s">
        <v>778</v>
      </c>
      <c r="K2" s="3" t="s">
        <v>723</v>
      </c>
      <c r="L2" s="4" t="s">
        <v>684</v>
      </c>
      <c r="M2" s="3" t="s">
        <v>1004</v>
      </c>
      <c r="N2" s="4" t="s">
        <v>684</v>
      </c>
      <c r="O2" s="3" t="s">
        <v>723</v>
      </c>
      <c r="P2" s="4" t="s">
        <v>684</v>
      </c>
      <c r="Q2" s="3" t="s">
        <v>1148</v>
      </c>
      <c r="R2" s="4" t="s">
        <v>1298</v>
      </c>
      <c r="S2" s="3" t="s">
        <v>1476</v>
      </c>
      <c r="T2" s="4" t="s">
        <v>1524</v>
      </c>
      <c r="U2" s="3" t="s">
        <v>723</v>
      </c>
      <c r="V2" s="4" t="s">
        <v>1594</v>
      </c>
      <c r="W2" s="3" t="s">
        <v>1714</v>
      </c>
      <c r="X2" s="4" t="s">
        <v>1776</v>
      </c>
      <c r="Y2" s="3">
        <v>20</v>
      </c>
    </row>
    <row r="3" spans="1:25" x14ac:dyDescent="0.2">
      <c r="A3" s="3">
        <v>28</v>
      </c>
      <c r="B3" s="3" t="s">
        <v>51</v>
      </c>
      <c r="C3" s="3" t="s">
        <v>219</v>
      </c>
      <c r="D3" s="3" t="s">
        <v>1777</v>
      </c>
      <c r="E3" s="3" t="s">
        <v>232</v>
      </c>
      <c r="F3" s="4" t="s">
        <v>371</v>
      </c>
      <c r="G3" s="3" t="s">
        <v>555</v>
      </c>
      <c r="H3" s="4" t="s">
        <v>684</v>
      </c>
      <c r="I3" s="3" t="s">
        <v>710</v>
      </c>
      <c r="J3" s="4" t="s">
        <v>786</v>
      </c>
      <c r="K3" s="3" t="s">
        <v>723</v>
      </c>
      <c r="L3" s="4" t="s">
        <v>684</v>
      </c>
      <c r="M3" s="3" t="s">
        <v>1010</v>
      </c>
      <c r="N3" s="4" t="s">
        <v>684</v>
      </c>
      <c r="O3" s="3" t="s">
        <v>723</v>
      </c>
      <c r="P3" s="4" t="s">
        <v>684</v>
      </c>
      <c r="Q3" s="3" t="s">
        <v>1165</v>
      </c>
      <c r="R3" s="4" t="s">
        <v>1306</v>
      </c>
      <c r="S3" s="3" t="s">
        <v>1476</v>
      </c>
      <c r="T3" s="4" t="s">
        <v>1524</v>
      </c>
      <c r="U3" s="3" t="s">
        <v>723</v>
      </c>
      <c r="V3" s="4" t="s">
        <v>1602</v>
      </c>
      <c r="W3" s="3" t="s">
        <v>1718</v>
      </c>
      <c r="X3" s="4" t="s">
        <v>1776</v>
      </c>
      <c r="Y3" s="3">
        <v>28</v>
      </c>
    </row>
    <row r="4" spans="1:25" x14ac:dyDescent="0.2">
      <c r="A4" s="3">
        <v>30</v>
      </c>
      <c r="B4" s="3" t="s">
        <v>53</v>
      </c>
      <c r="C4" s="3" t="s">
        <v>219</v>
      </c>
      <c r="D4" s="3" t="s">
        <v>1777</v>
      </c>
      <c r="E4" s="3" t="s">
        <v>245</v>
      </c>
      <c r="F4" s="4" t="s">
        <v>373</v>
      </c>
      <c r="G4" s="3" t="s">
        <v>557</v>
      </c>
      <c r="H4" s="4" t="s">
        <v>684</v>
      </c>
      <c r="I4" s="3" t="s">
        <v>711</v>
      </c>
      <c r="J4" s="4" t="s">
        <v>788</v>
      </c>
      <c r="K4" s="3" t="s">
        <v>966</v>
      </c>
      <c r="L4" s="4" t="s">
        <v>684</v>
      </c>
      <c r="M4" s="3" t="s">
        <v>1011</v>
      </c>
      <c r="N4" s="4" t="s">
        <v>684</v>
      </c>
      <c r="O4" s="3" t="s">
        <v>723</v>
      </c>
      <c r="P4" s="4" t="s">
        <v>684</v>
      </c>
      <c r="Q4" s="3" t="s">
        <v>1167</v>
      </c>
      <c r="R4" s="4" t="s">
        <v>1308</v>
      </c>
      <c r="S4" s="3" t="s">
        <v>1476</v>
      </c>
      <c r="T4" s="4" t="s">
        <v>1524</v>
      </c>
      <c r="U4" s="3" t="s">
        <v>723</v>
      </c>
      <c r="V4" s="4" t="s">
        <v>1604</v>
      </c>
      <c r="W4" s="3" t="s">
        <v>1721</v>
      </c>
      <c r="X4" s="4" t="s">
        <v>1776</v>
      </c>
      <c r="Y4" s="3">
        <v>30</v>
      </c>
    </row>
    <row r="5" spans="1:25" x14ac:dyDescent="0.2">
      <c r="A5" s="3">
        <v>46</v>
      </c>
      <c r="B5" s="3" t="s">
        <v>69</v>
      </c>
      <c r="C5" s="3" t="s">
        <v>219</v>
      </c>
      <c r="D5" s="3" t="s">
        <v>1777</v>
      </c>
      <c r="E5" s="3" t="s">
        <v>256</v>
      </c>
      <c r="F5" s="4" t="s">
        <v>365</v>
      </c>
      <c r="G5" s="3" t="s">
        <v>572</v>
      </c>
      <c r="H5" s="4" t="s">
        <v>684</v>
      </c>
      <c r="I5" s="3" t="s">
        <v>722</v>
      </c>
      <c r="J5" s="4" t="s">
        <v>803</v>
      </c>
      <c r="K5" s="3" t="s">
        <v>723</v>
      </c>
      <c r="L5" s="4" t="s">
        <v>684</v>
      </c>
      <c r="M5" s="3" t="s">
        <v>1026</v>
      </c>
      <c r="N5" s="4" t="s">
        <v>684</v>
      </c>
      <c r="O5" s="3" t="s">
        <v>723</v>
      </c>
      <c r="P5" s="4" t="s">
        <v>684</v>
      </c>
      <c r="Q5" s="3" t="s">
        <v>1152</v>
      </c>
      <c r="R5" s="4" t="s">
        <v>1323</v>
      </c>
      <c r="S5" s="3" t="s">
        <v>1488</v>
      </c>
      <c r="T5" s="4" t="s">
        <v>1524</v>
      </c>
      <c r="U5" s="3" t="s">
        <v>723</v>
      </c>
      <c r="V5" s="4" t="s">
        <v>1619</v>
      </c>
      <c r="W5" s="3" t="s">
        <v>1711</v>
      </c>
      <c r="X5" s="4" t="s">
        <v>1776</v>
      </c>
      <c r="Y5" s="3">
        <v>46</v>
      </c>
    </row>
    <row r="6" spans="1:25" x14ac:dyDescent="0.2">
      <c r="A6" s="3">
        <v>65</v>
      </c>
      <c r="B6" s="3" t="s">
        <v>88</v>
      </c>
      <c r="C6" s="3" t="s">
        <v>219</v>
      </c>
      <c r="D6" s="3" t="s">
        <v>1777</v>
      </c>
      <c r="E6" s="3" t="s">
        <v>262</v>
      </c>
      <c r="F6" s="4" t="s">
        <v>404</v>
      </c>
      <c r="G6" s="3" t="s">
        <v>588</v>
      </c>
      <c r="H6" s="4" t="s">
        <v>684</v>
      </c>
      <c r="I6" s="3" t="s">
        <v>723</v>
      </c>
      <c r="J6" s="4" t="s">
        <v>821</v>
      </c>
      <c r="K6" s="3" t="s">
        <v>723</v>
      </c>
      <c r="L6" s="4" t="s">
        <v>684</v>
      </c>
      <c r="M6" s="3" t="s">
        <v>262</v>
      </c>
      <c r="N6" s="4" t="s">
        <v>684</v>
      </c>
      <c r="O6" s="3" t="s">
        <v>723</v>
      </c>
      <c r="P6" s="4" t="s">
        <v>684</v>
      </c>
      <c r="Q6" s="3" t="s">
        <v>1152</v>
      </c>
      <c r="R6" s="4" t="s">
        <v>1341</v>
      </c>
      <c r="S6" s="3" t="s">
        <v>1485</v>
      </c>
      <c r="T6" s="4" t="s">
        <v>1524</v>
      </c>
      <c r="U6" s="3" t="s">
        <v>723</v>
      </c>
      <c r="V6" s="4" t="s">
        <v>821</v>
      </c>
      <c r="W6" s="3" t="s">
        <v>1711</v>
      </c>
      <c r="X6" s="4" t="s">
        <v>1776</v>
      </c>
      <c r="Y6" s="3">
        <v>65</v>
      </c>
    </row>
    <row r="7" spans="1:25" x14ac:dyDescent="0.2">
      <c r="A7" s="3">
        <v>68</v>
      </c>
      <c r="B7" s="3" t="s">
        <v>91</v>
      </c>
      <c r="C7" s="3" t="s">
        <v>219</v>
      </c>
      <c r="D7" s="3" t="s">
        <v>1777</v>
      </c>
      <c r="E7" s="3" t="s">
        <v>269</v>
      </c>
      <c r="F7" s="4" t="s">
        <v>407</v>
      </c>
      <c r="G7" s="3" t="s">
        <v>591</v>
      </c>
      <c r="H7" s="4" t="s">
        <v>684</v>
      </c>
      <c r="I7" s="3" t="s">
        <v>736</v>
      </c>
      <c r="J7" s="4" t="s">
        <v>824</v>
      </c>
      <c r="K7" s="3" t="s">
        <v>723</v>
      </c>
      <c r="L7" s="4" t="s">
        <v>684</v>
      </c>
      <c r="M7" s="3" t="s">
        <v>1045</v>
      </c>
      <c r="N7" s="4" t="s">
        <v>684</v>
      </c>
      <c r="O7" s="3" t="s">
        <v>723</v>
      </c>
      <c r="P7" s="4" t="s">
        <v>684</v>
      </c>
      <c r="Q7" s="3" t="s">
        <v>1152</v>
      </c>
      <c r="R7" s="4" t="s">
        <v>1344</v>
      </c>
      <c r="S7" s="3" t="s">
        <v>1499</v>
      </c>
      <c r="T7" s="4" t="s">
        <v>1524</v>
      </c>
      <c r="U7" s="3" t="s">
        <v>1553</v>
      </c>
      <c r="V7" s="4" t="s">
        <v>1635</v>
      </c>
      <c r="W7" s="3" t="s">
        <v>1734</v>
      </c>
      <c r="X7" s="4" t="s">
        <v>1776</v>
      </c>
      <c r="Y7" s="3">
        <v>68</v>
      </c>
    </row>
    <row r="8" spans="1:25" x14ac:dyDescent="0.2">
      <c r="A8" s="3">
        <v>72</v>
      </c>
      <c r="B8" s="3" t="s">
        <v>95</v>
      </c>
      <c r="C8" s="3" t="s">
        <v>219</v>
      </c>
      <c r="D8" s="3" t="s">
        <v>1777</v>
      </c>
      <c r="E8" s="3" t="s">
        <v>262</v>
      </c>
      <c r="F8" s="4" t="s">
        <v>411</v>
      </c>
      <c r="G8" s="3" t="s">
        <v>594</v>
      </c>
      <c r="H8" s="4" t="s">
        <v>684</v>
      </c>
      <c r="I8" s="3" t="s">
        <v>731</v>
      </c>
      <c r="J8" s="4" t="s">
        <v>828</v>
      </c>
      <c r="K8" s="3" t="s">
        <v>723</v>
      </c>
      <c r="L8" s="4" t="s">
        <v>684</v>
      </c>
      <c r="M8" s="3" t="s">
        <v>1047</v>
      </c>
      <c r="N8" s="4" t="s">
        <v>684</v>
      </c>
      <c r="O8" s="3" t="s">
        <v>723</v>
      </c>
      <c r="P8" s="4" t="s">
        <v>684</v>
      </c>
      <c r="Q8" s="3" t="s">
        <v>1152</v>
      </c>
      <c r="R8" s="4" t="s">
        <v>1348</v>
      </c>
      <c r="S8" s="3" t="s">
        <v>689</v>
      </c>
      <c r="T8" s="4" t="s">
        <v>1524</v>
      </c>
      <c r="U8" s="3" t="s">
        <v>723</v>
      </c>
      <c r="V8" s="4" t="s">
        <v>1637</v>
      </c>
      <c r="W8" s="3" t="s">
        <v>1716</v>
      </c>
      <c r="X8" s="4" t="s">
        <v>1776</v>
      </c>
      <c r="Y8" s="3">
        <v>72</v>
      </c>
    </row>
    <row r="9" spans="1:25" x14ac:dyDescent="0.2">
      <c r="A9" s="3">
        <v>73</v>
      </c>
      <c r="B9" s="3" t="s">
        <v>96</v>
      </c>
      <c r="C9" s="3" t="s">
        <v>219</v>
      </c>
      <c r="D9" s="3" t="s">
        <v>1777</v>
      </c>
      <c r="E9" s="3" t="s">
        <v>262</v>
      </c>
      <c r="F9" s="4" t="s">
        <v>412</v>
      </c>
      <c r="G9" s="3" t="s">
        <v>262</v>
      </c>
      <c r="H9" s="4" t="s">
        <v>684</v>
      </c>
      <c r="I9" s="3" t="s">
        <v>723</v>
      </c>
      <c r="J9" s="4" t="s">
        <v>829</v>
      </c>
      <c r="K9" s="3" t="s">
        <v>723</v>
      </c>
      <c r="L9" s="4" t="s">
        <v>684</v>
      </c>
      <c r="M9" s="3" t="s">
        <v>262</v>
      </c>
      <c r="N9" s="4" t="s">
        <v>684</v>
      </c>
      <c r="O9" s="3" t="s">
        <v>723</v>
      </c>
      <c r="P9" s="4" t="s">
        <v>684</v>
      </c>
      <c r="Q9" s="3" t="s">
        <v>1152</v>
      </c>
      <c r="R9" s="4" t="s">
        <v>1349</v>
      </c>
      <c r="S9" s="3" t="s">
        <v>689</v>
      </c>
      <c r="T9" s="4" t="s">
        <v>1524</v>
      </c>
      <c r="U9" s="3" t="s">
        <v>723</v>
      </c>
      <c r="V9" s="4" t="s">
        <v>829</v>
      </c>
      <c r="W9" s="3" t="s">
        <v>1725</v>
      </c>
      <c r="X9" s="4" t="s">
        <v>1775</v>
      </c>
      <c r="Y9" s="3">
        <v>73</v>
      </c>
    </row>
    <row r="10" spans="1:25" x14ac:dyDescent="0.2">
      <c r="A10" s="3">
        <v>98</v>
      </c>
      <c r="B10" s="3" t="s">
        <v>121</v>
      </c>
      <c r="C10" s="3" t="s">
        <v>219</v>
      </c>
      <c r="D10" s="3" t="s">
        <v>1777</v>
      </c>
      <c r="E10" s="3" t="s">
        <v>262</v>
      </c>
      <c r="F10" s="4" t="s">
        <v>436</v>
      </c>
      <c r="G10" s="3" t="s">
        <v>262</v>
      </c>
      <c r="H10" s="4" t="s">
        <v>684</v>
      </c>
      <c r="I10" s="3" t="s">
        <v>723</v>
      </c>
      <c r="J10" s="4" t="s">
        <v>854</v>
      </c>
      <c r="K10" s="3" t="s">
        <v>723</v>
      </c>
      <c r="L10" s="4" t="s">
        <v>684</v>
      </c>
      <c r="M10" s="3" t="s">
        <v>262</v>
      </c>
      <c r="N10" s="4" t="s">
        <v>684</v>
      </c>
      <c r="O10" s="3" t="s">
        <v>723</v>
      </c>
      <c r="P10" s="4" t="s">
        <v>684</v>
      </c>
      <c r="Q10" s="3" t="s">
        <v>1214</v>
      </c>
      <c r="R10" s="4" t="s">
        <v>1374</v>
      </c>
      <c r="S10" s="3" t="s">
        <v>689</v>
      </c>
      <c r="T10" s="4" t="s">
        <v>1524</v>
      </c>
      <c r="U10" s="3" t="s">
        <v>723</v>
      </c>
      <c r="V10" s="4" t="s">
        <v>854</v>
      </c>
      <c r="W10" s="3" t="s">
        <v>1741</v>
      </c>
      <c r="X10" s="4" t="s">
        <v>1775</v>
      </c>
      <c r="Y10" s="3">
        <v>98</v>
      </c>
    </row>
    <row r="11" spans="1:25" x14ac:dyDescent="0.2">
      <c r="A11" s="3">
        <v>127</v>
      </c>
      <c r="B11" s="3" t="s">
        <v>150</v>
      </c>
      <c r="C11" s="3" t="s">
        <v>219</v>
      </c>
      <c r="D11" s="3" t="s">
        <v>1777</v>
      </c>
      <c r="E11" s="3" t="s">
        <v>304</v>
      </c>
      <c r="F11" s="4" t="s">
        <v>464</v>
      </c>
      <c r="G11" s="3" t="s">
        <v>633</v>
      </c>
      <c r="H11" s="4" t="s">
        <v>684</v>
      </c>
      <c r="I11" s="3" t="s">
        <v>755</v>
      </c>
      <c r="J11" s="4" t="s">
        <v>883</v>
      </c>
      <c r="K11" s="3" t="s">
        <v>723</v>
      </c>
      <c r="L11" s="4" t="s">
        <v>684</v>
      </c>
      <c r="M11" s="3" t="s">
        <v>1082</v>
      </c>
      <c r="N11" s="4" t="s">
        <v>684</v>
      </c>
      <c r="O11" s="3" t="s">
        <v>723</v>
      </c>
      <c r="P11" s="4" t="s">
        <v>684</v>
      </c>
      <c r="Q11" s="3" t="s">
        <v>1238</v>
      </c>
      <c r="R11" s="4" t="s">
        <v>1403</v>
      </c>
      <c r="S11" s="3" t="s">
        <v>689</v>
      </c>
      <c r="T11" s="4" t="s">
        <v>1524</v>
      </c>
      <c r="U11" s="3" t="s">
        <v>723</v>
      </c>
      <c r="V11" s="4" t="s">
        <v>1667</v>
      </c>
      <c r="W11" s="3" t="s">
        <v>1756</v>
      </c>
      <c r="X11" s="4" t="s">
        <v>1776</v>
      </c>
      <c r="Y11" s="3">
        <v>127</v>
      </c>
    </row>
    <row r="12" spans="1:25" x14ac:dyDescent="0.2">
      <c r="A12" s="3">
        <v>153</v>
      </c>
      <c r="B12" s="3" t="s">
        <v>176</v>
      </c>
      <c r="C12" s="3" t="s">
        <v>219</v>
      </c>
      <c r="D12" s="3" t="s">
        <v>1777</v>
      </c>
      <c r="E12" s="3" t="s">
        <v>322</v>
      </c>
      <c r="F12" s="4" t="s">
        <v>489</v>
      </c>
      <c r="G12" s="3" t="s">
        <v>654</v>
      </c>
      <c r="H12" s="4" t="s">
        <v>684</v>
      </c>
      <c r="I12" s="3" t="s">
        <v>755</v>
      </c>
      <c r="J12" s="4" t="s">
        <v>909</v>
      </c>
      <c r="K12" s="3" t="s">
        <v>723</v>
      </c>
      <c r="L12" s="4" t="s">
        <v>684</v>
      </c>
      <c r="M12" s="3" t="s">
        <v>1099</v>
      </c>
      <c r="N12" s="4" t="s">
        <v>684</v>
      </c>
      <c r="O12" s="3" t="s">
        <v>723</v>
      </c>
      <c r="P12" s="4" t="s">
        <v>684</v>
      </c>
      <c r="Q12" s="3" t="s">
        <v>1256</v>
      </c>
      <c r="R12" s="4" t="s">
        <v>1429</v>
      </c>
      <c r="S12" s="3" t="s">
        <v>689</v>
      </c>
      <c r="T12" s="4" t="s">
        <v>1524</v>
      </c>
      <c r="U12" s="3" t="s">
        <v>755</v>
      </c>
      <c r="V12" s="4" t="s">
        <v>1680</v>
      </c>
      <c r="W12" s="3" t="s">
        <v>689</v>
      </c>
      <c r="X12" s="4" t="s">
        <v>1775</v>
      </c>
      <c r="Y12" s="3">
        <v>153</v>
      </c>
    </row>
    <row r="13" spans="1:25" x14ac:dyDescent="0.2">
      <c r="A13" s="3">
        <v>156</v>
      </c>
      <c r="B13" s="3" t="s">
        <v>179</v>
      </c>
      <c r="C13" s="3" t="s">
        <v>219</v>
      </c>
      <c r="D13" s="3" t="s">
        <v>1777</v>
      </c>
      <c r="E13" s="3" t="s">
        <v>262</v>
      </c>
      <c r="F13" s="4" t="s">
        <v>492</v>
      </c>
      <c r="G13" s="3" t="s">
        <v>657</v>
      </c>
      <c r="H13" s="4" t="s">
        <v>684</v>
      </c>
      <c r="I13" s="3" t="s">
        <v>757</v>
      </c>
      <c r="J13" s="4" t="s">
        <v>912</v>
      </c>
      <c r="K13" s="3" t="s">
        <v>723</v>
      </c>
      <c r="L13" s="4" t="s">
        <v>684</v>
      </c>
      <c r="M13" s="3" t="s">
        <v>1102</v>
      </c>
      <c r="N13" s="4" t="s">
        <v>684</v>
      </c>
      <c r="O13" s="3" t="s">
        <v>723</v>
      </c>
      <c r="P13" s="4" t="s">
        <v>684</v>
      </c>
      <c r="Q13" s="3" t="s">
        <v>1258</v>
      </c>
      <c r="R13" s="4" t="s">
        <v>1432</v>
      </c>
      <c r="S13" s="3" t="s">
        <v>689</v>
      </c>
      <c r="T13" s="4" t="s">
        <v>1524</v>
      </c>
      <c r="U13" s="3" t="s">
        <v>723</v>
      </c>
      <c r="V13" s="4" t="s">
        <v>1682</v>
      </c>
      <c r="W13" s="3" t="s">
        <v>689</v>
      </c>
      <c r="X13" s="4" t="s">
        <v>1775</v>
      </c>
      <c r="Y13" s="3">
        <v>156</v>
      </c>
    </row>
    <row r="14" spans="1:25" x14ac:dyDescent="0.2">
      <c r="A14" s="3">
        <v>176</v>
      </c>
      <c r="B14" s="3" t="s">
        <v>199</v>
      </c>
      <c r="C14" s="3" t="s">
        <v>219</v>
      </c>
      <c r="D14" s="3" t="s">
        <v>1777</v>
      </c>
      <c r="E14" s="3" t="s">
        <v>262</v>
      </c>
      <c r="F14" s="4" t="s">
        <v>511</v>
      </c>
      <c r="G14" s="3" t="s">
        <v>666</v>
      </c>
      <c r="H14" s="4" t="s">
        <v>684</v>
      </c>
      <c r="I14" s="3" t="s">
        <v>755</v>
      </c>
      <c r="J14" s="4" t="s">
        <v>932</v>
      </c>
      <c r="K14" s="3" t="s">
        <v>723</v>
      </c>
      <c r="L14" s="4" t="s">
        <v>684</v>
      </c>
      <c r="M14" s="3" t="s">
        <v>1112</v>
      </c>
      <c r="N14" s="4" t="s">
        <v>684</v>
      </c>
      <c r="O14" s="3" t="s">
        <v>723</v>
      </c>
      <c r="P14" s="4" t="s">
        <v>684</v>
      </c>
      <c r="Q14" s="3" t="s">
        <v>1273</v>
      </c>
      <c r="R14" s="4" t="s">
        <v>1452</v>
      </c>
      <c r="S14" s="3" t="s">
        <v>689</v>
      </c>
      <c r="T14" s="4" t="s">
        <v>1524</v>
      </c>
      <c r="U14" s="3" t="s">
        <v>723</v>
      </c>
      <c r="V14" s="4" t="s">
        <v>1692</v>
      </c>
      <c r="W14" s="3" t="s">
        <v>1765</v>
      </c>
      <c r="X14" s="4" t="s">
        <v>1775</v>
      </c>
      <c r="Y14" s="3">
        <v>176</v>
      </c>
    </row>
  </sheetData>
  <hyperlinks>
    <hyperlink ref="F2" r:id="rId1" xr:uid="{72AF4813-C393-1143-BFD0-FCAC9BB69E51}"/>
    <hyperlink ref="H2" r:id="rId2" xr:uid="{80107558-37EE-584E-A07C-C7297EDEE3B5}"/>
    <hyperlink ref="J2" r:id="rId3" xr:uid="{72A35953-1BFD-E24A-8F22-AA43556261C3}"/>
    <hyperlink ref="L2" r:id="rId4" xr:uid="{A4DAFD8D-1CE0-5947-A4BC-DE9000A7ECD9}"/>
    <hyperlink ref="N2" r:id="rId5" xr:uid="{0D77B143-9C86-E046-A791-644EB9D506B0}"/>
    <hyperlink ref="P2" r:id="rId6" xr:uid="{E1360C43-4989-7943-B582-8D49824280C7}"/>
    <hyperlink ref="R2" r:id="rId7" xr:uid="{1883BF98-3F7F-6545-8267-88E4DC886EE6}"/>
    <hyperlink ref="T2" r:id="rId8" xr:uid="{0A3BD5C4-1AF6-4C44-96A4-945C7BBB3A3D}"/>
    <hyperlink ref="V2" r:id="rId9" xr:uid="{3C93E44F-6CE3-7640-AD2F-69AA2D6CBFC2}"/>
    <hyperlink ref="X2" r:id="rId10" xr:uid="{D256CFA8-B46B-C64E-A1F6-2D19CFF96DE8}"/>
    <hyperlink ref="F3" r:id="rId11" xr:uid="{2B7F2E22-703F-D74F-8456-82821706AABB}"/>
    <hyperlink ref="H3" r:id="rId12" xr:uid="{BD21EBF3-B429-D04B-8013-BD2C1E7B7650}"/>
    <hyperlink ref="J3" r:id="rId13" xr:uid="{9BA3F95C-9ADC-0C46-8DCE-FBB4874BC72D}"/>
    <hyperlink ref="L3" r:id="rId14" xr:uid="{F455CA6D-6B08-6A42-8AF5-3FB4A1E24BD7}"/>
    <hyperlink ref="N3" r:id="rId15" xr:uid="{C048DB81-F74E-5343-BB3B-406DC1D2147A}"/>
    <hyperlink ref="P3" r:id="rId16" xr:uid="{8C9C3C62-A6C2-F744-A5F1-82ED99511DD0}"/>
    <hyperlink ref="R3" r:id="rId17" xr:uid="{E6804FF6-AF86-4D4E-9DBC-496CE054CE33}"/>
    <hyperlink ref="T3" r:id="rId18" xr:uid="{80A6C16C-815C-774E-B379-BC04468CC245}"/>
    <hyperlink ref="V3" r:id="rId19" xr:uid="{95C3DF57-9FE3-2141-96E2-54CF9D619609}"/>
    <hyperlink ref="X3" r:id="rId20" xr:uid="{B88CED3C-E3E9-6145-A32E-D391B1018601}"/>
    <hyperlink ref="F4" r:id="rId21" xr:uid="{96C25729-CFF1-984D-92AA-8755DCBA68B3}"/>
    <hyperlink ref="H4" r:id="rId22" xr:uid="{B70EE279-2E01-FE4F-B7D9-86784316E358}"/>
    <hyperlink ref="J4" r:id="rId23" xr:uid="{3457EAC6-A211-824D-B6DB-CB6261B26F2F}"/>
    <hyperlink ref="L4" r:id="rId24" xr:uid="{11C1116C-C0C9-BC48-BEE7-D59BFF863563}"/>
    <hyperlink ref="N4" r:id="rId25" xr:uid="{286980C8-6CA3-6D45-AD41-50EE605197E2}"/>
    <hyperlink ref="P4" r:id="rId26" xr:uid="{A9878D31-20A8-0E4A-AB2C-299A57B2FE83}"/>
    <hyperlink ref="R4" r:id="rId27" xr:uid="{29BCFD02-F506-784F-A6ED-05CBF5E24EBB}"/>
    <hyperlink ref="T4" r:id="rId28" xr:uid="{C2FFDD4F-961C-7741-AD7E-44D180A7F775}"/>
    <hyperlink ref="V4" r:id="rId29" xr:uid="{ADD21F32-613C-8A4A-B110-94580FB027FC}"/>
    <hyperlink ref="X4" r:id="rId30" xr:uid="{C2B16B9C-C113-F64F-8446-8073559F70B9}"/>
    <hyperlink ref="F5" r:id="rId31" xr:uid="{DF9BCE86-F732-B44E-8D4E-326A5FFA8C48}"/>
    <hyperlink ref="H5" r:id="rId32" xr:uid="{9114C23E-CEB5-D648-A541-E982C88D43A7}"/>
    <hyperlink ref="J5" r:id="rId33" xr:uid="{D152D09F-D520-7540-9635-073DB1C52910}"/>
    <hyperlink ref="L5" r:id="rId34" xr:uid="{C1EB0BEA-5209-D249-928B-E09A2DB753D8}"/>
    <hyperlink ref="N5" r:id="rId35" xr:uid="{CA612629-EE27-734A-A979-FBDFD3FD5774}"/>
    <hyperlink ref="P5" r:id="rId36" xr:uid="{C9799AFC-709B-B646-AF6B-3046614C8530}"/>
    <hyperlink ref="R5" r:id="rId37" xr:uid="{29531BD8-EBEA-7C47-91EB-15DAAA87F7C8}"/>
    <hyperlink ref="T5" r:id="rId38" xr:uid="{14D26815-EA28-AF4F-A242-9C43EA751A58}"/>
    <hyperlink ref="V5" r:id="rId39" xr:uid="{332F645D-4369-1547-AEF9-8C5D11A52320}"/>
    <hyperlink ref="X5" r:id="rId40" xr:uid="{C55FA430-9E90-004A-9B08-8E210240AFD4}"/>
    <hyperlink ref="F6" r:id="rId41" xr:uid="{1013C4F5-4EC2-F84C-89F1-D9C4F18EADC7}"/>
    <hyperlink ref="H6" r:id="rId42" xr:uid="{36B1EEDE-F5AB-0A42-B338-1373EDF44C4C}"/>
    <hyperlink ref="J6" r:id="rId43" xr:uid="{28A732CD-7C37-0B4C-B4BC-EB480C0B78EF}"/>
    <hyperlink ref="L6" r:id="rId44" xr:uid="{63CD3115-D3EA-D146-9CE6-58E392B973EA}"/>
    <hyperlink ref="N6" r:id="rId45" xr:uid="{85A9D55B-09E2-334E-9DC7-849B8B4EB621}"/>
    <hyperlink ref="P6" r:id="rId46" xr:uid="{93AF7661-DA21-A042-9403-38A5BBDFD30A}"/>
    <hyperlink ref="R6" r:id="rId47" xr:uid="{2F67712A-35FF-D94C-9D1F-7234D8E16999}"/>
    <hyperlink ref="T6" r:id="rId48" xr:uid="{1FECB03A-40EB-214A-8B4E-5133D63C214A}"/>
    <hyperlink ref="V6" r:id="rId49" xr:uid="{91916C31-A580-2243-A3CB-FFA4C252333B}"/>
    <hyperlink ref="X6" r:id="rId50" xr:uid="{E886180C-D99C-0E48-9ABE-619CBB7C1CEE}"/>
    <hyperlink ref="F7" r:id="rId51" xr:uid="{4134ED2F-0934-EF40-AA8C-FF30A038946D}"/>
    <hyperlink ref="H7" r:id="rId52" xr:uid="{7DD32D57-D68B-2F4A-ACEC-BBE066D095BD}"/>
    <hyperlink ref="J7" r:id="rId53" xr:uid="{709F905A-5829-0743-9FB7-B82DAF6CAEFA}"/>
    <hyperlink ref="L7" r:id="rId54" xr:uid="{17D593C1-7F5D-584A-A764-2DD7FC0CF221}"/>
    <hyperlink ref="N7" r:id="rId55" xr:uid="{618F31D4-4C4E-264A-B228-7A65586B1C57}"/>
    <hyperlink ref="P7" r:id="rId56" xr:uid="{C6C48396-4053-7A47-8CDA-8288D5F7E957}"/>
    <hyperlink ref="R7" r:id="rId57" xr:uid="{773C00E9-64E3-CC46-A524-310651FA0243}"/>
    <hyperlink ref="T7" r:id="rId58" xr:uid="{112B2E06-B8D2-7143-8ECD-2D8DD54094AD}"/>
    <hyperlink ref="V7" r:id="rId59" xr:uid="{51C62A43-6A86-D647-B39E-DF3292E39E3F}"/>
    <hyperlink ref="X7" r:id="rId60" xr:uid="{A839D713-8AAA-CD43-AE45-B7A200A2F5F9}"/>
    <hyperlink ref="F8" r:id="rId61" xr:uid="{1415CFE9-0E08-6A4F-B05B-28AC5E1B5725}"/>
    <hyperlink ref="H8" r:id="rId62" xr:uid="{A8CC33F9-4468-D24B-8746-E4E35A972762}"/>
    <hyperlink ref="J8" r:id="rId63" xr:uid="{178AA51B-23EF-9B40-9063-E99A9BB276C4}"/>
    <hyperlink ref="L8" r:id="rId64" xr:uid="{8EC32858-8A57-A04B-8CA9-8E21A5A01AE4}"/>
    <hyperlink ref="N8" r:id="rId65" xr:uid="{DC3AF894-3BB3-9C4F-985B-50C3BB294699}"/>
    <hyperlink ref="P8" r:id="rId66" xr:uid="{51A42DB4-0C09-E34E-836B-2AEE827BCFA5}"/>
    <hyperlink ref="R8" r:id="rId67" xr:uid="{16C79486-B948-4A4E-AD42-D82F37E86E0C}"/>
    <hyperlink ref="T8" r:id="rId68" xr:uid="{1F788A28-E29B-464B-9196-DD201C9174FE}"/>
    <hyperlink ref="V8" r:id="rId69" xr:uid="{0DF9B90F-A6E9-0645-AE38-87929EAEBF28}"/>
    <hyperlink ref="X8" r:id="rId70" xr:uid="{60CF2B7A-80ED-7948-9871-FCA19ADE40A7}"/>
    <hyperlink ref="F9" r:id="rId71" xr:uid="{7A5F6144-C667-4747-A9CA-2303EF7E0360}"/>
    <hyperlink ref="H9" r:id="rId72" xr:uid="{6916D577-4EC2-2147-A83B-C1227DD80AC0}"/>
    <hyperlink ref="J9" r:id="rId73" xr:uid="{94B97E95-0E35-9B4B-A03F-A3030B57C3B4}"/>
    <hyperlink ref="L9" r:id="rId74" xr:uid="{FFF72DFE-531E-2F43-97BA-A6625D8348EB}"/>
    <hyperlink ref="N9" r:id="rId75" xr:uid="{575BAC2C-52B7-594A-8573-EF2E3998D474}"/>
    <hyperlink ref="P9" r:id="rId76" xr:uid="{4EC3E4DE-3A3E-6D4B-B458-E8CB154BAF9D}"/>
    <hyperlink ref="R9" r:id="rId77" xr:uid="{23529158-3351-C748-810A-1EB9C99DC953}"/>
    <hyperlink ref="T9" r:id="rId78" xr:uid="{DE2BD756-F273-3D49-8D4E-7F2E47D98C36}"/>
    <hyperlink ref="V9" r:id="rId79" xr:uid="{9AAADDCA-622E-C145-A885-7FEC19BE14BB}"/>
    <hyperlink ref="X9" r:id="rId80" xr:uid="{175FC6DE-30E9-E949-B3F8-121029C358C8}"/>
    <hyperlink ref="F10" r:id="rId81" xr:uid="{C30AA3DA-F48A-1142-9A50-F880BF428E0C}"/>
    <hyperlink ref="H10" r:id="rId82" xr:uid="{9AE32CC9-6BD5-FA44-BB40-F96D4845716A}"/>
    <hyperlink ref="J10" r:id="rId83" xr:uid="{56B2F846-E0DA-C041-9C86-9CE4C83060F6}"/>
    <hyperlink ref="L10" r:id="rId84" xr:uid="{6388733C-F4C1-5B4D-AB74-44818D67B216}"/>
    <hyperlink ref="N10" r:id="rId85" xr:uid="{F224ABD0-E5A3-874F-AF60-6796E5ECD62D}"/>
    <hyperlink ref="P10" r:id="rId86" xr:uid="{E028DAAE-A8FD-D34E-8C25-005E426FF5AA}"/>
    <hyperlink ref="R10" r:id="rId87" xr:uid="{A1AF474C-DA08-AA4F-B349-50BF7A705305}"/>
    <hyperlink ref="T10" r:id="rId88" xr:uid="{A1233CEE-ED7D-FC4E-851B-4A7F2AD999CC}"/>
    <hyperlink ref="V10" r:id="rId89" xr:uid="{F72D77A7-49BC-6B4A-A893-4801D2DE8682}"/>
    <hyperlink ref="X10" r:id="rId90" xr:uid="{CB94440C-968B-AA41-874C-BE838E64DB2F}"/>
    <hyperlink ref="F11" r:id="rId91" xr:uid="{690EB3EB-5484-5A49-97DB-0DFA19000137}"/>
    <hyperlink ref="H11" r:id="rId92" xr:uid="{ED498B85-EFDD-E248-85C9-3C8542A950EE}"/>
    <hyperlink ref="J11" r:id="rId93" xr:uid="{6418025F-F6E6-974E-9A12-6C723894D62E}"/>
    <hyperlink ref="L11" r:id="rId94" xr:uid="{047073E8-E808-DF49-A810-EF776B19A24F}"/>
    <hyperlink ref="N11" r:id="rId95" xr:uid="{E82D31E9-0B61-F945-B375-A7F455E2D563}"/>
    <hyperlink ref="P11" r:id="rId96" xr:uid="{8F478732-DF3A-F547-AAE7-26BDF3D72B95}"/>
    <hyperlink ref="R11" r:id="rId97" xr:uid="{FCB4866E-0670-2C41-BD8D-891098FBAD10}"/>
    <hyperlink ref="T11" r:id="rId98" xr:uid="{FF532585-27AA-6243-AB50-56B3411EEDAC}"/>
    <hyperlink ref="V11" r:id="rId99" xr:uid="{CC4237FF-6BB2-F74E-BAEA-80FE0FCEB6A8}"/>
    <hyperlink ref="X11" r:id="rId100" xr:uid="{19D65D59-3A70-444C-B29E-4CD9E15C557E}"/>
    <hyperlink ref="F12" r:id="rId101" xr:uid="{476D117B-1C25-9E43-8CAC-E1CA07029A8D}"/>
    <hyperlink ref="H12" r:id="rId102" xr:uid="{8689C1C9-1DCF-0346-9639-F4742A6D3815}"/>
    <hyperlink ref="J12" r:id="rId103" xr:uid="{217187B5-6534-194D-B204-2E0D518098EB}"/>
    <hyperlink ref="L12" r:id="rId104" xr:uid="{6AF7F0BE-08B6-E842-B252-6BE24B988DAA}"/>
    <hyperlink ref="N12" r:id="rId105" xr:uid="{23EC77B9-D1FE-9247-B80C-5277FA4DA615}"/>
    <hyperlink ref="P12" r:id="rId106" xr:uid="{1B8BBF06-DEC4-B54E-9D16-06E3FF28259B}"/>
    <hyperlink ref="R12" r:id="rId107" xr:uid="{9778FFA3-2BF1-824A-AC68-2F98B4A3A58E}"/>
    <hyperlink ref="T12" r:id="rId108" xr:uid="{5CEF847E-E32E-3343-9A9D-1FA062CB9471}"/>
    <hyperlink ref="V12" r:id="rId109" xr:uid="{34F3053F-F308-6C41-9DA4-9B10D706C1D3}"/>
    <hyperlink ref="X12" r:id="rId110" xr:uid="{047C268F-BF63-3943-AC2C-6AA9BC3A1883}"/>
    <hyperlink ref="F13" r:id="rId111" xr:uid="{FC96A028-1C9D-EC4C-BBE9-BFB7D678A025}"/>
    <hyperlink ref="H13" r:id="rId112" xr:uid="{17E76F95-456D-B542-9C35-592649213DF3}"/>
    <hyperlink ref="J13" r:id="rId113" xr:uid="{A3548E2D-1C5F-8B46-9B79-55673EBC8044}"/>
    <hyperlink ref="L13" r:id="rId114" xr:uid="{B839CAF1-20DC-844E-8680-0435652DE5C0}"/>
    <hyperlink ref="N13" r:id="rId115" xr:uid="{BBA71465-7F7D-6C47-8280-E70A12D0D7DB}"/>
    <hyperlink ref="P13" r:id="rId116" xr:uid="{32E90DA4-2343-7247-A5C5-C6ECE901BC35}"/>
    <hyperlink ref="R13" r:id="rId117" xr:uid="{5AF99AAE-C488-384A-83BC-053F2F60424A}"/>
    <hyperlink ref="T13" r:id="rId118" xr:uid="{84624BDF-6553-A747-A09A-7CA11639492F}"/>
    <hyperlink ref="V13" r:id="rId119" xr:uid="{E7DC34EC-09E8-1F4C-8ADE-A0A454812647}"/>
    <hyperlink ref="X13" r:id="rId120" xr:uid="{FCF7967A-CBB9-A642-8B5E-F67F19C27254}"/>
    <hyperlink ref="F14" r:id="rId121" xr:uid="{BCA412DF-AB48-2346-B025-BFE3090D10F6}"/>
    <hyperlink ref="H14" r:id="rId122" xr:uid="{4775A780-1F14-154D-94BF-8CCF38AB1B38}"/>
    <hyperlink ref="J14" r:id="rId123" xr:uid="{75957EB0-C258-A34F-8A46-4C47037376B6}"/>
    <hyperlink ref="L14" r:id="rId124" xr:uid="{054EE66E-9D65-A04D-836F-F5CCAA833843}"/>
    <hyperlink ref="N14" r:id="rId125" xr:uid="{FE7ACC64-C5DD-1A42-93EE-FA463736C848}"/>
    <hyperlink ref="P14" r:id="rId126" xr:uid="{8DF0A44C-0CA9-A044-AA3F-F92DA063D19F}"/>
    <hyperlink ref="R14" r:id="rId127" xr:uid="{64D2E3CA-AF0C-2541-8419-2BEFA3376FC6}"/>
    <hyperlink ref="T14" r:id="rId128" xr:uid="{D87CDB83-87FE-B046-A06C-6F34B4E6CA34}"/>
    <hyperlink ref="V14" r:id="rId129" xr:uid="{A1889C5C-B8C8-4B4F-AA85-325ED94A6001}"/>
    <hyperlink ref="X14" r:id="rId130" xr:uid="{830C6EB2-30A3-6F40-BA50-FB61677BFEB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6869D-A62F-AA47-BD34-6A1FE433F9F9}">
  <dimension ref="A1:Y43"/>
  <sheetViews>
    <sheetView topLeftCell="A8" zoomScaleNormal="150" zoomScaleSheetLayoutView="100" workbookViewId="0">
      <selection activeCell="C12" sqref="C12"/>
    </sheetView>
  </sheetViews>
  <sheetFormatPr defaultColWidth="18.0234375" defaultRowHeight="15" x14ac:dyDescent="0.2"/>
  <cols>
    <col min="1" max="3" width="18.0234375" style="8"/>
    <col min="4" max="13" width="28.65234375" style="8" customWidth="1"/>
    <col min="14" max="16384" width="18.0234375" style="8"/>
  </cols>
  <sheetData>
    <row r="1" spans="1:3" ht="66.75" x14ac:dyDescent="0.25">
      <c r="A1" s="9" t="s">
        <v>1845</v>
      </c>
      <c r="C1" s="9" t="s">
        <v>1849</v>
      </c>
    </row>
    <row r="2" spans="1:3" ht="162" x14ac:dyDescent="0.2">
      <c r="A2" s="8" t="s">
        <v>1846</v>
      </c>
      <c r="C2" s="8" t="s">
        <v>1850</v>
      </c>
    </row>
    <row r="3" spans="1:3" ht="94.5" x14ac:dyDescent="0.2">
      <c r="A3" s="8" t="s">
        <v>1847</v>
      </c>
      <c r="C3" s="8" t="s">
        <v>1851</v>
      </c>
    </row>
    <row r="4" spans="1:3" ht="68.25" x14ac:dyDescent="0.2">
      <c r="A4" s="8" t="s">
        <v>1848</v>
      </c>
    </row>
    <row r="5" spans="1:3" ht="41.25" x14ac:dyDescent="0.2">
      <c r="A5" s="8" t="s">
        <v>1838</v>
      </c>
      <c r="C5" s="8" t="s">
        <v>1852</v>
      </c>
    </row>
    <row r="6" spans="1:3" ht="54.75" x14ac:dyDescent="0.2">
      <c r="A6" s="8" t="s">
        <v>1839</v>
      </c>
      <c r="C6" s="8" t="s">
        <v>1853</v>
      </c>
    </row>
    <row r="7" spans="1:3" ht="54.75" x14ac:dyDescent="0.2">
      <c r="A7" s="8" t="s">
        <v>1840</v>
      </c>
      <c r="C7" s="8" t="s">
        <v>1854</v>
      </c>
    </row>
    <row r="8" spans="1:3" ht="54.75" x14ac:dyDescent="0.2">
      <c r="A8" s="8" t="s">
        <v>1841</v>
      </c>
      <c r="C8" s="8" t="s">
        <v>1855</v>
      </c>
    </row>
    <row r="9" spans="1:3" ht="54.75" x14ac:dyDescent="0.2">
      <c r="A9" s="8" t="s">
        <v>1842</v>
      </c>
      <c r="C9" s="8" t="s">
        <v>1856</v>
      </c>
    </row>
    <row r="10" spans="1:3" ht="81" x14ac:dyDescent="0.2">
      <c r="A10" s="8" t="s">
        <v>1843</v>
      </c>
      <c r="C10" s="8" t="s">
        <v>1857</v>
      </c>
    </row>
    <row r="11" spans="1:3" ht="54.75" x14ac:dyDescent="0.2">
      <c r="A11" s="8" t="s">
        <v>1844</v>
      </c>
      <c r="C11" s="8" t="s">
        <v>1858</v>
      </c>
    </row>
    <row r="12" spans="1:3" ht="68.25" x14ac:dyDescent="0.2">
      <c r="C12" s="8" t="s">
        <v>1859</v>
      </c>
    </row>
    <row r="13" spans="1:3" ht="54.75" x14ac:dyDescent="0.2">
      <c r="C13" s="8" t="s">
        <v>1860</v>
      </c>
    </row>
    <row r="14" spans="1:3" ht="81" x14ac:dyDescent="0.2">
      <c r="C14" s="8" t="s">
        <v>1861</v>
      </c>
    </row>
    <row r="15" spans="1:3" ht="81" x14ac:dyDescent="0.2">
      <c r="C15" s="8" t="s">
        <v>1862</v>
      </c>
    </row>
    <row r="21" spans="1:7" x14ac:dyDescent="0.2">
      <c r="A21" s="8" t="s">
        <v>0</v>
      </c>
      <c r="B21" s="8" t="s">
        <v>4</v>
      </c>
      <c r="C21" s="8" t="s">
        <v>6</v>
      </c>
      <c r="D21" s="8" t="s">
        <v>8</v>
      </c>
      <c r="E21" s="8" t="s">
        <v>12</v>
      </c>
      <c r="F21" s="8" t="s">
        <v>16</v>
      </c>
      <c r="G21" s="8" t="s">
        <v>20</v>
      </c>
    </row>
    <row r="22" spans="1:7" ht="81" x14ac:dyDescent="0.2">
      <c r="A22" s="8">
        <v>6</v>
      </c>
      <c r="B22" s="8" t="s">
        <v>1778</v>
      </c>
      <c r="C22" s="8" t="s">
        <v>1779</v>
      </c>
      <c r="D22" s="8" t="s">
        <v>1781</v>
      </c>
      <c r="E22" s="8" t="s">
        <v>1783</v>
      </c>
      <c r="F22" s="8" t="s">
        <v>1786</v>
      </c>
      <c r="G22" s="8" t="s">
        <v>1787</v>
      </c>
    </row>
    <row r="23" spans="1:7" ht="94.5" x14ac:dyDescent="0.2">
      <c r="A23" s="8">
        <v>24</v>
      </c>
      <c r="B23" s="8" t="s">
        <v>1788</v>
      </c>
      <c r="C23" s="8" t="s">
        <v>1790</v>
      </c>
      <c r="D23" s="8" t="s">
        <v>1792</v>
      </c>
      <c r="E23" s="8" t="s">
        <v>1796</v>
      </c>
      <c r="F23" s="8" t="s">
        <v>1798</v>
      </c>
      <c r="G23" s="8" t="s">
        <v>1801</v>
      </c>
    </row>
    <row r="25" spans="1:7" x14ac:dyDescent="0.2">
      <c r="A25" s="8" t="s">
        <v>0</v>
      </c>
      <c r="B25" s="8" t="s">
        <v>4</v>
      </c>
      <c r="C25" s="8" t="s">
        <v>6</v>
      </c>
      <c r="D25" s="8" t="s">
        <v>8</v>
      </c>
      <c r="E25" s="8" t="s">
        <v>12</v>
      </c>
      <c r="F25" s="8" t="s">
        <v>16</v>
      </c>
      <c r="G25" s="8" t="s">
        <v>20</v>
      </c>
    </row>
    <row r="26" spans="1:7" ht="81" x14ac:dyDescent="0.2">
      <c r="A26" s="8">
        <v>6</v>
      </c>
      <c r="B26" s="8" t="s">
        <v>1778</v>
      </c>
      <c r="C26" s="8" t="s">
        <v>1779</v>
      </c>
      <c r="D26" s="8" t="s">
        <v>1781</v>
      </c>
      <c r="E26" s="8" t="s">
        <v>1783</v>
      </c>
      <c r="F26" s="8" t="s">
        <v>1786</v>
      </c>
      <c r="G26" s="8" t="s">
        <v>1787</v>
      </c>
    </row>
    <row r="27" spans="1:7" ht="94.5" x14ac:dyDescent="0.2">
      <c r="A27" s="8">
        <v>24</v>
      </c>
      <c r="B27" s="8" t="s">
        <v>1788</v>
      </c>
      <c r="C27" s="8" t="s">
        <v>1790</v>
      </c>
      <c r="D27" s="8" t="s">
        <v>1792</v>
      </c>
      <c r="E27" s="8" t="s">
        <v>1796</v>
      </c>
      <c r="F27" s="8" t="s">
        <v>1798</v>
      </c>
      <c r="G27" s="8" t="s">
        <v>1801</v>
      </c>
    </row>
    <row r="28" spans="1:7" ht="94.5" x14ac:dyDescent="0.2">
      <c r="A28" s="8">
        <v>39</v>
      </c>
      <c r="B28" s="8" t="s">
        <v>1804</v>
      </c>
      <c r="C28" s="8" t="s">
        <v>1806</v>
      </c>
      <c r="D28" s="8" t="s">
        <v>1807</v>
      </c>
      <c r="E28" s="8" t="s">
        <v>1810</v>
      </c>
      <c r="F28" s="8" t="s">
        <v>1812</v>
      </c>
      <c r="G28" s="8" t="s">
        <v>1814</v>
      </c>
    </row>
    <row r="29" spans="1:7" ht="94.5" x14ac:dyDescent="0.2">
      <c r="A29" s="8">
        <v>48</v>
      </c>
      <c r="B29" s="8" t="s">
        <v>1815</v>
      </c>
      <c r="C29" s="8" t="s">
        <v>1816</v>
      </c>
      <c r="D29" s="8" t="s">
        <v>1817</v>
      </c>
      <c r="E29" s="8" t="s">
        <v>1818</v>
      </c>
      <c r="F29" s="8" t="s">
        <v>1819</v>
      </c>
      <c r="G29" s="8" t="s">
        <v>1820</v>
      </c>
    </row>
    <row r="42" spans="1:25" x14ac:dyDescent="0.2">
      <c r="D42" s="5" t="s">
        <v>4</v>
      </c>
      <c r="E42" s="5" t="s">
        <v>6</v>
      </c>
      <c r="F42" s="5" t="s">
        <v>8</v>
      </c>
      <c r="G42" s="5" t="s">
        <v>10</v>
      </c>
      <c r="H42" s="5" t="s">
        <v>12</v>
      </c>
      <c r="I42" s="5" t="s">
        <v>14</v>
      </c>
      <c r="J42" s="5" t="s">
        <v>16</v>
      </c>
      <c r="K42" s="5" t="s">
        <v>18</v>
      </c>
      <c r="L42" s="5" t="s">
        <v>20</v>
      </c>
      <c r="M42" s="5" t="s">
        <v>22</v>
      </c>
      <c r="O42" s="5"/>
      <c r="Q42" s="5"/>
      <c r="S42" s="5"/>
      <c r="U42" s="5"/>
    </row>
    <row r="43" spans="1:25" ht="68.25" x14ac:dyDescent="0.2">
      <c r="A43" s="12" t="s">
        <v>82</v>
      </c>
      <c r="B43" s="12" t="s">
        <v>219</v>
      </c>
      <c r="C43" s="12" t="s">
        <v>220</v>
      </c>
      <c r="D43" s="12" t="s">
        <v>1821</v>
      </c>
      <c r="E43" s="12" t="s">
        <v>1823</v>
      </c>
      <c r="F43" s="12" t="s">
        <v>1825</v>
      </c>
      <c r="G43" s="12" t="s">
        <v>1827</v>
      </c>
      <c r="H43" s="12" t="s">
        <v>1829</v>
      </c>
      <c r="I43" s="12" t="s">
        <v>1830</v>
      </c>
      <c r="J43" s="12" t="s">
        <v>1831</v>
      </c>
      <c r="K43" s="12" t="s">
        <v>1833</v>
      </c>
      <c r="L43" s="12" t="s">
        <v>1835</v>
      </c>
      <c r="M43" s="12" t="s">
        <v>1837</v>
      </c>
      <c r="N43" s="8">
        <v>0</v>
      </c>
      <c r="O43" s="8">
        <v>2</v>
      </c>
      <c r="P43" s="8">
        <v>2</v>
      </c>
      <c r="Q43" s="8">
        <v>1</v>
      </c>
      <c r="R43" s="8">
        <v>1</v>
      </c>
      <c r="S43" s="8">
        <v>1</v>
      </c>
      <c r="T43" s="8">
        <v>0</v>
      </c>
      <c r="U43" s="8">
        <v>0</v>
      </c>
      <c r="V43" s="8">
        <v>1</v>
      </c>
      <c r="W43" s="8">
        <v>2</v>
      </c>
      <c r="X43" s="11">
        <f t="shared" ref="X43" si="0">SUM(N43:W43)</f>
        <v>10</v>
      </c>
      <c r="Y43" s="11">
        <f t="shared" ref="Y43" si="1">100-(X43*(X43/20))</f>
        <v>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2A959-8784-C14C-A272-F9211BE42A6F}">
  <dimension ref="A1:F25"/>
  <sheetViews>
    <sheetView zoomScaleNormal="150" zoomScaleSheetLayoutView="100" workbookViewId="0">
      <selection activeCell="D28" sqref="D28"/>
    </sheetView>
  </sheetViews>
  <sheetFormatPr defaultRowHeight="15" x14ac:dyDescent="0.2"/>
  <cols>
    <col min="1" max="1" width="4.03515625" customWidth="1"/>
    <col min="2" max="2" width="11.43359375" bestFit="1" customWidth="1"/>
    <col min="3" max="3" width="27.7109375" bestFit="1" customWidth="1"/>
    <col min="4" max="4" width="60.9375" bestFit="1" customWidth="1"/>
    <col min="5" max="5" width="68.875" bestFit="1" customWidth="1"/>
    <col min="6" max="6" width="39.01171875" bestFit="1" customWidth="1"/>
  </cols>
  <sheetData>
    <row r="1" spans="1:5" x14ac:dyDescent="0.2">
      <c r="A1" s="15" t="s">
        <v>0</v>
      </c>
      <c r="B1" s="15" t="s">
        <v>1</v>
      </c>
      <c r="C1" s="16" t="s">
        <v>1913</v>
      </c>
      <c r="D1" s="16" t="s">
        <v>1911</v>
      </c>
      <c r="E1" s="16" t="s">
        <v>1912</v>
      </c>
    </row>
    <row r="2" spans="1:5" x14ac:dyDescent="0.2">
      <c r="A2" s="6">
        <v>24</v>
      </c>
      <c r="B2" t="s">
        <v>47</v>
      </c>
      <c r="C2" s="3" t="s">
        <v>1872</v>
      </c>
      <c r="D2" s="3" t="s">
        <v>1873</v>
      </c>
      <c r="E2" s="3" t="s">
        <v>1874</v>
      </c>
    </row>
    <row r="3" spans="1:5" x14ac:dyDescent="0.2">
      <c r="A3" s="6">
        <v>111</v>
      </c>
      <c r="B3" t="s">
        <v>134</v>
      </c>
      <c r="C3" s="3" t="s">
        <v>1872</v>
      </c>
      <c r="D3" s="3" t="s">
        <v>1879</v>
      </c>
      <c r="E3" s="3" t="s">
        <v>1880</v>
      </c>
    </row>
    <row r="4" spans="1:5" x14ac:dyDescent="0.2">
      <c r="A4" s="6">
        <v>120</v>
      </c>
      <c r="B4" t="s">
        <v>143</v>
      </c>
      <c r="C4" s="3" t="s">
        <v>1872</v>
      </c>
      <c r="D4" s="3" t="s">
        <v>1877</v>
      </c>
      <c r="E4" s="3" t="s">
        <v>1878</v>
      </c>
    </row>
    <row r="5" spans="1:5" x14ac:dyDescent="0.2">
      <c r="A5" s="6">
        <v>155</v>
      </c>
      <c r="B5" t="s">
        <v>178</v>
      </c>
      <c r="C5" s="3" t="s">
        <v>1872</v>
      </c>
      <c r="D5" s="3" t="s">
        <v>1881</v>
      </c>
      <c r="E5" s="3" t="s">
        <v>1882</v>
      </c>
    </row>
    <row r="6" spans="1:5" x14ac:dyDescent="0.2">
      <c r="A6" s="6">
        <v>162</v>
      </c>
      <c r="B6" t="s">
        <v>185</v>
      </c>
      <c r="C6" s="3" t="s">
        <v>1872</v>
      </c>
      <c r="D6" s="3" t="s">
        <v>1875</v>
      </c>
      <c r="E6" s="3" t="s">
        <v>1876</v>
      </c>
    </row>
    <row r="7" spans="1:5" x14ac:dyDescent="0.2">
      <c r="A7" s="6">
        <v>173</v>
      </c>
      <c r="B7" t="s">
        <v>196</v>
      </c>
      <c r="C7" s="3" t="s">
        <v>1872</v>
      </c>
      <c r="D7" s="3" t="s">
        <v>1883</v>
      </c>
      <c r="E7" s="3" t="s">
        <v>1884</v>
      </c>
    </row>
    <row r="8" spans="1:5" x14ac:dyDescent="0.2">
      <c r="A8" s="6">
        <v>6</v>
      </c>
      <c r="B8" t="s">
        <v>29</v>
      </c>
      <c r="C8" s="13" t="s">
        <v>1885</v>
      </c>
      <c r="D8" s="13" t="s">
        <v>1890</v>
      </c>
      <c r="E8" s="13" t="s">
        <v>1891</v>
      </c>
    </row>
    <row r="9" spans="1:5" x14ac:dyDescent="0.2">
      <c r="A9" s="6">
        <v>59</v>
      </c>
      <c r="B9" t="s">
        <v>82</v>
      </c>
      <c r="C9" s="13" t="s">
        <v>1885</v>
      </c>
      <c r="D9" s="13" t="s">
        <v>1894</v>
      </c>
      <c r="E9" s="13" t="s">
        <v>1895</v>
      </c>
    </row>
    <row r="10" spans="1:5" x14ac:dyDescent="0.2">
      <c r="A10" s="6">
        <v>103</v>
      </c>
      <c r="B10" t="s">
        <v>126</v>
      </c>
      <c r="C10" s="13" t="s">
        <v>1885</v>
      </c>
      <c r="D10" s="13" t="s">
        <v>1909</v>
      </c>
      <c r="E10" s="13" t="s">
        <v>1910</v>
      </c>
    </row>
    <row r="11" spans="1:5" x14ac:dyDescent="0.2">
      <c r="A11" s="6">
        <v>104</v>
      </c>
      <c r="B11" t="s">
        <v>127</v>
      </c>
      <c r="C11" s="13" t="s">
        <v>1885</v>
      </c>
      <c r="D11" s="13" t="s">
        <v>1886</v>
      </c>
      <c r="E11" s="13" t="s">
        <v>1887</v>
      </c>
    </row>
    <row r="12" spans="1:5" x14ac:dyDescent="0.2">
      <c r="A12" s="6">
        <v>118</v>
      </c>
      <c r="B12" t="s">
        <v>141</v>
      </c>
      <c r="C12" s="13" t="s">
        <v>1885</v>
      </c>
      <c r="D12" s="13" t="s">
        <v>1888</v>
      </c>
      <c r="E12" s="13" t="s">
        <v>1889</v>
      </c>
    </row>
    <row r="13" spans="1:5" x14ac:dyDescent="0.2">
      <c r="A13" s="6">
        <v>194</v>
      </c>
      <c r="B13" t="s">
        <v>217</v>
      </c>
      <c r="C13" s="13" t="s">
        <v>1885</v>
      </c>
      <c r="D13" s="13" t="s">
        <v>1892</v>
      </c>
      <c r="E13" s="13" t="s">
        <v>1893</v>
      </c>
    </row>
    <row r="14" spans="1:5" x14ac:dyDescent="0.2">
      <c r="A14" s="6">
        <v>39</v>
      </c>
      <c r="B14" t="s">
        <v>62</v>
      </c>
      <c r="C14" s="14" t="s">
        <v>1897</v>
      </c>
      <c r="D14" s="14" t="s">
        <v>1900</v>
      </c>
      <c r="E14" s="14" t="s">
        <v>1901</v>
      </c>
    </row>
    <row r="15" spans="1:5" x14ac:dyDescent="0.2">
      <c r="A15" s="6">
        <v>48</v>
      </c>
      <c r="B15" t="s">
        <v>1896</v>
      </c>
      <c r="C15" s="14" t="s">
        <v>1897</v>
      </c>
      <c r="D15" s="14" t="s">
        <v>1898</v>
      </c>
      <c r="E15" s="14" t="s">
        <v>1899</v>
      </c>
    </row>
    <row r="16" spans="1:5" x14ac:dyDescent="0.2">
      <c r="A16" s="6">
        <v>97</v>
      </c>
      <c r="B16" t="s">
        <v>120</v>
      </c>
      <c r="C16" s="14" t="s">
        <v>1897</v>
      </c>
      <c r="D16" s="14" t="s">
        <v>1904</v>
      </c>
      <c r="E16" s="14" t="s">
        <v>1905</v>
      </c>
    </row>
    <row r="17" spans="1:6" x14ac:dyDescent="0.2">
      <c r="A17" s="6">
        <v>195</v>
      </c>
      <c r="B17" t="s">
        <v>218</v>
      </c>
      <c r="C17" s="14" t="s">
        <v>1897</v>
      </c>
      <c r="D17" s="14" t="s">
        <v>1902</v>
      </c>
      <c r="E17" s="14" t="s">
        <v>1903</v>
      </c>
    </row>
    <row r="24" spans="1:6" x14ac:dyDescent="0.2">
      <c r="C24" t="s">
        <v>196</v>
      </c>
      <c r="D24" s="3" t="s">
        <v>1872</v>
      </c>
      <c r="E24" s="3" t="s">
        <v>1883</v>
      </c>
      <c r="F24" s="3" t="s">
        <v>1884</v>
      </c>
    </row>
    <row r="25" spans="1:6" x14ac:dyDescent="0.2">
      <c r="C25" t="s">
        <v>1906</v>
      </c>
      <c r="D25" s="14" t="s">
        <v>1897</v>
      </c>
      <c r="E25" s="14" t="s">
        <v>1907</v>
      </c>
      <c r="F25" s="14" t="s">
        <v>1908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472CB-F362-474C-BF01-CB42649A0F01}">
  <dimension ref="A1:AD240"/>
  <sheetViews>
    <sheetView topLeftCell="F1" zoomScaleNormal="150" zoomScaleSheetLayoutView="100" workbookViewId="0">
      <selection activeCell="B1" sqref="B1:Q1"/>
    </sheetView>
  </sheetViews>
  <sheetFormatPr defaultRowHeight="15" x14ac:dyDescent="0.2"/>
  <cols>
    <col min="1" max="1" width="11.296875" style="6" customWidth="1"/>
    <col min="2" max="2" width="44.79296875" style="6" customWidth="1"/>
    <col min="3" max="3" width="12.9140625" style="6" customWidth="1"/>
    <col min="4" max="4" width="14.2578125" style="6" customWidth="1"/>
    <col min="5" max="5" width="153.35546875" style="6" customWidth="1"/>
    <col min="6" max="6" width="255.73046875" style="6" customWidth="1"/>
    <col min="7" max="16384" width="8.609375" style="10"/>
  </cols>
  <sheetData>
    <row r="1" spans="1:6" x14ac:dyDescent="0.2">
      <c r="A1" s="15" t="s">
        <v>0</v>
      </c>
      <c r="B1" s="15" t="s">
        <v>1</v>
      </c>
      <c r="C1" s="15" t="s">
        <v>2</v>
      </c>
      <c r="D1" s="15" t="s">
        <v>3</v>
      </c>
      <c r="E1" s="15" t="s">
        <v>4</v>
      </c>
      <c r="F1" s="15" t="s">
        <v>5</v>
      </c>
    </row>
    <row r="2" spans="1:6" x14ac:dyDescent="0.2">
      <c r="A2" s="21">
        <v>2</v>
      </c>
      <c r="B2" s="21" t="s">
        <v>25</v>
      </c>
      <c r="C2" s="21" t="s">
        <v>2140</v>
      </c>
      <c r="D2" s="21" t="s">
        <v>2141</v>
      </c>
      <c r="E2" s="21" t="s">
        <v>221</v>
      </c>
      <c r="F2" s="22" t="s">
        <v>345</v>
      </c>
    </row>
    <row r="3" spans="1:6" x14ac:dyDescent="0.2">
      <c r="A3" s="6">
        <v>3</v>
      </c>
      <c r="B3" s="6" t="s">
        <v>26</v>
      </c>
      <c r="C3" s="6" t="s">
        <v>2142</v>
      </c>
      <c r="D3" s="6" t="s">
        <v>2143</v>
      </c>
      <c r="E3" s="6" t="s">
        <v>222</v>
      </c>
      <c r="F3" s="7" t="s">
        <v>346</v>
      </c>
    </row>
    <row r="4" spans="1:6" x14ac:dyDescent="0.2">
      <c r="A4" s="6">
        <v>4</v>
      </c>
      <c r="B4" s="6" t="s">
        <v>27</v>
      </c>
      <c r="C4" s="6" t="s">
        <v>219</v>
      </c>
      <c r="D4" s="6" t="s">
        <v>2144</v>
      </c>
      <c r="E4" s="6" t="s">
        <v>223</v>
      </c>
      <c r="F4" s="7" t="s">
        <v>347</v>
      </c>
    </row>
    <row r="5" spans="1:6" x14ac:dyDescent="0.2">
      <c r="A5" s="6">
        <v>5</v>
      </c>
      <c r="B5" s="6" t="s">
        <v>28</v>
      </c>
      <c r="C5" s="6" t="s">
        <v>2142</v>
      </c>
      <c r="D5" s="6" t="s">
        <v>2143</v>
      </c>
      <c r="E5" s="6" t="s">
        <v>224</v>
      </c>
      <c r="F5" s="7" t="s">
        <v>348</v>
      </c>
    </row>
    <row r="6" spans="1:6" x14ac:dyDescent="0.2">
      <c r="A6" s="1">
        <v>6</v>
      </c>
      <c r="B6" s="1" t="s">
        <v>29</v>
      </c>
      <c r="C6" s="1" t="s">
        <v>219</v>
      </c>
      <c r="D6" s="1" t="s">
        <v>220</v>
      </c>
      <c r="E6" s="1" t="s">
        <v>225</v>
      </c>
      <c r="F6" s="2" t="s">
        <v>349</v>
      </c>
    </row>
    <row r="7" spans="1:6" x14ac:dyDescent="0.2">
      <c r="A7" s="6">
        <v>7</v>
      </c>
      <c r="B7" s="6" t="s">
        <v>30</v>
      </c>
      <c r="C7" s="6" t="s">
        <v>2145</v>
      </c>
      <c r="D7" s="6" t="s">
        <v>2146</v>
      </c>
      <c r="E7" s="6" t="s">
        <v>226</v>
      </c>
      <c r="F7" s="7" t="s">
        <v>350</v>
      </c>
    </row>
    <row r="8" spans="1:6" x14ac:dyDescent="0.2">
      <c r="A8" s="6">
        <v>8</v>
      </c>
      <c r="B8" s="6" t="s">
        <v>31</v>
      </c>
      <c r="C8" s="6" t="s">
        <v>2145</v>
      </c>
      <c r="D8" s="6" t="s">
        <v>2147</v>
      </c>
      <c r="E8" s="6" t="s">
        <v>227</v>
      </c>
      <c r="F8" s="7" t="s">
        <v>351</v>
      </c>
    </row>
    <row r="9" spans="1:6" x14ac:dyDescent="0.2">
      <c r="A9" s="6">
        <v>9</v>
      </c>
      <c r="B9" s="6" t="s">
        <v>32</v>
      </c>
      <c r="C9" s="6" t="s">
        <v>2140</v>
      </c>
      <c r="D9" s="6" t="s">
        <v>2148</v>
      </c>
      <c r="E9" s="6" t="s">
        <v>228</v>
      </c>
      <c r="F9" s="7" t="s">
        <v>352</v>
      </c>
    </row>
    <row r="10" spans="1:6" x14ac:dyDescent="0.2">
      <c r="A10" s="6">
        <v>10</v>
      </c>
      <c r="B10" s="6" t="s">
        <v>33</v>
      </c>
      <c r="C10" s="6" t="s">
        <v>2149</v>
      </c>
      <c r="D10" s="6" t="s">
        <v>2150</v>
      </c>
      <c r="E10" s="6" t="s">
        <v>229</v>
      </c>
      <c r="F10" s="7" t="s">
        <v>353</v>
      </c>
    </row>
    <row r="11" spans="1:6" x14ac:dyDescent="0.2">
      <c r="A11" s="6">
        <v>11</v>
      </c>
      <c r="B11" s="6" t="s">
        <v>34</v>
      </c>
      <c r="C11" s="6" t="s">
        <v>2142</v>
      </c>
      <c r="D11" s="6" t="s">
        <v>2151</v>
      </c>
      <c r="E11" s="6" t="s">
        <v>230</v>
      </c>
      <c r="F11" s="7" t="s">
        <v>354</v>
      </c>
    </row>
    <row r="12" spans="1:6" x14ac:dyDescent="0.2">
      <c r="A12" s="6">
        <v>12</v>
      </c>
      <c r="B12" s="6" t="s">
        <v>35</v>
      </c>
      <c r="C12" s="6" t="s">
        <v>2140</v>
      </c>
      <c r="D12" s="6" t="s">
        <v>2148</v>
      </c>
      <c r="E12" s="6" t="s">
        <v>231</v>
      </c>
      <c r="F12" s="7" t="s">
        <v>355</v>
      </c>
    </row>
    <row r="13" spans="1:6" x14ac:dyDescent="0.2">
      <c r="A13" s="6">
        <v>13</v>
      </c>
      <c r="B13" s="6" t="s">
        <v>36</v>
      </c>
      <c r="C13" s="6" t="s">
        <v>2145</v>
      </c>
      <c r="D13" s="6" t="s">
        <v>2146</v>
      </c>
      <c r="E13" s="6" t="s">
        <v>232</v>
      </c>
      <c r="F13" s="7" t="s">
        <v>356</v>
      </c>
    </row>
    <row r="14" spans="1:6" x14ac:dyDescent="0.2">
      <c r="A14" s="6">
        <v>14</v>
      </c>
      <c r="B14" s="6" t="s">
        <v>37</v>
      </c>
      <c r="C14" s="6" t="s">
        <v>2140</v>
      </c>
      <c r="D14" s="6" t="s">
        <v>2152</v>
      </c>
      <c r="E14" s="6" t="s">
        <v>233</v>
      </c>
      <c r="F14" s="7" t="s">
        <v>357</v>
      </c>
    </row>
    <row r="15" spans="1:6" x14ac:dyDescent="0.2">
      <c r="A15" s="6">
        <v>15</v>
      </c>
      <c r="B15" s="6" t="s">
        <v>38</v>
      </c>
      <c r="C15" s="6" t="s">
        <v>2140</v>
      </c>
      <c r="D15" s="6" t="s">
        <v>2141</v>
      </c>
      <c r="E15" s="6" t="s">
        <v>234</v>
      </c>
      <c r="F15" s="7" t="s">
        <v>358</v>
      </c>
    </row>
    <row r="16" spans="1:6" x14ac:dyDescent="0.2">
      <c r="A16" s="6">
        <v>16</v>
      </c>
      <c r="B16" s="6" t="s">
        <v>39</v>
      </c>
      <c r="C16" s="6" t="s">
        <v>2145</v>
      </c>
      <c r="D16" s="6" t="s">
        <v>2146</v>
      </c>
      <c r="E16" s="6" t="s">
        <v>235</v>
      </c>
      <c r="F16" s="7" t="s">
        <v>359</v>
      </c>
    </row>
    <row r="17" spans="1:30" x14ac:dyDescent="0.2">
      <c r="A17" s="6">
        <v>17</v>
      </c>
      <c r="B17" s="6" t="s">
        <v>40</v>
      </c>
      <c r="C17" s="6" t="s">
        <v>2142</v>
      </c>
      <c r="D17" s="6" t="s">
        <v>2148</v>
      </c>
      <c r="E17" s="6" t="s">
        <v>236</v>
      </c>
      <c r="F17" s="7" t="s">
        <v>360</v>
      </c>
    </row>
    <row r="18" spans="1:30" x14ac:dyDescent="0.2">
      <c r="A18" s="6">
        <v>18</v>
      </c>
      <c r="B18" s="6" t="s">
        <v>41</v>
      </c>
      <c r="C18" s="6" t="s">
        <v>2142</v>
      </c>
      <c r="D18" s="6" t="s">
        <v>2151</v>
      </c>
      <c r="E18" s="6" t="s">
        <v>237</v>
      </c>
      <c r="F18" s="7" t="s">
        <v>361</v>
      </c>
    </row>
    <row r="19" spans="1:30" x14ac:dyDescent="0.2">
      <c r="A19" s="6">
        <v>19</v>
      </c>
      <c r="B19" s="6" t="s">
        <v>42</v>
      </c>
      <c r="C19" s="6" t="s">
        <v>2145</v>
      </c>
      <c r="D19" s="6" t="s">
        <v>2146</v>
      </c>
      <c r="E19" s="6" t="s">
        <v>232</v>
      </c>
      <c r="F19" s="7" t="s">
        <v>362</v>
      </c>
    </row>
    <row r="20" spans="1:30" x14ac:dyDescent="0.2">
      <c r="A20" s="19">
        <v>20</v>
      </c>
      <c r="B20" s="19" t="s">
        <v>43</v>
      </c>
      <c r="C20" s="19" t="s">
        <v>219</v>
      </c>
      <c r="D20" s="19" t="s">
        <v>1777</v>
      </c>
      <c r="E20" s="19" t="s">
        <v>238</v>
      </c>
      <c r="F20" s="20" t="s">
        <v>363</v>
      </c>
    </row>
    <row r="21" spans="1:30" x14ac:dyDescent="0.2">
      <c r="A21" s="6">
        <v>21</v>
      </c>
      <c r="B21" s="6" t="s">
        <v>44</v>
      </c>
      <c r="C21" s="6" t="s">
        <v>2140</v>
      </c>
      <c r="D21" s="6" t="s">
        <v>2141</v>
      </c>
      <c r="E21" s="6" t="s">
        <v>239</v>
      </c>
      <c r="F21" s="7" t="s">
        <v>364</v>
      </c>
    </row>
    <row r="22" spans="1:30" x14ac:dyDescent="0.2">
      <c r="A22" s="6">
        <v>22</v>
      </c>
      <c r="B22" s="6" t="s">
        <v>45</v>
      </c>
      <c r="C22" s="6" t="s">
        <v>2145</v>
      </c>
      <c r="D22" s="6" t="s">
        <v>2153</v>
      </c>
      <c r="E22" s="6" t="s">
        <v>240</v>
      </c>
      <c r="F22" s="7" t="s">
        <v>365</v>
      </c>
      <c r="H22" s="17"/>
      <c r="J22" s="17"/>
      <c r="L22" s="17"/>
      <c r="AB22" s="17"/>
      <c r="AD22" s="17"/>
    </row>
    <row r="23" spans="1:30" x14ac:dyDescent="0.2">
      <c r="A23" s="6">
        <v>23</v>
      </c>
      <c r="B23" s="6" t="s">
        <v>46</v>
      </c>
      <c r="C23" s="6" t="s">
        <v>2142</v>
      </c>
      <c r="D23" s="6" t="s">
        <v>2143</v>
      </c>
      <c r="E23" s="6" t="s">
        <v>241</v>
      </c>
      <c r="F23" s="7" t="s">
        <v>366</v>
      </c>
      <c r="L23" s="17"/>
      <c r="P23" s="17"/>
      <c r="R23" s="17"/>
      <c r="T23" s="17"/>
    </row>
    <row r="24" spans="1:30" x14ac:dyDescent="0.2">
      <c r="A24" s="1">
        <v>24</v>
      </c>
      <c r="B24" s="1" t="s">
        <v>47</v>
      </c>
      <c r="C24" s="1" t="s">
        <v>219</v>
      </c>
      <c r="D24" s="1" t="s">
        <v>220</v>
      </c>
      <c r="E24" s="1" t="s">
        <v>1788</v>
      </c>
      <c r="F24" s="2" t="s">
        <v>1789</v>
      </c>
    </row>
    <row r="25" spans="1:30" x14ac:dyDescent="0.2">
      <c r="A25" s="6">
        <v>25</v>
      </c>
      <c r="B25" s="6" t="s">
        <v>48</v>
      </c>
      <c r="C25" s="6" t="s">
        <v>2145</v>
      </c>
      <c r="D25" s="6" t="s">
        <v>2147</v>
      </c>
      <c r="E25" s="6" t="s">
        <v>243</v>
      </c>
      <c r="F25" s="7" t="s">
        <v>368</v>
      </c>
    </row>
    <row r="26" spans="1:30" x14ac:dyDescent="0.2">
      <c r="A26" s="6">
        <v>26</v>
      </c>
      <c r="B26" s="6" t="s">
        <v>49</v>
      </c>
      <c r="C26" s="6" t="s">
        <v>2140</v>
      </c>
      <c r="D26" s="6" t="s">
        <v>2154</v>
      </c>
      <c r="E26" s="6" t="s">
        <v>232</v>
      </c>
      <c r="F26" s="7" t="s">
        <v>369</v>
      </c>
    </row>
    <row r="27" spans="1:30" x14ac:dyDescent="0.2">
      <c r="A27" s="6">
        <v>27</v>
      </c>
      <c r="B27" s="6" t="s">
        <v>50</v>
      </c>
      <c r="C27" s="6" t="s">
        <v>2142</v>
      </c>
      <c r="D27" s="6" t="s">
        <v>2151</v>
      </c>
      <c r="E27" s="6" t="s">
        <v>244</v>
      </c>
      <c r="F27" s="7" t="s">
        <v>370</v>
      </c>
    </row>
    <row r="28" spans="1:30" x14ac:dyDescent="0.2">
      <c r="A28" s="3">
        <v>28</v>
      </c>
      <c r="B28" s="3" t="s">
        <v>51</v>
      </c>
      <c r="C28" s="3" t="s">
        <v>219</v>
      </c>
      <c r="D28" s="3" t="s">
        <v>1777</v>
      </c>
      <c r="E28" s="3" t="s">
        <v>232</v>
      </c>
      <c r="F28" s="4" t="s">
        <v>371</v>
      </c>
    </row>
    <row r="29" spans="1:30" x14ac:dyDescent="0.2">
      <c r="A29" s="6">
        <v>29</v>
      </c>
      <c r="B29" s="6" t="s">
        <v>52</v>
      </c>
      <c r="C29" s="6" t="s">
        <v>219</v>
      </c>
      <c r="D29" s="6" t="s">
        <v>2155</v>
      </c>
      <c r="E29" s="6" t="s">
        <v>232</v>
      </c>
      <c r="F29" s="7" t="s">
        <v>372</v>
      </c>
    </row>
    <row r="30" spans="1:30" x14ac:dyDescent="0.2">
      <c r="A30" s="3">
        <v>30</v>
      </c>
      <c r="B30" s="3" t="s">
        <v>53</v>
      </c>
      <c r="C30" s="3" t="s">
        <v>219</v>
      </c>
      <c r="D30" s="3" t="s">
        <v>1777</v>
      </c>
      <c r="E30" s="3" t="s">
        <v>245</v>
      </c>
      <c r="F30" s="4" t="s">
        <v>373</v>
      </c>
    </row>
    <row r="31" spans="1:30" x14ac:dyDescent="0.2">
      <c r="A31" s="6">
        <v>31</v>
      </c>
      <c r="B31" s="6" t="s">
        <v>54</v>
      </c>
      <c r="C31" s="6" t="s">
        <v>2140</v>
      </c>
      <c r="D31" s="6" t="s">
        <v>2154</v>
      </c>
      <c r="E31" s="6" t="s">
        <v>246</v>
      </c>
      <c r="F31" s="7" t="s">
        <v>374</v>
      </c>
    </row>
    <row r="32" spans="1:30" x14ac:dyDescent="0.2">
      <c r="A32" s="6">
        <v>32</v>
      </c>
      <c r="B32" s="6" t="s">
        <v>55</v>
      </c>
      <c r="C32" s="6" t="s">
        <v>219</v>
      </c>
      <c r="D32" s="6" t="s">
        <v>2156</v>
      </c>
      <c r="E32" s="6" t="s">
        <v>232</v>
      </c>
      <c r="F32" s="7" t="s">
        <v>375</v>
      </c>
    </row>
    <row r="33" spans="1:12" x14ac:dyDescent="0.2">
      <c r="A33" s="6">
        <v>33</v>
      </c>
      <c r="B33" s="6" t="s">
        <v>56</v>
      </c>
      <c r="C33" s="6" t="s">
        <v>2145</v>
      </c>
      <c r="D33" s="6" t="s">
        <v>2157</v>
      </c>
      <c r="E33" s="6" t="s">
        <v>247</v>
      </c>
      <c r="F33" s="7" t="s">
        <v>376</v>
      </c>
    </row>
    <row r="34" spans="1:12" x14ac:dyDescent="0.2">
      <c r="A34" s="6">
        <v>34</v>
      </c>
      <c r="B34" s="6" t="s">
        <v>57</v>
      </c>
      <c r="C34" s="6" t="s">
        <v>219</v>
      </c>
      <c r="D34" s="6" t="s">
        <v>2156</v>
      </c>
      <c r="E34" s="6" t="s">
        <v>232</v>
      </c>
      <c r="F34" s="7" t="s">
        <v>377</v>
      </c>
    </row>
    <row r="35" spans="1:12" x14ac:dyDescent="0.2">
      <c r="A35" s="6">
        <v>35</v>
      </c>
      <c r="B35" s="6" t="s">
        <v>58</v>
      </c>
      <c r="C35" s="6" t="s">
        <v>219</v>
      </c>
      <c r="D35" s="6" t="s">
        <v>2156</v>
      </c>
      <c r="E35" s="6" t="s">
        <v>232</v>
      </c>
      <c r="F35" s="7" t="s">
        <v>378</v>
      </c>
    </row>
    <row r="36" spans="1:12" x14ac:dyDescent="0.2">
      <c r="A36" s="6">
        <v>36</v>
      </c>
      <c r="B36" s="6" t="s">
        <v>59</v>
      </c>
      <c r="C36" s="6" t="s">
        <v>2145</v>
      </c>
      <c r="D36" s="6" t="s">
        <v>2158</v>
      </c>
      <c r="E36" s="6" t="s">
        <v>248</v>
      </c>
      <c r="F36" s="7" t="s">
        <v>379</v>
      </c>
    </row>
    <row r="37" spans="1:12" x14ac:dyDescent="0.2">
      <c r="A37" s="6">
        <v>37</v>
      </c>
      <c r="B37" s="6" t="s">
        <v>60</v>
      </c>
      <c r="C37" s="6" t="s">
        <v>2140</v>
      </c>
      <c r="D37" s="6" t="s">
        <v>2159</v>
      </c>
      <c r="E37" s="6" t="s">
        <v>249</v>
      </c>
      <c r="F37" s="7" t="s">
        <v>380</v>
      </c>
    </row>
    <row r="38" spans="1:12" x14ac:dyDescent="0.2">
      <c r="A38" s="6">
        <v>38</v>
      </c>
      <c r="B38" s="6" t="s">
        <v>61</v>
      </c>
      <c r="C38" s="6" t="s">
        <v>2145</v>
      </c>
      <c r="D38" s="6" t="s">
        <v>2158</v>
      </c>
      <c r="E38" s="6" t="s">
        <v>250</v>
      </c>
      <c r="F38" s="7" t="s">
        <v>381</v>
      </c>
    </row>
    <row r="39" spans="1:12" x14ac:dyDescent="0.2">
      <c r="A39" s="1">
        <v>39</v>
      </c>
      <c r="B39" s="1" t="s">
        <v>62</v>
      </c>
      <c r="C39" s="1" t="s">
        <v>219</v>
      </c>
      <c r="D39" s="1" t="s">
        <v>220</v>
      </c>
      <c r="E39" s="1" t="s">
        <v>1804</v>
      </c>
      <c r="F39" s="2" t="s">
        <v>1805</v>
      </c>
    </row>
    <row r="40" spans="1:12" x14ac:dyDescent="0.2">
      <c r="A40" s="6">
        <v>40</v>
      </c>
      <c r="B40" s="6" t="s">
        <v>63</v>
      </c>
      <c r="C40" s="6" t="s">
        <v>219</v>
      </c>
      <c r="D40" s="6" t="s">
        <v>2156</v>
      </c>
      <c r="E40" s="6" t="s">
        <v>232</v>
      </c>
      <c r="F40" s="7" t="s">
        <v>365</v>
      </c>
    </row>
    <row r="41" spans="1:12" x14ac:dyDescent="0.2">
      <c r="A41" s="6">
        <v>41</v>
      </c>
      <c r="B41" s="6" t="s">
        <v>64</v>
      </c>
      <c r="C41" s="6" t="s">
        <v>2145</v>
      </c>
      <c r="D41" s="6" t="s">
        <v>2160</v>
      </c>
      <c r="E41" s="6" t="s">
        <v>251</v>
      </c>
      <c r="F41" s="7" t="s">
        <v>383</v>
      </c>
    </row>
    <row r="42" spans="1:12" x14ac:dyDescent="0.2">
      <c r="A42" s="6">
        <v>42</v>
      </c>
      <c r="B42" s="6" t="s">
        <v>65</v>
      </c>
      <c r="C42" s="6" t="s">
        <v>2142</v>
      </c>
      <c r="D42" s="6" t="s">
        <v>2151</v>
      </c>
      <c r="E42" s="6" t="s">
        <v>252</v>
      </c>
      <c r="F42" s="7" t="s">
        <v>384</v>
      </c>
    </row>
    <row r="43" spans="1:12" x14ac:dyDescent="0.2">
      <c r="A43" s="6">
        <v>43</v>
      </c>
      <c r="B43" s="6" t="s">
        <v>66</v>
      </c>
      <c r="C43" s="6" t="s">
        <v>2145</v>
      </c>
      <c r="D43" s="6" t="s">
        <v>2146</v>
      </c>
      <c r="E43" s="6" t="s">
        <v>253</v>
      </c>
      <c r="F43" s="7" t="s">
        <v>385</v>
      </c>
    </row>
    <row r="44" spans="1:12" x14ac:dyDescent="0.2">
      <c r="A44" s="6">
        <v>44</v>
      </c>
      <c r="B44" s="6" t="s">
        <v>67</v>
      </c>
      <c r="C44" s="6" t="s">
        <v>2142</v>
      </c>
      <c r="D44" s="6" t="s">
        <v>2151</v>
      </c>
      <c r="E44" s="6" t="s">
        <v>254</v>
      </c>
      <c r="F44" s="7" t="s">
        <v>386</v>
      </c>
    </row>
    <row r="45" spans="1:12" x14ac:dyDescent="0.2">
      <c r="A45" s="6">
        <v>45</v>
      </c>
      <c r="B45" s="6" t="s">
        <v>68</v>
      </c>
      <c r="C45" s="6" t="s">
        <v>2142</v>
      </c>
      <c r="D45" s="6" t="s">
        <v>2151</v>
      </c>
      <c r="E45" s="6" t="s">
        <v>255</v>
      </c>
      <c r="F45" s="7" t="s">
        <v>387</v>
      </c>
    </row>
    <row r="46" spans="1:12" x14ac:dyDescent="0.2">
      <c r="A46" s="3">
        <v>46</v>
      </c>
      <c r="B46" s="3" t="s">
        <v>69</v>
      </c>
      <c r="C46" s="3" t="s">
        <v>219</v>
      </c>
      <c r="D46" s="3" t="s">
        <v>1777</v>
      </c>
      <c r="E46" s="3" t="s">
        <v>256</v>
      </c>
      <c r="F46" s="4" t="s">
        <v>365</v>
      </c>
    </row>
    <row r="47" spans="1:12" x14ac:dyDescent="0.2">
      <c r="A47" s="6">
        <v>47</v>
      </c>
      <c r="B47" s="6" t="s">
        <v>70</v>
      </c>
      <c r="C47" s="6" t="s">
        <v>2140</v>
      </c>
      <c r="D47" s="6" t="s">
        <v>2159</v>
      </c>
      <c r="E47" s="6" t="s">
        <v>257</v>
      </c>
      <c r="F47" s="7" t="s">
        <v>388</v>
      </c>
      <c r="H47" s="17"/>
      <c r="J47" s="17"/>
      <c r="L47" s="17"/>
    </row>
    <row r="48" spans="1:12" x14ac:dyDescent="0.2">
      <c r="A48" s="1">
        <v>48</v>
      </c>
      <c r="B48" s="1" t="s">
        <v>71</v>
      </c>
      <c r="C48" s="1" t="s">
        <v>219</v>
      </c>
      <c r="D48" s="1" t="s">
        <v>220</v>
      </c>
      <c r="E48" s="1" t="s">
        <v>257</v>
      </c>
      <c r="F48" s="2" t="s">
        <v>365</v>
      </c>
    </row>
    <row r="49" spans="1:6" x14ac:dyDescent="0.2">
      <c r="A49" s="6">
        <v>49</v>
      </c>
      <c r="B49" s="6" t="s">
        <v>72</v>
      </c>
      <c r="C49" s="6" t="s">
        <v>2142</v>
      </c>
      <c r="D49" s="6" t="s">
        <v>2151</v>
      </c>
      <c r="E49" s="6" t="s">
        <v>258</v>
      </c>
      <c r="F49" s="7" t="s">
        <v>389</v>
      </c>
    </row>
    <row r="50" spans="1:6" x14ac:dyDescent="0.2">
      <c r="A50" s="6">
        <v>50</v>
      </c>
      <c r="B50" s="6" t="s">
        <v>73</v>
      </c>
      <c r="C50" s="6" t="s">
        <v>219</v>
      </c>
      <c r="D50" s="6" t="s">
        <v>2161</v>
      </c>
      <c r="E50" s="6" t="s">
        <v>257</v>
      </c>
      <c r="F50" s="7" t="s">
        <v>390</v>
      </c>
    </row>
    <row r="51" spans="1:6" x14ac:dyDescent="0.2">
      <c r="A51" s="6">
        <v>51</v>
      </c>
      <c r="B51" s="6" t="s">
        <v>74</v>
      </c>
      <c r="C51" s="6" t="s">
        <v>2145</v>
      </c>
      <c r="D51" s="6" t="s">
        <v>2146</v>
      </c>
      <c r="E51" s="6" t="s">
        <v>257</v>
      </c>
      <c r="F51" s="7" t="s">
        <v>391</v>
      </c>
    </row>
    <row r="52" spans="1:6" x14ac:dyDescent="0.2">
      <c r="A52" s="6">
        <v>52</v>
      </c>
      <c r="B52" s="6" t="s">
        <v>75</v>
      </c>
      <c r="C52" s="6" t="s">
        <v>2145</v>
      </c>
      <c r="D52" s="6" t="s">
        <v>2146</v>
      </c>
      <c r="E52" s="6" t="s">
        <v>259</v>
      </c>
      <c r="F52" s="7" t="s">
        <v>392</v>
      </c>
    </row>
    <row r="53" spans="1:6" x14ac:dyDescent="0.2">
      <c r="A53" s="6">
        <v>53</v>
      </c>
      <c r="B53" s="6" t="s">
        <v>76</v>
      </c>
      <c r="C53" s="6" t="s">
        <v>2145</v>
      </c>
      <c r="D53" s="6" t="s">
        <v>2153</v>
      </c>
      <c r="E53" s="6" t="s">
        <v>260</v>
      </c>
      <c r="F53" s="7" t="s">
        <v>393</v>
      </c>
    </row>
    <row r="54" spans="1:6" x14ac:dyDescent="0.2">
      <c r="A54" s="6">
        <v>54</v>
      </c>
      <c r="B54" s="6" t="s">
        <v>77</v>
      </c>
      <c r="C54" s="6" t="s">
        <v>219</v>
      </c>
      <c r="D54" s="6" t="s">
        <v>2144</v>
      </c>
      <c r="E54" s="6" t="s">
        <v>261</v>
      </c>
      <c r="F54" s="7" t="s">
        <v>394</v>
      </c>
    </row>
    <row r="55" spans="1:6" x14ac:dyDescent="0.2">
      <c r="A55" s="6">
        <v>55</v>
      </c>
      <c r="B55" s="6" t="s">
        <v>78</v>
      </c>
      <c r="C55" s="6" t="s">
        <v>2145</v>
      </c>
      <c r="D55" s="6" t="s">
        <v>2160</v>
      </c>
      <c r="E55" s="6" t="s">
        <v>257</v>
      </c>
      <c r="F55" s="7" t="s">
        <v>395</v>
      </c>
    </row>
    <row r="56" spans="1:6" x14ac:dyDescent="0.2">
      <c r="A56" s="6">
        <v>56</v>
      </c>
      <c r="B56" s="6" t="s">
        <v>79</v>
      </c>
      <c r="C56" s="6" t="s">
        <v>219</v>
      </c>
      <c r="D56" s="6" t="s">
        <v>2156</v>
      </c>
      <c r="E56" s="6" t="s">
        <v>262</v>
      </c>
      <c r="F56" s="7" t="s">
        <v>396</v>
      </c>
    </row>
    <row r="57" spans="1:6" x14ac:dyDescent="0.2">
      <c r="A57" s="6">
        <v>57</v>
      </c>
      <c r="B57" s="6" t="s">
        <v>80</v>
      </c>
      <c r="C57" s="6" t="s">
        <v>219</v>
      </c>
      <c r="D57" s="6" t="s">
        <v>2161</v>
      </c>
      <c r="E57" s="6" t="s">
        <v>257</v>
      </c>
      <c r="F57" s="7" t="s">
        <v>397</v>
      </c>
    </row>
    <row r="58" spans="1:6" x14ac:dyDescent="0.2">
      <c r="A58" s="6">
        <v>58</v>
      </c>
      <c r="B58" s="6" t="s">
        <v>81</v>
      </c>
      <c r="C58" s="6" t="s">
        <v>2142</v>
      </c>
      <c r="D58" s="6" t="s">
        <v>2151</v>
      </c>
      <c r="E58" s="6" t="s">
        <v>263</v>
      </c>
      <c r="F58" s="7" t="s">
        <v>398</v>
      </c>
    </row>
    <row r="59" spans="1:6" x14ac:dyDescent="0.2">
      <c r="A59" s="1">
        <v>59</v>
      </c>
      <c r="B59" s="1" t="s">
        <v>82</v>
      </c>
      <c r="C59" s="1" t="s">
        <v>219</v>
      </c>
      <c r="D59" s="1" t="s">
        <v>220</v>
      </c>
      <c r="E59" s="1" t="s">
        <v>1821</v>
      </c>
      <c r="F59" s="2" t="s">
        <v>1822</v>
      </c>
    </row>
    <row r="60" spans="1:6" x14ac:dyDescent="0.2">
      <c r="A60" s="6">
        <v>60</v>
      </c>
      <c r="B60" s="6" t="s">
        <v>83</v>
      </c>
      <c r="C60" s="6" t="s">
        <v>219</v>
      </c>
      <c r="D60" s="6" t="s">
        <v>2161</v>
      </c>
      <c r="E60" s="6" t="s">
        <v>264</v>
      </c>
      <c r="F60" s="7" t="s">
        <v>399</v>
      </c>
    </row>
    <row r="61" spans="1:6" x14ac:dyDescent="0.2">
      <c r="A61" s="6">
        <v>61</v>
      </c>
      <c r="B61" s="6" t="s">
        <v>84</v>
      </c>
      <c r="C61" s="6" t="s">
        <v>2149</v>
      </c>
      <c r="D61" s="6" t="s">
        <v>2150</v>
      </c>
      <c r="E61" s="6" t="s">
        <v>262</v>
      </c>
      <c r="F61" s="7" t="s">
        <v>400</v>
      </c>
    </row>
    <row r="62" spans="1:6" x14ac:dyDescent="0.2">
      <c r="A62" s="6">
        <v>62</v>
      </c>
      <c r="B62" s="6" t="s">
        <v>85</v>
      </c>
      <c r="C62" s="6" t="s">
        <v>2142</v>
      </c>
      <c r="D62" s="6" t="s">
        <v>2151</v>
      </c>
      <c r="E62" s="6" t="s">
        <v>265</v>
      </c>
      <c r="F62" s="7" t="s">
        <v>401</v>
      </c>
    </row>
    <row r="63" spans="1:6" x14ac:dyDescent="0.2">
      <c r="A63" s="6">
        <v>63</v>
      </c>
      <c r="B63" s="6" t="s">
        <v>86</v>
      </c>
      <c r="C63" s="6" t="s">
        <v>2142</v>
      </c>
      <c r="D63" s="6" t="s">
        <v>2151</v>
      </c>
      <c r="E63" s="6" t="s">
        <v>266</v>
      </c>
      <c r="F63" s="7" t="s">
        <v>402</v>
      </c>
    </row>
    <row r="64" spans="1:6" x14ac:dyDescent="0.2">
      <c r="A64" s="6">
        <v>64</v>
      </c>
      <c r="B64" s="6" t="s">
        <v>87</v>
      </c>
      <c r="C64" s="6" t="s">
        <v>219</v>
      </c>
      <c r="D64" s="6" t="s">
        <v>2156</v>
      </c>
      <c r="E64" s="6" t="s">
        <v>262</v>
      </c>
      <c r="F64" s="7" t="s">
        <v>403</v>
      </c>
    </row>
    <row r="65" spans="1:20" x14ac:dyDescent="0.2">
      <c r="A65" s="3">
        <v>65</v>
      </c>
      <c r="B65" s="3" t="s">
        <v>88</v>
      </c>
      <c r="C65" s="3" t="s">
        <v>219</v>
      </c>
      <c r="D65" s="3" t="s">
        <v>1777</v>
      </c>
      <c r="E65" s="3" t="s">
        <v>262</v>
      </c>
      <c r="F65" s="4" t="s">
        <v>404</v>
      </c>
    </row>
    <row r="66" spans="1:20" x14ac:dyDescent="0.2">
      <c r="A66" s="6">
        <v>66</v>
      </c>
      <c r="B66" s="6" t="s">
        <v>89</v>
      </c>
      <c r="C66" s="6" t="s">
        <v>2140</v>
      </c>
      <c r="D66" s="6" t="s">
        <v>2143</v>
      </c>
      <c r="E66" s="6" t="s">
        <v>267</v>
      </c>
      <c r="F66" s="7" t="s">
        <v>405</v>
      </c>
    </row>
    <row r="67" spans="1:20" x14ac:dyDescent="0.2">
      <c r="A67" s="6">
        <v>67</v>
      </c>
      <c r="B67" s="6" t="s">
        <v>90</v>
      </c>
      <c r="C67" s="6" t="s">
        <v>2142</v>
      </c>
      <c r="D67" s="6" t="s">
        <v>2151</v>
      </c>
      <c r="E67" s="6" t="s">
        <v>268</v>
      </c>
      <c r="F67" s="7" t="s">
        <v>406</v>
      </c>
    </row>
    <row r="68" spans="1:20" x14ac:dyDescent="0.2">
      <c r="A68" s="3">
        <v>68</v>
      </c>
      <c r="B68" s="3" t="s">
        <v>91</v>
      </c>
      <c r="C68" s="3" t="s">
        <v>219</v>
      </c>
      <c r="D68" s="3" t="s">
        <v>1777</v>
      </c>
      <c r="E68" s="3" t="s">
        <v>269</v>
      </c>
      <c r="F68" s="4" t="s">
        <v>407</v>
      </c>
    </row>
    <row r="69" spans="1:20" x14ac:dyDescent="0.2">
      <c r="A69" s="6">
        <v>69</v>
      </c>
      <c r="B69" s="6" t="s">
        <v>92</v>
      </c>
      <c r="C69" s="6" t="s">
        <v>2142</v>
      </c>
      <c r="D69" s="6" t="s">
        <v>2151</v>
      </c>
      <c r="E69" s="6" t="s">
        <v>270</v>
      </c>
      <c r="F69" s="7" t="s">
        <v>408</v>
      </c>
    </row>
    <row r="70" spans="1:20" x14ac:dyDescent="0.2">
      <c r="A70" s="6">
        <v>70</v>
      </c>
      <c r="B70" s="6" t="s">
        <v>93</v>
      </c>
      <c r="C70" s="6" t="s">
        <v>2145</v>
      </c>
      <c r="D70" s="6" t="s">
        <v>2146</v>
      </c>
      <c r="E70" s="6" t="s">
        <v>262</v>
      </c>
      <c r="F70" s="7" t="s">
        <v>409</v>
      </c>
    </row>
    <row r="71" spans="1:20" x14ac:dyDescent="0.2">
      <c r="A71" s="6">
        <v>71</v>
      </c>
      <c r="B71" s="6" t="s">
        <v>94</v>
      </c>
      <c r="C71" s="6" t="s">
        <v>2145</v>
      </c>
      <c r="D71" s="6" t="s">
        <v>2160</v>
      </c>
      <c r="E71" s="6" t="s">
        <v>262</v>
      </c>
      <c r="F71" s="7" t="s">
        <v>410</v>
      </c>
    </row>
    <row r="72" spans="1:20" x14ac:dyDescent="0.2">
      <c r="A72" s="3">
        <v>72</v>
      </c>
      <c r="B72" s="3" t="s">
        <v>95</v>
      </c>
      <c r="C72" s="3" t="s">
        <v>219</v>
      </c>
      <c r="D72" s="3" t="s">
        <v>1777</v>
      </c>
      <c r="E72" s="3" t="s">
        <v>262</v>
      </c>
      <c r="F72" s="4" t="s">
        <v>411</v>
      </c>
    </row>
    <row r="73" spans="1:20" x14ac:dyDescent="0.2">
      <c r="A73" s="3">
        <v>73</v>
      </c>
      <c r="B73" s="3" t="s">
        <v>96</v>
      </c>
      <c r="C73" s="3" t="s">
        <v>219</v>
      </c>
      <c r="D73" s="3" t="s">
        <v>1777</v>
      </c>
      <c r="E73" s="3" t="s">
        <v>262</v>
      </c>
      <c r="F73" s="4" t="s">
        <v>412</v>
      </c>
      <c r="J73" s="17"/>
      <c r="L73" s="17"/>
      <c r="R73" s="17"/>
      <c r="T73" s="17"/>
    </row>
    <row r="74" spans="1:20" x14ac:dyDescent="0.2">
      <c r="A74" s="6">
        <v>74</v>
      </c>
      <c r="B74" s="6" t="s">
        <v>97</v>
      </c>
      <c r="C74" s="6" t="s">
        <v>2145</v>
      </c>
      <c r="D74" s="6" t="s">
        <v>2146</v>
      </c>
      <c r="E74" s="6" t="s">
        <v>262</v>
      </c>
      <c r="F74" s="7" t="s">
        <v>413</v>
      </c>
    </row>
    <row r="75" spans="1:20" x14ac:dyDescent="0.2">
      <c r="A75" s="6">
        <v>75</v>
      </c>
      <c r="B75" s="6" t="s">
        <v>98</v>
      </c>
      <c r="C75" s="6" t="s">
        <v>2145</v>
      </c>
      <c r="D75" s="6" t="s">
        <v>2146</v>
      </c>
      <c r="E75" s="6" t="s">
        <v>262</v>
      </c>
      <c r="F75" s="7" t="s">
        <v>414</v>
      </c>
    </row>
    <row r="76" spans="1:20" x14ac:dyDescent="0.2">
      <c r="A76" s="6">
        <v>76</v>
      </c>
      <c r="B76" s="6" t="s">
        <v>99</v>
      </c>
      <c r="C76" s="6" t="s">
        <v>2145</v>
      </c>
      <c r="D76" s="6" t="s">
        <v>2160</v>
      </c>
      <c r="E76" s="6" t="s">
        <v>262</v>
      </c>
      <c r="F76" s="7" t="s">
        <v>415</v>
      </c>
    </row>
    <row r="77" spans="1:20" x14ac:dyDescent="0.2">
      <c r="A77" s="6">
        <v>77</v>
      </c>
      <c r="B77" s="6" t="s">
        <v>100</v>
      </c>
      <c r="C77" s="6" t="s">
        <v>2142</v>
      </c>
      <c r="D77" s="6" t="s">
        <v>2151</v>
      </c>
      <c r="E77" s="6" t="s">
        <v>271</v>
      </c>
      <c r="F77" s="7" t="s">
        <v>416</v>
      </c>
    </row>
    <row r="78" spans="1:20" x14ac:dyDescent="0.2">
      <c r="A78" s="6">
        <v>78</v>
      </c>
      <c r="B78" s="6" t="s">
        <v>101</v>
      </c>
      <c r="C78" s="6" t="s">
        <v>2142</v>
      </c>
      <c r="D78" s="6" t="s">
        <v>2143</v>
      </c>
      <c r="E78" s="6" t="s">
        <v>272</v>
      </c>
      <c r="F78" s="7" t="s">
        <v>417</v>
      </c>
    </row>
    <row r="79" spans="1:20" x14ac:dyDescent="0.2">
      <c r="A79" s="6">
        <v>79</v>
      </c>
      <c r="B79" s="6" t="s">
        <v>102</v>
      </c>
      <c r="C79" s="6" t="s">
        <v>2140</v>
      </c>
      <c r="D79" s="6" t="s">
        <v>2141</v>
      </c>
      <c r="E79" s="6" t="s">
        <v>273</v>
      </c>
      <c r="F79" s="7" t="s">
        <v>418</v>
      </c>
    </row>
    <row r="80" spans="1:20" x14ac:dyDescent="0.2">
      <c r="A80" s="6">
        <v>80</v>
      </c>
      <c r="B80" s="6" t="s">
        <v>103</v>
      </c>
      <c r="C80" s="6" t="s">
        <v>2140</v>
      </c>
      <c r="D80" s="6" t="s">
        <v>2154</v>
      </c>
      <c r="E80" s="6" t="s">
        <v>274</v>
      </c>
      <c r="F80" s="7" t="s">
        <v>419</v>
      </c>
    </row>
    <row r="81" spans="1:6" x14ac:dyDescent="0.2">
      <c r="A81" s="6">
        <v>81</v>
      </c>
      <c r="B81" s="6" t="s">
        <v>104</v>
      </c>
      <c r="C81" s="6" t="s">
        <v>2140</v>
      </c>
      <c r="D81" s="6" t="s">
        <v>2159</v>
      </c>
      <c r="E81" s="6" t="s">
        <v>275</v>
      </c>
      <c r="F81" s="7" t="s">
        <v>365</v>
      </c>
    </row>
    <row r="82" spans="1:6" x14ac:dyDescent="0.2">
      <c r="A82" s="6">
        <v>82</v>
      </c>
      <c r="B82" s="6" t="s">
        <v>105</v>
      </c>
      <c r="C82" s="6" t="s">
        <v>2140</v>
      </c>
      <c r="D82" s="6" t="s">
        <v>2162</v>
      </c>
      <c r="E82" s="6" t="s">
        <v>262</v>
      </c>
      <c r="F82" s="7" t="s">
        <v>420</v>
      </c>
    </row>
    <row r="83" spans="1:6" x14ac:dyDescent="0.2">
      <c r="A83" s="6">
        <v>83</v>
      </c>
      <c r="B83" s="6" t="s">
        <v>106</v>
      </c>
      <c r="C83" s="6" t="s">
        <v>2142</v>
      </c>
      <c r="D83" s="6" t="s">
        <v>2151</v>
      </c>
      <c r="E83" s="6" t="s">
        <v>276</v>
      </c>
      <c r="F83" s="7" t="s">
        <v>421</v>
      </c>
    </row>
    <row r="84" spans="1:6" x14ac:dyDescent="0.2">
      <c r="A84" s="6">
        <v>84</v>
      </c>
      <c r="B84" s="6" t="s">
        <v>107</v>
      </c>
      <c r="C84" s="6" t="s">
        <v>2140</v>
      </c>
      <c r="D84" s="6" t="s">
        <v>2163</v>
      </c>
      <c r="E84" s="6" t="s">
        <v>277</v>
      </c>
      <c r="F84" s="7" t="s">
        <v>422</v>
      </c>
    </row>
    <row r="85" spans="1:6" x14ac:dyDescent="0.2">
      <c r="A85" s="6">
        <v>85</v>
      </c>
      <c r="B85" s="6" t="s">
        <v>108</v>
      </c>
      <c r="C85" s="6" t="s">
        <v>2142</v>
      </c>
      <c r="D85" s="6" t="s">
        <v>2151</v>
      </c>
      <c r="E85" s="6" t="s">
        <v>278</v>
      </c>
      <c r="F85" s="7" t="s">
        <v>423</v>
      </c>
    </row>
    <row r="86" spans="1:6" x14ac:dyDescent="0.2">
      <c r="A86" s="6">
        <v>86</v>
      </c>
      <c r="B86" s="6" t="s">
        <v>109</v>
      </c>
      <c r="C86" s="6" t="s">
        <v>2145</v>
      </c>
      <c r="D86" s="6" t="s">
        <v>2146</v>
      </c>
      <c r="E86" s="6" t="s">
        <v>262</v>
      </c>
      <c r="F86" s="7" t="s">
        <v>424</v>
      </c>
    </row>
    <row r="87" spans="1:6" x14ac:dyDescent="0.2">
      <c r="A87" s="6">
        <v>87</v>
      </c>
      <c r="B87" s="6" t="s">
        <v>110</v>
      </c>
      <c r="C87" s="6" t="s">
        <v>2140</v>
      </c>
      <c r="D87" s="6" t="s">
        <v>2164</v>
      </c>
      <c r="E87" s="6" t="s">
        <v>279</v>
      </c>
      <c r="F87" s="7" t="s">
        <v>425</v>
      </c>
    </row>
    <row r="88" spans="1:6" x14ac:dyDescent="0.2">
      <c r="A88" s="6">
        <v>88</v>
      </c>
      <c r="B88" s="6" t="s">
        <v>111</v>
      </c>
      <c r="C88" s="6" t="s">
        <v>2140</v>
      </c>
      <c r="D88" s="6" t="s">
        <v>2162</v>
      </c>
      <c r="E88" s="6" t="s">
        <v>280</v>
      </c>
      <c r="F88" s="7" t="s">
        <v>426</v>
      </c>
    </row>
    <row r="89" spans="1:6" x14ac:dyDescent="0.2">
      <c r="A89" s="6">
        <v>89</v>
      </c>
      <c r="B89" s="6" t="s">
        <v>112</v>
      </c>
      <c r="C89" s="6" t="s">
        <v>2140</v>
      </c>
      <c r="D89" s="6" t="s">
        <v>2159</v>
      </c>
      <c r="E89" s="6" t="s">
        <v>281</v>
      </c>
      <c r="F89" s="7" t="s">
        <v>427</v>
      </c>
    </row>
    <row r="90" spans="1:6" x14ac:dyDescent="0.2">
      <c r="A90" s="6">
        <v>90</v>
      </c>
      <c r="B90" s="6" t="s">
        <v>113</v>
      </c>
      <c r="C90" s="6" t="s">
        <v>219</v>
      </c>
      <c r="D90" s="6" t="s">
        <v>2155</v>
      </c>
      <c r="E90" s="6" t="s">
        <v>282</v>
      </c>
      <c r="F90" s="7" t="s">
        <v>428</v>
      </c>
    </row>
    <row r="91" spans="1:6" x14ac:dyDescent="0.2">
      <c r="A91" s="6">
        <v>91</v>
      </c>
      <c r="B91" s="6" t="s">
        <v>114</v>
      </c>
      <c r="C91" s="6" t="s">
        <v>2149</v>
      </c>
      <c r="D91" s="6" t="s">
        <v>2150</v>
      </c>
      <c r="E91" s="6" t="s">
        <v>262</v>
      </c>
      <c r="F91" s="7" t="s">
        <v>429</v>
      </c>
    </row>
    <row r="92" spans="1:6" x14ac:dyDescent="0.2">
      <c r="A92" s="6">
        <v>92</v>
      </c>
      <c r="B92" s="6" t="s">
        <v>115</v>
      </c>
      <c r="C92" s="6" t="s">
        <v>2140</v>
      </c>
      <c r="D92" s="6" t="s">
        <v>2152</v>
      </c>
      <c r="E92" s="6" t="s">
        <v>283</v>
      </c>
      <c r="F92" s="7" t="s">
        <v>430</v>
      </c>
    </row>
    <row r="93" spans="1:6" x14ac:dyDescent="0.2">
      <c r="A93" s="6">
        <v>93</v>
      </c>
      <c r="B93" s="6" t="s">
        <v>116</v>
      </c>
      <c r="C93" s="6" t="s">
        <v>2140</v>
      </c>
      <c r="D93" s="6" t="s">
        <v>2159</v>
      </c>
      <c r="E93" s="6" t="s">
        <v>284</v>
      </c>
      <c r="F93" s="7" t="s">
        <v>431</v>
      </c>
    </row>
    <row r="94" spans="1:6" x14ac:dyDescent="0.2">
      <c r="A94" s="6">
        <v>94</v>
      </c>
      <c r="B94" s="6" t="s">
        <v>117</v>
      </c>
      <c r="C94" s="6" t="s">
        <v>2140</v>
      </c>
      <c r="D94" s="6" t="s">
        <v>2154</v>
      </c>
      <c r="E94" s="6" t="s">
        <v>262</v>
      </c>
      <c r="F94" s="7" t="s">
        <v>432</v>
      </c>
    </row>
    <row r="95" spans="1:6" x14ac:dyDescent="0.2">
      <c r="A95" s="6">
        <v>95</v>
      </c>
      <c r="B95" s="6" t="s">
        <v>118</v>
      </c>
      <c r="C95" s="6" t="s">
        <v>2142</v>
      </c>
      <c r="D95" s="6" t="s">
        <v>2151</v>
      </c>
      <c r="E95" s="6" t="s">
        <v>285</v>
      </c>
      <c r="F95" s="7" t="s">
        <v>433</v>
      </c>
    </row>
    <row r="96" spans="1:6" x14ac:dyDescent="0.2">
      <c r="A96" s="6">
        <v>96</v>
      </c>
      <c r="B96" s="6" t="s">
        <v>119</v>
      </c>
      <c r="C96" s="6" t="s">
        <v>2140</v>
      </c>
      <c r="D96" s="6" t="s">
        <v>2162</v>
      </c>
      <c r="E96" s="6" t="s">
        <v>286</v>
      </c>
      <c r="F96" s="7" t="s">
        <v>434</v>
      </c>
    </row>
    <row r="97" spans="1:12" x14ac:dyDescent="0.2">
      <c r="A97" s="1">
        <v>97</v>
      </c>
      <c r="B97" s="1" t="s">
        <v>120</v>
      </c>
      <c r="C97" s="1" t="s">
        <v>219</v>
      </c>
      <c r="D97" s="1" t="s">
        <v>220</v>
      </c>
      <c r="E97" s="1" t="s">
        <v>1914</v>
      </c>
      <c r="F97" s="2" t="s">
        <v>1915</v>
      </c>
    </row>
    <row r="98" spans="1:12" x14ac:dyDescent="0.2">
      <c r="A98" s="3">
        <v>98</v>
      </c>
      <c r="B98" s="3" t="s">
        <v>121</v>
      </c>
      <c r="C98" s="3" t="s">
        <v>219</v>
      </c>
      <c r="D98" s="3" t="s">
        <v>1777</v>
      </c>
      <c r="E98" s="3" t="s">
        <v>262</v>
      </c>
      <c r="F98" s="4" t="s">
        <v>436</v>
      </c>
    </row>
    <row r="99" spans="1:12" x14ac:dyDescent="0.2">
      <c r="A99" s="6">
        <v>99</v>
      </c>
      <c r="B99" s="6" t="s">
        <v>122</v>
      </c>
      <c r="C99" s="6" t="s">
        <v>219</v>
      </c>
      <c r="D99" s="6" t="s">
        <v>2144</v>
      </c>
      <c r="E99" s="6" t="s">
        <v>262</v>
      </c>
      <c r="F99" s="7" t="s">
        <v>437</v>
      </c>
      <c r="H99" s="17"/>
      <c r="J99" s="17"/>
      <c r="L99" s="17"/>
    </row>
    <row r="100" spans="1:12" x14ac:dyDescent="0.2">
      <c r="A100" s="6">
        <v>100</v>
      </c>
      <c r="B100" s="6" t="s">
        <v>123</v>
      </c>
      <c r="C100" s="6" t="s">
        <v>2142</v>
      </c>
      <c r="D100" s="6" t="s">
        <v>2143</v>
      </c>
      <c r="E100" s="6" t="s">
        <v>287</v>
      </c>
      <c r="F100" s="7" t="s">
        <v>438</v>
      </c>
    </row>
    <row r="101" spans="1:12" x14ac:dyDescent="0.2">
      <c r="A101" s="6">
        <v>101</v>
      </c>
      <c r="B101" s="6" t="s">
        <v>124</v>
      </c>
      <c r="C101" s="6" t="s">
        <v>2142</v>
      </c>
      <c r="D101" s="6" t="s">
        <v>2151</v>
      </c>
      <c r="E101" s="6" t="s">
        <v>288</v>
      </c>
      <c r="F101" s="7" t="s">
        <v>439</v>
      </c>
    </row>
    <row r="102" spans="1:12" x14ac:dyDescent="0.2">
      <c r="A102" s="6">
        <v>102</v>
      </c>
      <c r="B102" s="6" t="s">
        <v>125</v>
      </c>
      <c r="C102" s="6" t="s">
        <v>2142</v>
      </c>
      <c r="D102" s="6" t="s">
        <v>2151</v>
      </c>
      <c r="E102" s="6" t="s">
        <v>289</v>
      </c>
      <c r="F102" s="7" t="s">
        <v>440</v>
      </c>
    </row>
    <row r="103" spans="1:12" x14ac:dyDescent="0.2">
      <c r="A103" s="1">
        <v>103</v>
      </c>
      <c r="B103" s="1" t="s">
        <v>126</v>
      </c>
      <c r="C103" s="1" t="s">
        <v>219</v>
      </c>
      <c r="D103" s="1" t="s">
        <v>220</v>
      </c>
      <c r="E103" s="1" t="s">
        <v>1942</v>
      </c>
      <c r="F103" s="2" t="s">
        <v>1943</v>
      </c>
    </row>
    <row r="104" spans="1:12" x14ac:dyDescent="0.2">
      <c r="A104" s="1">
        <v>104</v>
      </c>
      <c r="B104" s="1" t="s">
        <v>127</v>
      </c>
      <c r="C104" s="1" t="s">
        <v>219</v>
      </c>
      <c r="D104" s="1" t="s">
        <v>220</v>
      </c>
      <c r="E104" s="1" t="s">
        <v>1958</v>
      </c>
      <c r="F104" s="2" t="s">
        <v>2073</v>
      </c>
    </row>
    <row r="105" spans="1:12" x14ac:dyDescent="0.2">
      <c r="A105" s="6">
        <v>105</v>
      </c>
      <c r="B105" s="6" t="s">
        <v>128</v>
      </c>
      <c r="C105" s="6" t="s">
        <v>2140</v>
      </c>
      <c r="D105" s="6" t="s">
        <v>2154</v>
      </c>
      <c r="E105" s="6" t="s">
        <v>291</v>
      </c>
      <c r="F105" s="7" t="s">
        <v>443</v>
      </c>
    </row>
    <row r="106" spans="1:12" x14ac:dyDescent="0.2">
      <c r="A106" s="6">
        <v>106</v>
      </c>
      <c r="B106" s="6" t="s">
        <v>129</v>
      </c>
      <c r="C106" s="6" t="s">
        <v>2140</v>
      </c>
      <c r="D106" s="6" t="s">
        <v>2141</v>
      </c>
      <c r="E106" s="6" t="s">
        <v>292</v>
      </c>
      <c r="F106" s="7" t="s">
        <v>444</v>
      </c>
    </row>
    <row r="107" spans="1:12" x14ac:dyDescent="0.2">
      <c r="A107" s="6">
        <v>107</v>
      </c>
      <c r="B107" s="6" t="s">
        <v>130</v>
      </c>
      <c r="C107" s="6" t="s">
        <v>219</v>
      </c>
      <c r="D107" s="6" t="s">
        <v>1777</v>
      </c>
      <c r="E107" s="6" t="s">
        <v>262</v>
      </c>
      <c r="F107" s="7" t="s">
        <v>445</v>
      </c>
    </row>
    <row r="108" spans="1:12" x14ac:dyDescent="0.2">
      <c r="A108" s="6">
        <v>108</v>
      </c>
      <c r="B108" s="6" t="s">
        <v>131</v>
      </c>
      <c r="C108" s="6" t="s">
        <v>2142</v>
      </c>
      <c r="D108" s="6" t="s">
        <v>2151</v>
      </c>
      <c r="E108" s="6" t="s">
        <v>293</v>
      </c>
      <c r="F108" s="7" t="s">
        <v>446</v>
      </c>
    </row>
    <row r="109" spans="1:12" x14ac:dyDescent="0.2">
      <c r="A109" s="6">
        <v>109</v>
      </c>
      <c r="B109" s="6" t="s">
        <v>132</v>
      </c>
      <c r="C109" s="6" t="s">
        <v>2149</v>
      </c>
      <c r="D109" s="6" t="s">
        <v>2150</v>
      </c>
      <c r="E109" s="6" t="s">
        <v>262</v>
      </c>
      <c r="F109" s="7" t="s">
        <v>447</v>
      </c>
    </row>
    <row r="110" spans="1:12" x14ac:dyDescent="0.2">
      <c r="A110" s="6">
        <v>110</v>
      </c>
      <c r="B110" s="6" t="s">
        <v>133</v>
      </c>
      <c r="C110" s="6" t="s">
        <v>219</v>
      </c>
      <c r="D110" s="6" t="s">
        <v>2144</v>
      </c>
      <c r="E110" s="6" t="s">
        <v>262</v>
      </c>
      <c r="F110" s="7" t="s">
        <v>448</v>
      </c>
    </row>
    <row r="111" spans="1:12" x14ac:dyDescent="0.2">
      <c r="A111" s="1">
        <v>111</v>
      </c>
      <c r="B111" s="1" t="s">
        <v>134</v>
      </c>
      <c r="C111" s="1" t="s">
        <v>219</v>
      </c>
      <c r="D111" s="1" t="s">
        <v>220</v>
      </c>
      <c r="E111" s="1" t="s">
        <v>1974</v>
      </c>
      <c r="F111" s="2" t="s">
        <v>2075</v>
      </c>
    </row>
    <row r="112" spans="1:12" x14ac:dyDescent="0.2">
      <c r="A112" s="6">
        <v>112</v>
      </c>
      <c r="B112" s="6" t="s">
        <v>135</v>
      </c>
      <c r="C112" s="6" t="s">
        <v>2145</v>
      </c>
      <c r="D112" s="6" t="s">
        <v>2157</v>
      </c>
      <c r="E112" s="6" t="s">
        <v>295</v>
      </c>
      <c r="F112" s="7" t="s">
        <v>450</v>
      </c>
    </row>
    <row r="113" spans="1:12" x14ac:dyDescent="0.2">
      <c r="A113" s="6">
        <v>113</v>
      </c>
      <c r="B113" s="6" t="s">
        <v>136</v>
      </c>
      <c r="C113" s="6" t="s">
        <v>2149</v>
      </c>
      <c r="D113" s="6" t="s">
        <v>2150</v>
      </c>
      <c r="E113" s="6" t="s">
        <v>262</v>
      </c>
      <c r="F113" s="7" t="s">
        <v>365</v>
      </c>
    </row>
    <row r="114" spans="1:12" x14ac:dyDescent="0.2">
      <c r="A114" s="6">
        <v>114</v>
      </c>
      <c r="B114" s="6" t="s">
        <v>137</v>
      </c>
      <c r="C114" s="6" t="s">
        <v>2142</v>
      </c>
      <c r="D114" s="6" t="s">
        <v>2143</v>
      </c>
      <c r="E114" s="6" t="s">
        <v>296</v>
      </c>
      <c r="F114" s="7" t="s">
        <v>451</v>
      </c>
    </row>
    <row r="115" spans="1:12" x14ac:dyDescent="0.2">
      <c r="A115" s="6">
        <v>115</v>
      </c>
      <c r="B115" s="6" t="s">
        <v>138</v>
      </c>
      <c r="C115" s="6" t="s">
        <v>2140</v>
      </c>
      <c r="D115" s="6" t="s">
        <v>2159</v>
      </c>
      <c r="E115" s="6" t="s">
        <v>297</v>
      </c>
      <c r="F115" s="7" t="s">
        <v>452</v>
      </c>
    </row>
    <row r="116" spans="1:12" x14ac:dyDescent="0.2">
      <c r="A116" s="6">
        <v>116</v>
      </c>
      <c r="B116" s="6" t="s">
        <v>139</v>
      </c>
      <c r="C116" s="6" t="s">
        <v>2142</v>
      </c>
      <c r="D116" s="6" t="s">
        <v>2143</v>
      </c>
      <c r="E116" s="6" t="s">
        <v>298</v>
      </c>
      <c r="F116" s="7" t="s">
        <v>453</v>
      </c>
    </row>
    <row r="117" spans="1:12" x14ac:dyDescent="0.2">
      <c r="A117" s="6">
        <v>117</v>
      </c>
      <c r="B117" s="6" t="s">
        <v>140</v>
      </c>
      <c r="C117" s="6" t="s">
        <v>219</v>
      </c>
      <c r="D117" s="6" t="s">
        <v>2144</v>
      </c>
      <c r="E117" s="6" t="s">
        <v>299</v>
      </c>
      <c r="F117" s="7" t="s">
        <v>454</v>
      </c>
    </row>
    <row r="118" spans="1:12" x14ac:dyDescent="0.2">
      <c r="A118" s="1">
        <v>118</v>
      </c>
      <c r="B118" s="1" t="s">
        <v>141</v>
      </c>
      <c r="C118" s="1" t="s">
        <v>219</v>
      </c>
      <c r="D118" s="1" t="s">
        <v>220</v>
      </c>
      <c r="E118" s="1" t="s">
        <v>1985</v>
      </c>
      <c r="F118" s="2" t="s">
        <v>1986</v>
      </c>
    </row>
    <row r="119" spans="1:12" x14ac:dyDescent="0.2">
      <c r="A119" s="6">
        <v>119</v>
      </c>
      <c r="B119" s="6" t="s">
        <v>142</v>
      </c>
      <c r="C119" s="6" t="s">
        <v>2140</v>
      </c>
      <c r="D119" s="6" t="s">
        <v>2154</v>
      </c>
      <c r="E119" s="6" t="s">
        <v>262</v>
      </c>
      <c r="F119" s="7" t="s">
        <v>456</v>
      </c>
    </row>
    <row r="120" spans="1:12" x14ac:dyDescent="0.2">
      <c r="A120" s="1">
        <v>120</v>
      </c>
      <c r="B120" s="1" t="s">
        <v>143</v>
      </c>
      <c r="C120" s="1" t="s">
        <v>219</v>
      </c>
      <c r="D120" s="1" t="s">
        <v>220</v>
      </c>
      <c r="E120" s="1" t="s">
        <v>1996</v>
      </c>
      <c r="F120" s="2" t="s">
        <v>1997</v>
      </c>
    </row>
    <row r="121" spans="1:12" x14ac:dyDescent="0.2">
      <c r="A121" s="6">
        <v>121</v>
      </c>
      <c r="B121" s="6" t="s">
        <v>144</v>
      </c>
      <c r="C121" s="6" t="s">
        <v>2149</v>
      </c>
      <c r="D121" s="6" t="s">
        <v>2150</v>
      </c>
      <c r="E121" s="6" t="s">
        <v>262</v>
      </c>
      <c r="F121" s="7" t="s">
        <v>458</v>
      </c>
    </row>
    <row r="122" spans="1:12" x14ac:dyDescent="0.2">
      <c r="A122" s="6">
        <v>122</v>
      </c>
      <c r="B122" s="6" t="s">
        <v>145</v>
      </c>
      <c r="C122" s="6" t="s">
        <v>2140</v>
      </c>
      <c r="D122" s="6" t="s">
        <v>2141</v>
      </c>
      <c r="E122" s="6" t="s">
        <v>301</v>
      </c>
      <c r="F122" s="7" t="s">
        <v>459</v>
      </c>
    </row>
    <row r="123" spans="1:12" x14ac:dyDescent="0.2">
      <c r="A123" s="6">
        <v>123</v>
      </c>
      <c r="B123" s="6" t="s">
        <v>146</v>
      </c>
      <c r="C123" s="6" t="s">
        <v>2142</v>
      </c>
      <c r="D123" s="6" t="s">
        <v>2151</v>
      </c>
      <c r="E123" s="6" t="s">
        <v>302</v>
      </c>
      <c r="F123" s="7" t="s">
        <v>460</v>
      </c>
    </row>
    <row r="124" spans="1:12" x14ac:dyDescent="0.2">
      <c r="A124" s="6">
        <v>124</v>
      </c>
      <c r="B124" s="6" t="s">
        <v>147</v>
      </c>
      <c r="C124" s="6" t="s">
        <v>2149</v>
      </c>
      <c r="D124" s="6" t="s">
        <v>2150</v>
      </c>
      <c r="E124" s="6" t="s">
        <v>303</v>
      </c>
      <c r="F124" s="7" t="s">
        <v>461</v>
      </c>
    </row>
    <row r="125" spans="1:12" x14ac:dyDescent="0.2">
      <c r="A125" s="6">
        <v>125</v>
      </c>
      <c r="B125" s="6" t="s">
        <v>148</v>
      </c>
      <c r="C125" s="6" t="s">
        <v>2145</v>
      </c>
      <c r="D125" s="6" t="s">
        <v>2160</v>
      </c>
      <c r="E125" s="6" t="s">
        <v>262</v>
      </c>
      <c r="F125" s="7" t="s">
        <v>462</v>
      </c>
    </row>
    <row r="126" spans="1:12" x14ac:dyDescent="0.2">
      <c r="A126" s="6">
        <v>126</v>
      </c>
      <c r="B126" s="6" t="s">
        <v>149</v>
      </c>
      <c r="C126" s="6" t="s">
        <v>219</v>
      </c>
      <c r="D126" s="6" t="s">
        <v>1777</v>
      </c>
      <c r="E126" s="6" t="s">
        <v>262</v>
      </c>
      <c r="F126" s="7" t="s">
        <v>463</v>
      </c>
      <c r="H126" s="17"/>
      <c r="L126" s="17"/>
    </row>
    <row r="127" spans="1:12" x14ac:dyDescent="0.2">
      <c r="A127" s="3">
        <v>127</v>
      </c>
      <c r="B127" s="3" t="s">
        <v>150</v>
      </c>
      <c r="C127" s="3" t="s">
        <v>219</v>
      </c>
      <c r="D127" s="3" t="s">
        <v>1777</v>
      </c>
      <c r="E127" s="3" t="s">
        <v>304</v>
      </c>
      <c r="F127" s="4" t="s">
        <v>464</v>
      </c>
    </row>
    <row r="128" spans="1:12" x14ac:dyDescent="0.2">
      <c r="A128" s="6">
        <v>128</v>
      </c>
      <c r="B128" s="6" t="s">
        <v>151</v>
      </c>
      <c r="C128" s="6" t="s">
        <v>2142</v>
      </c>
      <c r="D128" s="6" t="s">
        <v>2143</v>
      </c>
      <c r="E128" s="6" t="s">
        <v>305</v>
      </c>
      <c r="F128" s="7" t="s">
        <v>465</v>
      </c>
    </row>
    <row r="129" spans="1:6" x14ac:dyDescent="0.2">
      <c r="A129" s="6">
        <v>129</v>
      </c>
      <c r="B129" s="6" t="s">
        <v>152</v>
      </c>
      <c r="C129" s="6" t="s">
        <v>2142</v>
      </c>
      <c r="D129" s="6" t="s">
        <v>2143</v>
      </c>
      <c r="E129" s="6" t="s">
        <v>306</v>
      </c>
      <c r="F129" s="7" t="s">
        <v>466</v>
      </c>
    </row>
    <row r="130" spans="1:6" x14ac:dyDescent="0.2">
      <c r="A130" s="6">
        <v>130</v>
      </c>
      <c r="B130" s="6" t="s">
        <v>153</v>
      </c>
      <c r="C130" s="6" t="s">
        <v>2140</v>
      </c>
      <c r="D130" s="6" t="s">
        <v>2152</v>
      </c>
      <c r="E130" s="6" t="s">
        <v>307</v>
      </c>
      <c r="F130" s="7" t="s">
        <v>467</v>
      </c>
    </row>
    <row r="131" spans="1:6" x14ac:dyDescent="0.2">
      <c r="A131" s="6">
        <v>131</v>
      </c>
      <c r="B131" s="6" t="s">
        <v>154</v>
      </c>
      <c r="C131" s="6" t="s">
        <v>2140</v>
      </c>
      <c r="D131" s="6" t="s">
        <v>2141</v>
      </c>
      <c r="E131" s="6" t="s">
        <v>308</v>
      </c>
      <c r="F131" s="7" t="s">
        <v>468</v>
      </c>
    </row>
    <row r="132" spans="1:6" x14ac:dyDescent="0.2">
      <c r="A132" s="6">
        <v>132</v>
      </c>
      <c r="B132" s="6" t="s">
        <v>155</v>
      </c>
      <c r="C132" s="6" t="s">
        <v>2149</v>
      </c>
      <c r="D132" s="6" t="s">
        <v>2150</v>
      </c>
      <c r="E132" s="6" t="s">
        <v>262</v>
      </c>
      <c r="F132" s="7" t="s">
        <v>469</v>
      </c>
    </row>
    <row r="133" spans="1:6" x14ac:dyDescent="0.2">
      <c r="A133" s="6">
        <v>133</v>
      </c>
      <c r="B133" s="6" t="s">
        <v>156</v>
      </c>
      <c r="C133" s="6" t="s">
        <v>2145</v>
      </c>
      <c r="D133" s="6" t="s">
        <v>2160</v>
      </c>
      <c r="E133" s="6" t="s">
        <v>309</v>
      </c>
      <c r="F133" s="7" t="s">
        <v>470</v>
      </c>
    </row>
    <row r="134" spans="1:6" x14ac:dyDescent="0.2">
      <c r="A134" s="6">
        <v>134</v>
      </c>
      <c r="B134" s="6" t="s">
        <v>157</v>
      </c>
      <c r="C134" s="6" t="s">
        <v>2149</v>
      </c>
      <c r="D134" s="6" t="s">
        <v>2150</v>
      </c>
      <c r="E134" s="6" t="s">
        <v>262</v>
      </c>
      <c r="F134" s="7" t="s">
        <v>471</v>
      </c>
    </row>
    <row r="135" spans="1:6" x14ac:dyDescent="0.2">
      <c r="A135" s="6">
        <v>135</v>
      </c>
      <c r="B135" s="6" t="s">
        <v>158</v>
      </c>
      <c r="C135" s="6" t="s">
        <v>2145</v>
      </c>
      <c r="D135" s="6" t="s">
        <v>2147</v>
      </c>
      <c r="E135" s="6" t="s">
        <v>310</v>
      </c>
      <c r="F135" s="7" t="s">
        <v>472</v>
      </c>
    </row>
    <row r="136" spans="1:6" x14ac:dyDescent="0.2">
      <c r="A136" s="6">
        <v>136</v>
      </c>
      <c r="B136" s="6" t="s">
        <v>159</v>
      </c>
      <c r="C136" s="6" t="s">
        <v>2145</v>
      </c>
      <c r="D136" s="6" t="s">
        <v>2153</v>
      </c>
      <c r="E136" s="6" t="s">
        <v>311</v>
      </c>
      <c r="F136" s="7" t="s">
        <v>473</v>
      </c>
    </row>
    <row r="137" spans="1:6" x14ac:dyDescent="0.2">
      <c r="A137" s="6">
        <v>137</v>
      </c>
      <c r="B137" s="6" t="s">
        <v>160</v>
      </c>
      <c r="C137" s="6" t="s">
        <v>2140</v>
      </c>
      <c r="D137" s="6" t="s">
        <v>2154</v>
      </c>
      <c r="E137" s="6" t="s">
        <v>312</v>
      </c>
      <c r="F137" s="7" t="s">
        <v>474</v>
      </c>
    </row>
    <row r="138" spans="1:6" x14ac:dyDescent="0.2">
      <c r="A138" s="6">
        <v>138</v>
      </c>
      <c r="B138" s="6" t="s">
        <v>161</v>
      </c>
      <c r="C138" s="6" t="s">
        <v>2142</v>
      </c>
      <c r="D138" s="6" t="s">
        <v>2151</v>
      </c>
      <c r="E138" s="6" t="s">
        <v>313</v>
      </c>
      <c r="F138" s="7" t="s">
        <v>475</v>
      </c>
    </row>
    <row r="139" spans="1:6" x14ac:dyDescent="0.2">
      <c r="A139" s="6">
        <v>139</v>
      </c>
      <c r="B139" s="6" t="s">
        <v>162</v>
      </c>
      <c r="C139" s="6" t="s">
        <v>2142</v>
      </c>
      <c r="D139" s="6" t="s">
        <v>2151</v>
      </c>
      <c r="E139" s="6" t="s">
        <v>314</v>
      </c>
      <c r="F139" s="7" t="s">
        <v>476</v>
      </c>
    </row>
    <row r="140" spans="1:6" x14ac:dyDescent="0.2">
      <c r="A140" s="6">
        <v>140</v>
      </c>
      <c r="B140" s="6" t="s">
        <v>163</v>
      </c>
      <c r="C140" s="6" t="s">
        <v>2140</v>
      </c>
      <c r="D140" s="6" t="s">
        <v>2152</v>
      </c>
      <c r="E140" s="6" t="s">
        <v>315</v>
      </c>
      <c r="F140" s="7" t="s">
        <v>477</v>
      </c>
    </row>
    <row r="141" spans="1:6" x14ac:dyDescent="0.2">
      <c r="A141" s="6">
        <v>141</v>
      </c>
      <c r="B141" s="6" t="s">
        <v>164</v>
      </c>
      <c r="C141" s="6" t="s">
        <v>2140</v>
      </c>
      <c r="D141" s="6" t="s">
        <v>2163</v>
      </c>
      <c r="E141" s="6" t="s">
        <v>316</v>
      </c>
      <c r="F141" s="7" t="s">
        <v>365</v>
      </c>
    </row>
    <row r="142" spans="1:6" x14ac:dyDescent="0.2">
      <c r="A142" s="6">
        <v>142</v>
      </c>
      <c r="B142" s="6" t="s">
        <v>165</v>
      </c>
      <c r="C142" s="6" t="s">
        <v>2142</v>
      </c>
      <c r="D142" s="6" t="s">
        <v>2143</v>
      </c>
      <c r="E142" s="6" t="s">
        <v>317</v>
      </c>
      <c r="F142" s="7" t="s">
        <v>478</v>
      </c>
    </row>
    <row r="143" spans="1:6" x14ac:dyDescent="0.2">
      <c r="A143" s="6">
        <v>143</v>
      </c>
      <c r="B143" s="6" t="s">
        <v>166</v>
      </c>
      <c r="C143" s="6" t="s">
        <v>2142</v>
      </c>
      <c r="D143" s="6" t="s">
        <v>2151</v>
      </c>
      <c r="E143" s="6" t="s">
        <v>318</v>
      </c>
      <c r="F143" s="7" t="s">
        <v>479</v>
      </c>
    </row>
    <row r="144" spans="1:6" x14ac:dyDescent="0.2">
      <c r="A144" s="6">
        <v>144</v>
      </c>
      <c r="B144" s="6" t="s">
        <v>167</v>
      </c>
      <c r="C144" s="6" t="s">
        <v>2142</v>
      </c>
      <c r="D144" s="6" t="s">
        <v>2148</v>
      </c>
      <c r="E144" s="6" t="s">
        <v>316</v>
      </c>
      <c r="F144" s="7" t="s">
        <v>480</v>
      </c>
    </row>
    <row r="145" spans="1:8" x14ac:dyDescent="0.2">
      <c r="A145" s="6">
        <v>145</v>
      </c>
      <c r="B145" s="6" t="s">
        <v>168</v>
      </c>
      <c r="C145" s="6" t="s">
        <v>219</v>
      </c>
      <c r="D145" s="6" t="s">
        <v>2155</v>
      </c>
      <c r="E145" s="6" t="s">
        <v>319</v>
      </c>
      <c r="F145" s="7" t="s">
        <v>481</v>
      </c>
    </row>
    <row r="146" spans="1:8" x14ac:dyDescent="0.2">
      <c r="A146" s="6">
        <v>146</v>
      </c>
      <c r="B146" s="6" t="s">
        <v>169</v>
      </c>
      <c r="C146" s="6" t="s">
        <v>2145</v>
      </c>
      <c r="D146" s="6" t="s">
        <v>2146</v>
      </c>
      <c r="E146" s="6" t="s">
        <v>262</v>
      </c>
      <c r="F146" s="7" t="s">
        <v>482</v>
      </c>
    </row>
    <row r="147" spans="1:8" x14ac:dyDescent="0.2">
      <c r="A147" s="6">
        <v>147</v>
      </c>
      <c r="B147" s="6" t="s">
        <v>170</v>
      </c>
      <c r="C147" s="6" t="s">
        <v>2145</v>
      </c>
      <c r="D147" s="6" t="s">
        <v>2146</v>
      </c>
      <c r="E147" s="6" t="s">
        <v>262</v>
      </c>
      <c r="F147" s="7" t="s">
        <v>483</v>
      </c>
    </row>
    <row r="148" spans="1:8" x14ac:dyDescent="0.2">
      <c r="A148" s="6">
        <v>148</v>
      </c>
      <c r="B148" s="6" t="s">
        <v>171</v>
      </c>
      <c r="C148" s="6" t="s">
        <v>2145</v>
      </c>
      <c r="D148" s="6" t="s">
        <v>2146</v>
      </c>
      <c r="E148" s="6" t="s">
        <v>262</v>
      </c>
      <c r="F148" s="7" t="s">
        <v>484</v>
      </c>
    </row>
    <row r="149" spans="1:8" x14ac:dyDescent="0.2">
      <c r="A149" s="6">
        <v>149</v>
      </c>
      <c r="B149" s="6" t="s">
        <v>172</v>
      </c>
      <c r="C149" s="6" t="s">
        <v>2149</v>
      </c>
      <c r="D149" s="6" t="s">
        <v>2150</v>
      </c>
      <c r="E149" s="6" t="s">
        <v>262</v>
      </c>
      <c r="F149" s="7" t="s">
        <v>485</v>
      </c>
    </row>
    <row r="150" spans="1:8" x14ac:dyDescent="0.2">
      <c r="A150" s="6">
        <v>150</v>
      </c>
      <c r="B150" s="6" t="s">
        <v>173</v>
      </c>
      <c r="C150" s="6" t="s">
        <v>2142</v>
      </c>
      <c r="D150" s="6" t="s">
        <v>2143</v>
      </c>
      <c r="E150" s="6" t="s">
        <v>320</v>
      </c>
      <c r="F150" s="7" t="s">
        <v>486</v>
      </c>
    </row>
    <row r="151" spans="1:8" x14ac:dyDescent="0.2">
      <c r="A151" s="6">
        <v>151</v>
      </c>
      <c r="B151" s="6" t="s">
        <v>174</v>
      </c>
      <c r="C151" s="6" t="s">
        <v>219</v>
      </c>
      <c r="D151" s="6" t="s">
        <v>2156</v>
      </c>
      <c r="E151" s="6" t="s">
        <v>262</v>
      </c>
      <c r="F151" s="7" t="s">
        <v>487</v>
      </c>
    </row>
    <row r="152" spans="1:8" x14ac:dyDescent="0.2">
      <c r="A152" s="6">
        <v>152</v>
      </c>
      <c r="B152" s="6" t="s">
        <v>175</v>
      </c>
      <c r="C152" s="6" t="s">
        <v>2140</v>
      </c>
      <c r="D152" s="6" t="s">
        <v>2152</v>
      </c>
      <c r="E152" s="6" t="s">
        <v>321</v>
      </c>
      <c r="F152" s="7" t="s">
        <v>488</v>
      </c>
      <c r="H152" s="17"/>
    </row>
    <row r="153" spans="1:8" x14ac:dyDescent="0.2">
      <c r="A153" s="3">
        <v>153</v>
      </c>
      <c r="B153" s="3" t="s">
        <v>176</v>
      </c>
      <c r="C153" s="3" t="s">
        <v>219</v>
      </c>
      <c r="D153" s="3" t="s">
        <v>1777</v>
      </c>
      <c r="E153" s="3" t="s">
        <v>322</v>
      </c>
      <c r="F153" s="4" t="s">
        <v>489</v>
      </c>
    </row>
    <row r="154" spans="1:8" x14ac:dyDescent="0.2">
      <c r="A154" s="6">
        <v>154</v>
      </c>
      <c r="B154" s="6" t="s">
        <v>177</v>
      </c>
      <c r="C154" s="6" t="s">
        <v>2142</v>
      </c>
      <c r="D154" s="6" t="s">
        <v>2143</v>
      </c>
      <c r="E154" s="6" t="s">
        <v>323</v>
      </c>
      <c r="F154" s="7" t="s">
        <v>490</v>
      </c>
    </row>
    <row r="155" spans="1:8" x14ac:dyDescent="0.2">
      <c r="A155" s="1">
        <v>155</v>
      </c>
      <c r="B155" s="1" t="s">
        <v>178</v>
      </c>
      <c r="C155" s="1" t="s">
        <v>219</v>
      </c>
      <c r="D155" s="1" t="s">
        <v>220</v>
      </c>
      <c r="E155" s="1" t="s">
        <v>2005</v>
      </c>
      <c r="F155" s="2" t="s">
        <v>2098</v>
      </c>
    </row>
    <row r="156" spans="1:8" x14ac:dyDescent="0.2">
      <c r="A156" s="3">
        <v>156</v>
      </c>
      <c r="B156" s="3" t="s">
        <v>179</v>
      </c>
      <c r="C156" s="3" t="s">
        <v>219</v>
      </c>
      <c r="D156" s="3" t="s">
        <v>1777</v>
      </c>
      <c r="E156" s="3" t="s">
        <v>262</v>
      </c>
      <c r="F156" s="4" t="s">
        <v>492</v>
      </c>
    </row>
    <row r="157" spans="1:8" x14ac:dyDescent="0.2">
      <c r="A157" s="6">
        <v>157</v>
      </c>
      <c r="B157" s="6" t="s">
        <v>180</v>
      </c>
      <c r="C157" s="6" t="s">
        <v>2140</v>
      </c>
      <c r="D157" s="6" t="s">
        <v>2154</v>
      </c>
      <c r="E157" s="6" t="s">
        <v>324</v>
      </c>
      <c r="F157" s="7" t="s">
        <v>493</v>
      </c>
    </row>
    <row r="158" spans="1:8" x14ac:dyDescent="0.2">
      <c r="A158" s="6">
        <v>158</v>
      </c>
      <c r="B158" s="6" t="s">
        <v>181</v>
      </c>
      <c r="C158" s="6" t="s">
        <v>2142</v>
      </c>
      <c r="D158" s="6" t="s">
        <v>2151</v>
      </c>
      <c r="E158" s="6" t="s">
        <v>325</v>
      </c>
      <c r="F158" s="7" t="s">
        <v>494</v>
      </c>
    </row>
    <row r="159" spans="1:8" x14ac:dyDescent="0.2">
      <c r="A159" s="6">
        <v>159</v>
      </c>
      <c r="B159" s="6" t="s">
        <v>182</v>
      </c>
      <c r="C159" s="6" t="s">
        <v>2142</v>
      </c>
      <c r="D159" s="6" t="s">
        <v>2151</v>
      </c>
      <c r="E159" s="6" t="s">
        <v>306</v>
      </c>
      <c r="F159" s="7" t="s">
        <v>495</v>
      </c>
    </row>
    <row r="160" spans="1:8" x14ac:dyDescent="0.2">
      <c r="A160" s="6">
        <v>160</v>
      </c>
      <c r="B160" s="6" t="s">
        <v>183</v>
      </c>
      <c r="C160" s="6" t="s">
        <v>2149</v>
      </c>
      <c r="D160" s="6" t="s">
        <v>2150</v>
      </c>
      <c r="E160" s="6" t="s">
        <v>262</v>
      </c>
      <c r="F160" s="7" t="s">
        <v>496</v>
      </c>
    </row>
    <row r="161" spans="1:6" x14ac:dyDescent="0.2">
      <c r="A161" s="6">
        <v>161</v>
      </c>
      <c r="B161" s="6" t="s">
        <v>184</v>
      </c>
      <c r="C161" s="6" t="s">
        <v>219</v>
      </c>
      <c r="D161" s="6" t="s">
        <v>2161</v>
      </c>
      <c r="E161" s="6" t="s">
        <v>262</v>
      </c>
      <c r="F161" s="7" t="s">
        <v>497</v>
      </c>
    </row>
    <row r="162" spans="1:6" x14ac:dyDescent="0.2">
      <c r="A162" s="1">
        <v>162</v>
      </c>
      <c r="B162" s="1" t="s">
        <v>185</v>
      </c>
      <c r="C162" s="1" t="s">
        <v>219</v>
      </c>
      <c r="D162" s="1" t="s">
        <v>220</v>
      </c>
      <c r="E162" s="1" t="s">
        <v>2017</v>
      </c>
      <c r="F162" s="2" t="s">
        <v>2105</v>
      </c>
    </row>
    <row r="163" spans="1:6" x14ac:dyDescent="0.2">
      <c r="A163" s="6">
        <v>163</v>
      </c>
      <c r="B163" s="6" t="s">
        <v>186</v>
      </c>
      <c r="C163" s="6" t="s">
        <v>219</v>
      </c>
      <c r="D163" s="6" t="s">
        <v>2161</v>
      </c>
      <c r="E163" s="6" t="s">
        <v>262</v>
      </c>
      <c r="F163" s="7" t="s">
        <v>499</v>
      </c>
    </row>
    <row r="164" spans="1:6" x14ac:dyDescent="0.2">
      <c r="A164" s="6">
        <v>164</v>
      </c>
      <c r="B164" s="6" t="s">
        <v>187</v>
      </c>
      <c r="C164" s="6" t="s">
        <v>2142</v>
      </c>
      <c r="D164" s="6" t="s">
        <v>2151</v>
      </c>
      <c r="E164" s="6" t="s">
        <v>327</v>
      </c>
      <c r="F164" s="7" t="s">
        <v>500</v>
      </c>
    </row>
    <row r="165" spans="1:6" x14ac:dyDescent="0.2">
      <c r="A165" s="6">
        <v>165</v>
      </c>
      <c r="B165" s="6" t="s">
        <v>188</v>
      </c>
      <c r="C165" s="6" t="s">
        <v>2140</v>
      </c>
      <c r="D165" s="6" t="s">
        <v>2141</v>
      </c>
      <c r="E165" s="6" t="s">
        <v>328</v>
      </c>
      <c r="F165" s="7" t="s">
        <v>501</v>
      </c>
    </row>
    <row r="166" spans="1:6" x14ac:dyDescent="0.2">
      <c r="A166" s="6">
        <v>166</v>
      </c>
      <c r="B166" s="6" t="s">
        <v>189</v>
      </c>
      <c r="C166" s="6" t="s">
        <v>2140</v>
      </c>
      <c r="D166" s="6" t="s">
        <v>2162</v>
      </c>
      <c r="E166" s="6" t="s">
        <v>262</v>
      </c>
      <c r="F166" s="7" t="s">
        <v>365</v>
      </c>
    </row>
    <row r="167" spans="1:6" x14ac:dyDescent="0.2">
      <c r="A167" s="6">
        <v>167</v>
      </c>
      <c r="B167" s="6" t="s">
        <v>190</v>
      </c>
      <c r="C167" s="6" t="s">
        <v>219</v>
      </c>
      <c r="D167" s="6" t="s">
        <v>2161</v>
      </c>
      <c r="E167" s="6" t="s">
        <v>262</v>
      </c>
      <c r="F167" s="7" t="s">
        <v>502</v>
      </c>
    </row>
    <row r="168" spans="1:6" x14ac:dyDescent="0.2">
      <c r="A168" s="6">
        <v>168</v>
      </c>
      <c r="B168" s="6" t="s">
        <v>191</v>
      </c>
      <c r="C168" s="6" t="s">
        <v>2145</v>
      </c>
      <c r="D168" s="6" t="s">
        <v>2146</v>
      </c>
      <c r="E168" s="6" t="s">
        <v>262</v>
      </c>
      <c r="F168" s="7" t="s">
        <v>503</v>
      </c>
    </row>
    <row r="169" spans="1:6" x14ac:dyDescent="0.2">
      <c r="A169" s="6">
        <v>169</v>
      </c>
      <c r="B169" s="6" t="s">
        <v>192</v>
      </c>
      <c r="C169" s="6" t="s">
        <v>2142</v>
      </c>
      <c r="D169" s="6" t="s">
        <v>2151</v>
      </c>
      <c r="E169" s="6" t="s">
        <v>329</v>
      </c>
      <c r="F169" s="7" t="s">
        <v>504</v>
      </c>
    </row>
    <row r="170" spans="1:6" x14ac:dyDescent="0.2">
      <c r="A170" s="6">
        <v>170</v>
      </c>
      <c r="B170" s="6" t="s">
        <v>193</v>
      </c>
      <c r="C170" s="6" t="s">
        <v>2142</v>
      </c>
      <c r="D170" s="6" t="s">
        <v>2143</v>
      </c>
      <c r="E170" s="6" t="s">
        <v>330</v>
      </c>
      <c r="F170" s="7" t="s">
        <v>505</v>
      </c>
    </row>
    <row r="171" spans="1:6" x14ac:dyDescent="0.2">
      <c r="A171" s="6">
        <v>171</v>
      </c>
      <c r="B171" s="6" t="s">
        <v>194</v>
      </c>
      <c r="C171" s="6" t="s">
        <v>2140</v>
      </c>
      <c r="D171" s="6" t="s">
        <v>2162</v>
      </c>
      <c r="E171" s="6" t="s">
        <v>262</v>
      </c>
      <c r="F171" s="7" t="s">
        <v>506</v>
      </c>
    </row>
    <row r="172" spans="1:6" x14ac:dyDescent="0.2">
      <c r="A172" s="6">
        <v>172</v>
      </c>
      <c r="B172" s="6" t="s">
        <v>195</v>
      </c>
      <c r="C172" s="6" t="s">
        <v>2140</v>
      </c>
      <c r="D172" s="6" t="s">
        <v>2159</v>
      </c>
      <c r="E172" s="6" t="s">
        <v>262</v>
      </c>
      <c r="F172" s="7" t="s">
        <v>507</v>
      </c>
    </row>
    <row r="173" spans="1:6" x14ac:dyDescent="0.2">
      <c r="A173" s="1">
        <v>173</v>
      </c>
      <c r="B173" s="1" t="s">
        <v>196</v>
      </c>
      <c r="C173" s="1" t="s">
        <v>219</v>
      </c>
      <c r="D173" s="1" t="s">
        <v>220</v>
      </c>
      <c r="E173" s="1" t="s">
        <v>2028</v>
      </c>
      <c r="F173" s="2" t="s">
        <v>2029</v>
      </c>
    </row>
    <row r="174" spans="1:6" x14ac:dyDescent="0.2">
      <c r="A174" s="6">
        <v>174</v>
      </c>
      <c r="B174" s="6" t="s">
        <v>197</v>
      </c>
      <c r="C174" s="6" t="s">
        <v>2140</v>
      </c>
      <c r="D174" s="6" t="s">
        <v>2154</v>
      </c>
      <c r="E174" s="6" t="s">
        <v>331</v>
      </c>
      <c r="F174" s="7" t="s">
        <v>509</v>
      </c>
    </row>
    <row r="175" spans="1:6" x14ac:dyDescent="0.2">
      <c r="A175" s="6">
        <v>175</v>
      </c>
      <c r="B175" s="6" t="s">
        <v>198</v>
      </c>
      <c r="C175" s="6" t="s">
        <v>2140</v>
      </c>
      <c r="D175" s="6" t="s">
        <v>2154</v>
      </c>
      <c r="E175" s="6" t="s">
        <v>262</v>
      </c>
      <c r="F175" s="7" t="s">
        <v>510</v>
      </c>
    </row>
    <row r="176" spans="1:6" x14ac:dyDescent="0.2">
      <c r="A176" s="3">
        <v>176</v>
      </c>
      <c r="B176" s="3" t="s">
        <v>199</v>
      </c>
      <c r="C176" s="3" t="s">
        <v>219</v>
      </c>
      <c r="D176" s="3" t="s">
        <v>1777</v>
      </c>
      <c r="E176" s="3" t="s">
        <v>262</v>
      </c>
      <c r="F176" s="4" t="s">
        <v>511</v>
      </c>
    </row>
    <row r="177" spans="1:16" x14ac:dyDescent="0.2">
      <c r="A177" s="6">
        <v>177</v>
      </c>
      <c r="B177" s="6" t="s">
        <v>200</v>
      </c>
      <c r="C177" s="6" t="s">
        <v>2149</v>
      </c>
      <c r="D177" s="6" t="s">
        <v>2150</v>
      </c>
      <c r="E177" s="6" t="s">
        <v>262</v>
      </c>
      <c r="F177" s="7" t="s">
        <v>512</v>
      </c>
    </row>
    <row r="178" spans="1:16" x14ac:dyDescent="0.2">
      <c r="A178" s="6">
        <v>178</v>
      </c>
      <c r="B178" s="6" t="s">
        <v>201</v>
      </c>
      <c r="C178" s="6" t="s">
        <v>2145</v>
      </c>
      <c r="D178" s="6" t="s">
        <v>2146</v>
      </c>
      <c r="E178" s="6" t="s">
        <v>332</v>
      </c>
      <c r="F178" s="7" t="s">
        <v>513</v>
      </c>
    </row>
    <row r="179" spans="1:16" x14ac:dyDescent="0.2">
      <c r="A179" s="6">
        <v>179</v>
      </c>
      <c r="B179" s="6" t="s">
        <v>202</v>
      </c>
      <c r="C179" s="6" t="s">
        <v>219</v>
      </c>
      <c r="D179" s="6" t="s">
        <v>2144</v>
      </c>
      <c r="E179" s="6" t="s">
        <v>333</v>
      </c>
      <c r="F179" s="7" t="s">
        <v>514</v>
      </c>
    </row>
    <row r="180" spans="1:16" x14ac:dyDescent="0.2">
      <c r="A180" s="6">
        <v>180</v>
      </c>
      <c r="B180" s="6" t="s">
        <v>203</v>
      </c>
      <c r="C180" s="6" t="s">
        <v>2142</v>
      </c>
      <c r="D180" s="6" t="s">
        <v>2143</v>
      </c>
      <c r="E180" s="6" t="s">
        <v>334</v>
      </c>
      <c r="F180" s="7" t="s">
        <v>365</v>
      </c>
      <c r="H180" s="17"/>
      <c r="J180" s="17"/>
      <c r="L180" s="17"/>
      <c r="P180" s="17"/>
    </row>
    <row r="181" spans="1:16" x14ac:dyDescent="0.2">
      <c r="A181" s="6">
        <v>181</v>
      </c>
      <c r="B181" s="6" t="s">
        <v>204</v>
      </c>
      <c r="C181" s="6" t="s">
        <v>2140</v>
      </c>
      <c r="D181" s="6" t="s">
        <v>2159</v>
      </c>
      <c r="E181" s="6" t="s">
        <v>262</v>
      </c>
      <c r="F181" s="7" t="s">
        <v>515</v>
      </c>
    </row>
    <row r="182" spans="1:16" x14ac:dyDescent="0.2">
      <c r="A182" s="6">
        <v>182</v>
      </c>
      <c r="B182" s="6" t="s">
        <v>205</v>
      </c>
      <c r="C182" s="6" t="s">
        <v>2149</v>
      </c>
      <c r="D182" s="6" t="s">
        <v>2150</v>
      </c>
      <c r="E182" s="6" t="s">
        <v>262</v>
      </c>
      <c r="F182" s="7" t="s">
        <v>516</v>
      </c>
    </row>
    <row r="183" spans="1:16" x14ac:dyDescent="0.2">
      <c r="A183" s="6">
        <v>183</v>
      </c>
      <c r="B183" s="6" t="s">
        <v>206</v>
      </c>
      <c r="C183" s="6" t="s">
        <v>219</v>
      </c>
      <c r="D183" s="6" t="s">
        <v>2155</v>
      </c>
      <c r="E183" s="6" t="s">
        <v>262</v>
      </c>
      <c r="F183" s="7" t="s">
        <v>517</v>
      </c>
    </row>
    <row r="184" spans="1:16" x14ac:dyDescent="0.2">
      <c r="A184" s="6">
        <v>184</v>
      </c>
      <c r="B184" s="6" t="s">
        <v>207</v>
      </c>
      <c r="C184" s="6" t="s">
        <v>2142</v>
      </c>
      <c r="D184" s="6" t="s">
        <v>2143</v>
      </c>
      <c r="E184" s="6" t="s">
        <v>335</v>
      </c>
      <c r="F184" s="7" t="s">
        <v>518</v>
      </c>
    </row>
    <row r="185" spans="1:16" x14ac:dyDescent="0.2">
      <c r="A185" s="6">
        <v>185</v>
      </c>
      <c r="B185" s="6" t="s">
        <v>208</v>
      </c>
      <c r="C185" s="6" t="s">
        <v>2140</v>
      </c>
      <c r="D185" s="6" t="s">
        <v>2152</v>
      </c>
      <c r="E185" s="6" t="s">
        <v>336</v>
      </c>
      <c r="F185" s="7" t="s">
        <v>519</v>
      </c>
    </row>
    <row r="186" spans="1:16" x14ac:dyDescent="0.2">
      <c r="A186" s="6">
        <v>186</v>
      </c>
      <c r="B186" s="6" t="s">
        <v>209</v>
      </c>
      <c r="C186" s="6" t="s">
        <v>2142</v>
      </c>
      <c r="D186" s="6" t="s">
        <v>2151</v>
      </c>
      <c r="E186" s="6" t="s">
        <v>337</v>
      </c>
      <c r="F186" s="7" t="s">
        <v>520</v>
      </c>
    </row>
    <row r="187" spans="1:16" x14ac:dyDescent="0.2">
      <c r="A187" s="6">
        <v>187</v>
      </c>
      <c r="B187" s="6" t="s">
        <v>210</v>
      </c>
      <c r="C187" s="6" t="s">
        <v>2145</v>
      </c>
      <c r="D187" s="6" t="s">
        <v>2157</v>
      </c>
      <c r="E187" s="6" t="s">
        <v>338</v>
      </c>
      <c r="F187" s="7" t="s">
        <v>521</v>
      </c>
    </row>
    <row r="188" spans="1:16" x14ac:dyDescent="0.2">
      <c r="A188" s="6">
        <v>188</v>
      </c>
      <c r="B188" s="6" t="s">
        <v>211</v>
      </c>
      <c r="C188" s="6" t="s">
        <v>2145</v>
      </c>
      <c r="D188" s="6" t="s">
        <v>2147</v>
      </c>
      <c r="E188" s="6" t="s">
        <v>339</v>
      </c>
      <c r="F188" s="7" t="s">
        <v>522</v>
      </c>
    </row>
    <row r="189" spans="1:16" x14ac:dyDescent="0.2">
      <c r="A189" s="6">
        <v>189</v>
      </c>
      <c r="B189" s="6" t="s">
        <v>212</v>
      </c>
      <c r="C189" s="6" t="s">
        <v>2140</v>
      </c>
      <c r="D189" s="6" t="s">
        <v>2159</v>
      </c>
      <c r="E189" s="6" t="s">
        <v>340</v>
      </c>
      <c r="F189" s="7" t="s">
        <v>523</v>
      </c>
    </row>
    <row r="190" spans="1:16" x14ac:dyDescent="0.2">
      <c r="A190" s="6">
        <v>190</v>
      </c>
      <c r="B190" s="6" t="s">
        <v>213</v>
      </c>
      <c r="C190" s="6" t="s">
        <v>2149</v>
      </c>
      <c r="D190" s="6" t="s">
        <v>2150</v>
      </c>
      <c r="E190" s="6" t="s">
        <v>262</v>
      </c>
      <c r="F190" s="7" t="s">
        <v>524</v>
      </c>
    </row>
    <row r="191" spans="1:16" x14ac:dyDescent="0.2">
      <c r="A191" s="6">
        <v>191</v>
      </c>
      <c r="B191" s="6" t="s">
        <v>214</v>
      </c>
      <c r="C191" s="6" t="s">
        <v>2145</v>
      </c>
      <c r="D191" s="6" t="s">
        <v>2153</v>
      </c>
      <c r="E191" s="6" t="s">
        <v>341</v>
      </c>
      <c r="F191" s="7" t="s">
        <v>365</v>
      </c>
    </row>
    <row r="192" spans="1:16" x14ac:dyDescent="0.2">
      <c r="A192" s="6">
        <v>192</v>
      </c>
      <c r="B192" s="6" t="s">
        <v>215</v>
      </c>
      <c r="C192" s="6" t="s">
        <v>2140</v>
      </c>
      <c r="D192" s="6" t="s">
        <v>2154</v>
      </c>
      <c r="E192" s="6" t="s">
        <v>342</v>
      </c>
      <c r="F192" s="7" t="s">
        <v>525</v>
      </c>
    </row>
    <row r="193" spans="1:6" x14ac:dyDescent="0.2">
      <c r="A193" s="6">
        <v>193</v>
      </c>
      <c r="B193" s="6" t="s">
        <v>216</v>
      </c>
      <c r="C193" s="6" t="s">
        <v>2140</v>
      </c>
      <c r="D193" s="6" t="s">
        <v>2162</v>
      </c>
      <c r="E193" s="6" t="s">
        <v>262</v>
      </c>
      <c r="F193" s="7" t="s">
        <v>526</v>
      </c>
    </row>
    <row r="194" spans="1:6" x14ac:dyDescent="0.2">
      <c r="A194" s="1">
        <v>194</v>
      </c>
      <c r="B194" s="1" t="s">
        <v>217</v>
      </c>
      <c r="C194" s="1" t="s">
        <v>219</v>
      </c>
      <c r="D194" s="1" t="s">
        <v>220</v>
      </c>
      <c r="E194" s="1" t="s">
        <v>2039</v>
      </c>
      <c r="F194" s="2" t="s">
        <v>2040</v>
      </c>
    </row>
    <row r="195" spans="1:6" x14ac:dyDescent="0.2">
      <c r="A195" s="1">
        <v>195</v>
      </c>
      <c r="B195" s="1" t="s">
        <v>218</v>
      </c>
      <c r="C195" s="1" t="s">
        <v>219</v>
      </c>
      <c r="D195" s="1" t="s">
        <v>220</v>
      </c>
      <c r="E195" s="1" t="s">
        <v>2056</v>
      </c>
      <c r="F195" s="2" t="s">
        <v>2057</v>
      </c>
    </row>
    <row r="210" spans="8:18" x14ac:dyDescent="0.2">
      <c r="H210" s="17"/>
      <c r="J210" s="17"/>
      <c r="L210" s="17"/>
      <c r="P210" s="17"/>
      <c r="R210" s="17"/>
    </row>
    <row r="240" spans="8:16" x14ac:dyDescent="0.2">
      <c r="H240" s="17"/>
      <c r="J240" s="17"/>
      <c r="L240" s="17"/>
      <c r="P240" s="17"/>
    </row>
  </sheetData>
  <hyperlinks>
    <hyperlink ref="F2" r:id="rId1" xr:uid="{7A3B8104-EB2E-D74D-8DB5-BEF5FDB52ADE}"/>
    <hyperlink ref="F3" r:id="rId2" xr:uid="{9CBA505D-CA24-6141-9C6C-36945270521D}"/>
    <hyperlink ref="F4" r:id="rId3" xr:uid="{035408B1-35B4-194D-AF00-233290201AFC}"/>
    <hyperlink ref="F5" r:id="rId4" xr:uid="{14836FBC-8BBA-594A-91CB-07DDFD4221E3}"/>
    <hyperlink ref="F6" r:id="rId5" xr:uid="{39BD9777-F9A7-6D45-A695-35F3FA69FB33}"/>
    <hyperlink ref="F7" r:id="rId6" xr:uid="{7A4CC11A-503F-CB45-9986-5E8E7DA4B397}"/>
    <hyperlink ref="F8" r:id="rId7" xr:uid="{3040EABB-852E-D34C-A770-62D702A96A20}"/>
    <hyperlink ref="F9" r:id="rId8" xr:uid="{F1FD9A45-25D7-A34D-BF0C-647E75D72D99}"/>
    <hyperlink ref="F10" r:id="rId9" xr:uid="{28EDACC9-3240-0D40-A3EB-A206573584CF}"/>
    <hyperlink ref="F11" r:id="rId10" xr:uid="{4D5962B3-435B-A448-8BE5-77A2B2384878}"/>
    <hyperlink ref="F12" r:id="rId11" xr:uid="{89290280-4DD2-A44D-A3CC-B93E2DAFBA59}"/>
    <hyperlink ref="F13" r:id="rId12" xr:uid="{822D9024-3EB5-B046-A38E-B0297746B5F0}"/>
    <hyperlink ref="F14" r:id="rId13" xr:uid="{C2DFD170-69C2-674A-9327-5F237CB1FAB5}"/>
    <hyperlink ref="F15" r:id="rId14" xr:uid="{9933957E-BA3D-E44B-A1AE-7C73E88A750A}"/>
    <hyperlink ref="F16" r:id="rId15" xr:uid="{43085EEE-2156-8349-90B7-594BE3F904FE}"/>
    <hyperlink ref="F17" r:id="rId16" xr:uid="{CBB25098-F69A-904F-B2DE-C8333F8639F7}"/>
    <hyperlink ref="F18" r:id="rId17" xr:uid="{8E56FFAE-ECA8-9045-98EF-3D08F71EF3CE}"/>
    <hyperlink ref="F19" r:id="rId18" xr:uid="{34B39379-F1CF-324D-83D7-209D61BB61D2}"/>
    <hyperlink ref="F20" r:id="rId19" xr:uid="{30A8F9DC-B135-9345-83DA-0E357FC2FEA7}"/>
    <hyperlink ref="F21" r:id="rId20" xr:uid="{16949AB9-24B6-1B47-A6B5-F1E136641E35}"/>
    <hyperlink ref="F22" r:id="rId21" xr:uid="{68A60574-52DA-C946-89B3-7A72E688FED3}"/>
    <hyperlink ref="F23" r:id="rId22" xr:uid="{6B49AFBA-23D8-9742-91B3-43D70037BB9A}"/>
    <hyperlink ref="F24" r:id="rId23" xr:uid="{2AF61C98-27B0-BD46-AD54-417C0F00F2CA}"/>
    <hyperlink ref="F25" r:id="rId24" xr:uid="{46A10D9E-BFC9-8941-BE4A-50D43BC69942}"/>
    <hyperlink ref="F26" r:id="rId25" xr:uid="{64EC32BE-B3C0-BF44-AFBC-380323D2C0D7}"/>
    <hyperlink ref="F27" r:id="rId26" xr:uid="{CBAAAE74-31F0-4848-A37B-330FCE2D10AC}"/>
    <hyperlink ref="F28" r:id="rId27" xr:uid="{D1EA2683-DD92-9349-B5E8-4AA548147862}"/>
    <hyperlink ref="F29" r:id="rId28" xr:uid="{03050AB6-6772-4342-96E4-1BE60745E6BE}"/>
    <hyperlink ref="F30" r:id="rId29" xr:uid="{291E467B-E9B5-8C4E-8052-80A460F9E0FF}"/>
    <hyperlink ref="F31" r:id="rId30" xr:uid="{70AAB470-223C-2646-918D-526EA8DFADCD}"/>
    <hyperlink ref="F32" r:id="rId31" xr:uid="{C1E2F332-454C-254A-92D0-6FDDF49C5918}"/>
    <hyperlink ref="F33" r:id="rId32" xr:uid="{78C1EEAF-8503-C74F-8864-93202AA77D48}"/>
    <hyperlink ref="F34" r:id="rId33" xr:uid="{BEABE87C-98AC-C347-8DBB-E32A042497BD}"/>
    <hyperlink ref="F35" r:id="rId34" xr:uid="{1DF184A8-0CDB-3141-9FDF-3795877FEC23}"/>
    <hyperlink ref="F36" r:id="rId35" xr:uid="{8A586250-C683-944A-95E6-31195E65C995}"/>
    <hyperlink ref="F37" r:id="rId36" xr:uid="{EE3538CC-373D-C24F-8BC3-E79F1124E75B}"/>
    <hyperlink ref="F38" r:id="rId37" xr:uid="{9F264811-D116-764A-9EA4-97E3AC404CFA}"/>
    <hyperlink ref="F39" r:id="rId38" xr:uid="{D207EA72-B12B-6C41-B293-1872053F51E2}"/>
    <hyperlink ref="F40" r:id="rId39" xr:uid="{06F99F60-A488-D240-9AF4-FE63928474AF}"/>
    <hyperlink ref="F41" r:id="rId40" xr:uid="{9AEAAC68-3260-3846-A47B-C3F7B479032B}"/>
    <hyperlink ref="F42" r:id="rId41" xr:uid="{D70858D2-2BC2-314A-AF79-A761AFD362EF}"/>
    <hyperlink ref="F43" r:id="rId42" xr:uid="{7AE14831-C660-9045-837D-9A2873E4F9AE}"/>
    <hyperlink ref="F44" r:id="rId43" xr:uid="{E4FA55FF-2F5C-2140-A39B-F345324FFEE2}"/>
    <hyperlink ref="F45" r:id="rId44" xr:uid="{F20341B6-F4C2-1144-B6F0-ED4E641F2508}"/>
    <hyperlink ref="F46" r:id="rId45" xr:uid="{B9FE8178-D94C-ED43-9BC3-9DFD7DEA93B0}"/>
    <hyperlink ref="F47" r:id="rId46" xr:uid="{0780D463-558B-E944-8477-F580C37D5915}"/>
    <hyperlink ref="F48" r:id="rId47" xr:uid="{E5543DC7-B6F4-4B40-AB54-1E8F6B542129}"/>
    <hyperlink ref="F49" r:id="rId48" xr:uid="{63042FA6-4E9A-4941-B34E-C7479B624657}"/>
    <hyperlink ref="F50" r:id="rId49" xr:uid="{37E83B43-BD72-1441-973C-73B1457AF639}"/>
    <hyperlink ref="F51" r:id="rId50" xr:uid="{76701D7B-194B-2D4C-8991-D72AAFBFC78B}"/>
    <hyperlink ref="F52" r:id="rId51" xr:uid="{06B9ADE1-FD5B-B741-8888-25F9149ADC71}"/>
    <hyperlink ref="F53" r:id="rId52" xr:uid="{04FC4FB3-7068-C842-89B3-3DCCA18BC5AB}"/>
    <hyperlink ref="F54" r:id="rId53" xr:uid="{E302A745-E496-F342-9151-1258F74C2574}"/>
    <hyperlink ref="F55" r:id="rId54" xr:uid="{C6BFCB27-CB32-0C4C-852D-0EB0C3DFB785}"/>
    <hyperlink ref="F56" r:id="rId55" xr:uid="{93C93229-871F-5C4D-883F-C7551DB3FA48}"/>
    <hyperlink ref="F57" r:id="rId56" xr:uid="{DF36EC1A-7ED9-4747-B950-D7B0919E0121}"/>
    <hyperlink ref="F58" r:id="rId57" xr:uid="{BA67CC62-F10A-B04C-8472-9DF1D8EC3297}"/>
    <hyperlink ref="F59" r:id="rId58" xr:uid="{B513FD17-56D8-A84F-8233-AE1882C8C297}"/>
    <hyperlink ref="F60" r:id="rId59" xr:uid="{FCB78CFA-8B36-4843-9669-A083B913FBE0}"/>
    <hyperlink ref="F61" r:id="rId60" xr:uid="{438E04C3-B94E-B746-B0E3-8808E05AED95}"/>
    <hyperlink ref="F62" r:id="rId61" xr:uid="{2C4E752A-18D9-2948-B246-85AA37204FB7}"/>
    <hyperlink ref="F63" r:id="rId62" xr:uid="{1C377CA8-0B40-394C-839F-C13D64CF4BF5}"/>
    <hyperlink ref="F64" r:id="rId63" xr:uid="{62EC9461-9672-3D4D-AE96-03A916A92F82}"/>
    <hyperlink ref="F65" r:id="rId64" xr:uid="{493F9277-AF46-1349-9DEB-6C819A1537B9}"/>
    <hyperlink ref="F66" r:id="rId65" xr:uid="{7A070983-F3A4-B24F-BA6D-CE0B698135F1}"/>
    <hyperlink ref="F67" r:id="rId66" xr:uid="{D4147429-4908-CE44-A7B1-41900504FAEC}"/>
    <hyperlink ref="F68" r:id="rId67" xr:uid="{E8652642-D840-384F-9FB6-A9639A8A031D}"/>
    <hyperlink ref="F69" r:id="rId68" xr:uid="{4A2A633F-C63A-2A43-ABB0-469297890FBA}"/>
    <hyperlink ref="F70" r:id="rId69" xr:uid="{F5410A91-6740-964D-8AF5-1E6362D617CA}"/>
    <hyperlink ref="F71" r:id="rId70" xr:uid="{89E12FBE-36F2-FB40-BBC0-C809BD6A0935}"/>
    <hyperlink ref="F72" r:id="rId71" xr:uid="{3F451151-3D52-0F45-AAF6-ED6DD24324FF}"/>
    <hyperlink ref="F73" r:id="rId72" xr:uid="{0938878B-7DB7-A345-B847-A63A30E8F158}"/>
    <hyperlink ref="F74" r:id="rId73" xr:uid="{422DF9FA-8E49-8148-A57B-DA33D65749BB}"/>
    <hyperlink ref="F75" r:id="rId74" xr:uid="{6724428C-736C-414C-9DDA-EAAFF64C3E37}"/>
    <hyperlink ref="F76" r:id="rId75" xr:uid="{DC2C3D42-3B51-5342-85B2-F3907DD2BA27}"/>
    <hyperlink ref="F77" r:id="rId76" xr:uid="{AD042170-FC4B-BC46-8FEC-4290F6AEE2E4}"/>
    <hyperlink ref="F78" r:id="rId77" xr:uid="{2EADC4FD-E4ED-2641-9E6A-41D3C0F43ABA}"/>
    <hyperlink ref="F79" r:id="rId78" xr:uid="{5906EE09-4FE7-1E4A-A60E-9D2395C51CA7}"/>
    <hyperlink ref="F80" r:id="rId79" xr:uid="{FDD9ACB9-6F5C-FA41-972F-26B9507807C4}"/>
    <hyperlink ref="F81" r:id="rId80" xr:uid="{3425EB79-C740-174B-AF54-262DAC23896C}"/>
    <hyperlink ref="F82" r:id="rId81" xr:uid="{888512FC-A18B-084E-AED3-F9A2F7986124}"/>
    <hyperlink ref="F83" r:id="rId82" xr:uid="{A587941A-39D3-8A48-B004-3EF755CF4CE8}"/>
    <hyperlink ref="F84" r:id="rId83" xr:uid="{B4BD1F5B-2C88-7C43-90C5-5CFF993AC1A3}"/>
    <hyperlink ref="F85" r:id="rId84" xr:uid="{4B70296F-3286-E34D-9859-2A46C6CB2D3C}"/>
    <hyperlink ref="F86" r:id="rId85" xr:uid="{9220B535-5E62-814B-A19A-7FDC34F25123}"/>
    <hyperlink ref="F87" r:id="rId86" xr:uid="{5B8CA5A2-17E8-F849-B1F5-599DCE300F8A}"/>
    <hyperlink ref="F88" r:id="rId87" xr:uid="{18CA1312-E876-F942-8AE8-8D2059139FDD}"/>
    <hyperlink ref="F89" r:id="rId88" xr:uid="{A02D028D-B19B-074E-BC3C-17D34177648F}"/>
    <hyperlink ref="F90" r:id="rId89" xr:uid="{77E02738-7879-BB43-ACE4-6017B9168880}"/>
    <hyperlink ref="F91" r:id="rId90" xr:uid="{2A1EE28B-776E-D740-ADCD-D5D29860D7F9}"/>
    <hyperlink ref="F92" r:id="rId91" xr:uid="{2C1CE9E6-68F6-364B-B835-F31CDEC8012F}"/>
    <hyperlink ref="F93" r:id="rId92" xr:uid="{3C8A1F9D-292F-4A4E-9B14-C716FD02263C}"/>
    <hyperlink ref="F94" r:id="rId93" xr:uid="{63BDF6FB-AA07-0F49-ADB9-4553BD64C1A6}"/>
    <hyperlink ref="F95" r:id="rId94" xr:uid="{C1C7F8AD-1E52-2B46-8EE1-1BD8E8B3F89E}"/>
    <hyperlink ref="F96" r:id="rId95" xr:uid="{02E6E666-8845-D941-9722-FF2C287C7569}"/>
    <hyperlink ref="F97" r:id="rId96" xr:uid="{132F568F-CD77-AF4C-B7BE-58DF095B6040}"/>
    <hyperlink ref="F98" r:id="rId97" xr:uid="{BFD3B5DF-367E-EF46-8458-D86712B10863}"/>
    <hyperlink ref="F99" r:id="rId98" xr:uid="{B3A711F0-3CD7-8F4B-8F6A-00BAF2605F88}"/>
    <hyperlink ref="F100" r:id="rId99" xr:uid="{9FC9AAB1-D6A6-5E48-881B-8D823F4EE262}"/>
    <hyperlink ref="F101" r:id="rId100" xr:uid="{DFADE591-B2C7-C94D-B5B3-D8361D95502C}"/>
    <hyperlink ref="F102" r:id="rId101" xr:uid="{264F343F-296F-5743-B037-B14264DE2DD9}"/>
    <hyperlink ref="F103" r:id="rId102" xr:uid="{7CA8624E-9C80-A643-B34A-828C350E0274}"/>
    <hyperlink ref="F104" r:id="rId103" xr:uid="{CBFCABF0-E6A7-F14F-9494-637C0969B56C}"/>
    <hyperlink ref="F105" r:id="rId104" xr:uid="{3294AA2D-5EB8-1E4A-B90F-3FF3A0B47BF3}"/>
    <hyperlink ref="F106" r:id="rId105" xr:uid="{AB5F2667-456E-6B49-B2E6-8A797EE750CD}"/>
    <hyperlink ref="F107" r:id="rId106" xr:uid="{D96DB612-99A3-BC40-847E-DB93DEBF748B}"/>
    <hyperlink ref="F108" r:id="rId107" xr:uid="{C52C3555-25D8-254F-8FD7-A898884C6FC4}"/>
    <hyperlink ref="F109" r:id="rId108" xr:uid="{7FCD491B-6408-2A4F-A774-E4C2B29532D3}"/>
    <hyperlink ref="F110" r:id="rId109" xr:uid="{9B105373-B622-4644-B6C5-68210FC1DB08}"/>
    <hyperlink ref="F111" r:id="rId110" xr:uid="{AE00DF31-22A7-1645-8A0D-2200933BFA4F}"/>
    <hyperlink ref="F112" r:id="rId111" xr:uid="{F3D16166-096C-1046-B17B-632B0C3C8D9D}"/>
    <hyperlink ref="F113" r:id="rId112" xr:uid="{1063D3E1-AED9-9A46-8FB8-B22A7676FC19}"/>
    <hyperlink ref="F114" r:id="rId113" xr:uid="{EEC366D2-2870-E047-8639-BEE2C279CE80}"/>
    <hyperlink ref="F115" r:id="rId114" xr:uid="{29642058-5C88-0745-A153-54AD436D1331}"/>
    <hyperlink ref="F116" r:id="rId115" xr:uid="{9A38CD20-B7FC-8146-BAA4-1EE606D036B2}"/>
    <hyperlink ref="F117" r:id="rId116" xr:uid="{7A68BD62-05B9-0E4E-9F07-B5A834894607}"/>
    <hyperlink ref="F118" r:id="rId117" xr:uid="{E7256336-011E-314E-9947-94F36182F907}"/>
    <hyperlink ref="F119" r:id="rId118" xr:uid="{6D8F5338-B3AE-F14E-BDDB-84A28A5777E9}"/>
    <hyperlink ref="F120" r:id="rId119" xr:uid="{97D6A3FF-9607-5248-B032-4C9290D07AFD}"/>
    <hyperlink ref="F121" r:id="rId120" xr:uid="{AB64378D-56B2-EB43-A048-FC1C332C0B0D}"/>
    <hyperlink ref="F122" r:id="rId121" xr:uid="{8425ADFF-6615-BA44-BE7A-623152B6D98A}"/>
    <hyperlink ref="F123" r:id="rId122" xr:uid="{FD7A7E7A-261D-1C47-92E0-EDC0981BBEEB}"/>
    <hyperlink ref="F124" r:id="rId123" xr:uid="{E0E9D1E6-64C7-504F-B5DA-784DE52A097C}"/>
    <hyperlink ref="F125" r:id="rId124" xr:uid="{BA41476F-3F4A-AD41-918B-3D2C7AD47949}"/>
    <hyperlink ref="F126" r:id="rId125" xr:uid="{D83EA892-32A7-C040-ABF6-E0A6CFA367A8}"/>
    <hyperlink ref="F127" r:id="rId126" xr:uid="{9959CF5A-F571-6A4D-BB82-ED627D3A0143}"/>
    <hyperlink ref="F128" r:id="rId127" xr:uid="{B5EF40DD-F144-CE48-B3A2-BE8C5D8D6A3A}"/>
    <hyperlink ref="F129" r:id="rId128" xr:uid="{CEFB8A49-AE8B-744E-94C6-B13392BF4CEC}"/>
    <hyperlink ref="F130" r:id="rId129" xr:uid="{C38A3F2F-1F25-F649-A374-831A4C397C00}"/>
    <hyperlink ref="F131" r:id="rId130" xr:uid="{7F2AE001-7550-4741-9E88-CBCC0A79C335}"/>
    <hyperlink ref="F132" r:id="rId131" xr:uid="{5573A9B5-60CD-3845-A5C9-6F2BBEC0487D}"/>
    <hyperlink ref="F133" r:id="rId132" xr:uid="{C9B3A3A4-70C0-A240-8E11-A53CEE65FC1C}"/>
    <hyperlink ref="F134" r:id="rId133" xr:uid="{4B26A9AA-4710-9243-85DD-1AEA29D050AC}"/>
    <hyperlink ref="F135" r:id="rId134" xr:uid="{015F27BD-63A7-1E44-AA10-CF212CA99465}"/>
    <hyperlink ref="F136" r:id="rId135" xr:uid="{D9BB02FD-BD00-3045-AB55-41A33BF4A3A3}"/>
    <hyperlink ref="F137" r:id="rId136" xr:uid="{6E570597-F1C1-6E45-8C35-50F7E12AE6CF}"/>
    <hyperlink ref="F138" r:id="rId137" xr:uid="{2CCCF145-D8BD-1C47-B866-274ADE8EE450}"/>
    <hyperlink ref="F139" r:id="rId138" xr:uid="{7731DDAC-B854-1D49-9DFF-ACAE06B022C5}"/>
    <hyperlink ref="F140" r:id="rId139" xr:uid="{35DEFD85-E128-984F-8325-7C407D34074F}"/>
    <hyperlink ref="F141" r:id="rId140" xr:uid="{33808CA8-8E2D-4B48-A1DA-8AA0C669AF48}"/>
    <hyperlink ref="F142" r:id="rId141" xr:uid="{A98E1FE0-C6D7-584F-BC29-8230537A3EB4}"/>
    <hyperlink ref="F143" r:id="rId142" xr:uid="{1FE6B13E-3185-A041-B4EF-6110F1553BD3}"/>
    <hyperlink ref="F144" r:id="rId143" xr:uid="{F0F9E465-3A76-1647-8F11-E1DFC51F1546}"/>
    <hyperlink ref="F145" r:id="rId144" xr:uid="{81636391-8DFF-2145-B89A-C60E32315E38}"/>
    <hyperlink ref="F146" r:id="rId145" xr:uid="{27E54643-501F-264F-922A-7A278EA0123A}"/>
    <hyperlink ref="F147" r:id="rId146" xr:uid="{DB89658D-35EC-4249-A61B-DA75BCAFCD4C}"/>
    <hyperlink ref="F148" r:id="rId147" xr:uid="{11137BBA-D6E3-C64A-BFC8-1F2A668EDBB8}"/>
    <hyperlink ref="F149" r:id="rId148" xr:uid="{CF2360D2-F0B8-AE46-B301-D15857D86A14}"/>
    <hyperlink ref="F150" r:id="rId149" xr:uid="{038AF825-0C90-654A-B0B1-378699CBF571}"/>
    <hyperlink ref="F151" r:id="rId150" xr:uid="{74B61D24-5CA2-8E4F-B266-18776A38CE86}"/>
    <hyperlink ref="F152" r:id="rId151" xr:uid="{83F8ACC6-74F1-634B-B4FE-1DBAD1C88F16}"/>
    <hyperlink ref="F153" r:id="rId152" xr:uid="{7077468C-CE1B-B549-9A2D-38D027055FF8}"/>
    <hyperlink ref="F154" r:id="rId153" xr:uid="{14A949D2-9924-CB4E-A6ED-5CBBAE3AC763}"/>
    <hyperlink ref="F155" r:id="rId154" xr:uid="{08615DDD-3AD3-0540-95A9-F33C380C5BC9}"/>
    <hyperlink ref="F156" r:id="rId155" xr:uid="{88A8505C-BE91-D849-AF24-BA2F93E781DA}"/>
    <hyperlink ref="F157" r:id="rId156" xr:uid="{364063E7-2B80-684E-ACB2-4A5F9CE7BBD9}"/>
    <hyperlink ref="F158" r:id="rId157" xr:uid="{B1186A2E-9CE0-5A4D-B002-53EAE36A0E9F}"/>
    <hyperlink ref="F159" r:id="rId158" xr:uid="{9CC7A413-BFDE-C14E-8778-B93304E14627}"/>
    <hyperlink ref="F160" r:id="rId159" xr:uid="{55A71C6A-64A9-784B-9DCF-81EE878EE41C}"/>
    <hyperlink ref="F161" r:id="rId160" xr:uid="{6EA86833-6EC9-3B45-A385-87A1EB820334}"/>
    <hyperlink ref="F162" r:id="rId161" xr:uid="{A2CF8B9C-75BF-194C-97ED-57FC584D3D28}"/>
    <hyperlink ref="F163" r:id="rId162" xr:uid="{DAEC3207-AA07-8644-9078-19454BC84FA9}"/>
    <hyperlink ref="F164" r:id="rId163" xr:uid="{E0277E5C-9B7F-F042-BC0C-5C2E3CA4D917}"/>
    <hyperlink ref="F165" r:id="rId164" xr:uid="{F6E7C7CA-25DA-A94B-8532-82F4A588E24E}"/>
    <hyperlink ref="F166" r:id="rId165" xr:uid="{F9220C74-7D74-0644-9CB2-37B16D76B00B}"/>
    <hyperlink ref="F167" r:id="rId166" xr:uid="{EBA831E7-7B43-BE44-8D9A-2E7045476BC9}"/>
    <hyperlink ref="F168" r:id="rId167" xr:uid="{B9AD5C24-0E09-E74A-A1E4-0FD59E6CD46F}"/>
    <hyperlink ref="F169" r:id="rId168" xr:uid="{68791280-2420-5343-A0B2-E2148D5FF573}"/>
    <hyperlink ref="F170" r:id="rId169" xr:uid="{62535370-93CD-A246-90A5-583DCF675C17}"/>
    <hyperlink ref="F171" r:id="rId170" xr:uid="{35793E62-3FCD-0F45-A8D6-A87537D0F402}"/>
    <hyperlink ref="F172" r:id="rId171" xr:uid="{5557BEFB-6CC3-954C-8BFB-CE522CD1332F}"/>
    <hyperlink ref="F173" r:id="rId172" xr:uid="{2A181FF5-5A96-C64A-A76F-DBC61D4715BE}"/>
    <hyperlink ref="F174" r:id="rId173" xr:uid="{C2FA2051-056B-C744-B0B5-E4FB5DDB4006}"/>
    <hyperlink ref="F175" r:id="rId174" xr:uid="{0E336598-3AC1-BE49-8260-054553D71E3B}"/>
    <hyperlink ref="F176" r:id="rId175" xr:uid="{7A76C425-0C7B-B14C-9874-94F50B2B5ABA}"/>
    <hyperlink ref="F177" r:id="rId176" xr:uid="{155CA49C-7BC6-874D-BFE9-EF532FCE71C8}"/>
    <hyperlink ref="F178" r:id="rId177" xr:uid="{EF7A87C6-838D-A840-B641-6F3BF2136B0D}"/>
    <hyperlink ref="F179" r:id="rId178" xr:uid="{5D0242DD-C95C-994B-89FC-E25939849C01}"/>
    <hyperlink ref="F180" r:id="rId179" xr:uid="{2835E533-6EF1-2848-9C98-F3FB1A2D80B8}"/>
    <hyperlink ref="F181" r:id="rId180" xr:uid="{D5DAAFD9-83A0-5147-BF78-EDB9B082E940}"/>
    <hyperlink ref="F182" r:id="rId181" xr:uid="{26F3A0EB-7961-3043-ABC1-D51082D7B049}"/>
    <hyperlink ref="F183" r:id="rId182" xr:uid="{2A66C339-001E-3648-801F-3676D264FA63}"/>
    <hyperlink ref="F184" r:id="rId183" xr:uid="{5992C6D2-DF96-6B47-9760-96BD47820F69}"/>
    <hyperlink ref="F185" r:id="rId184" xr:uid="{D8E4CC8F-C0AB-9E4C-9EAE-399586F8C1D3}"/>
    <hyperlink ref="F186" r:id="rId185" xr:uid="{C2FFD12B-A3BF-1144-9018-2F39328636E8}"/>
    <hyperlink ref="F187" r:id="rId186" xr:uid="{8001F681-A590-CF41-A6A1-E3988379DC40}"/>
    <hyperlink ref="F188" r:id="rId187" xr:uid="{AE1BF1E9-62B0-E24D-8193-042240AB92D3}"/>
    <hyperlink ref="F189" r:id="rId188" xr:uid="{49D7554F-589A-7742-803C-118176A5685C}"/>
    <hyperlink ref="F190" r:id="rId189" xr:uid="{C2633EA3-BE45-A84A-84A5-9B79F03F8214}"/>
    <hyperlink ref="F191" r:id="rId190" xr:uid="{66E94138-633A-794D-A0DC-7A76ACCE90F1}"/>
    <hyperlink ref="F192" r:id="rId191" xr:uid="{4D9B87F8-1DC9-EA41-8AE0-3BEED4EAA989}"/>
    <hyperlink ref="F193" r:id="rId192" xr:uid="{1FF65F17-6F22-204D-89CE-69E4FC81D1D5}"/>
    <hyperlink ref="F194" r:id="rId193" xr:uid="{DA4D7154-5D70-1B4D-91F7-387AAD69EE8C}"/>
    <hyperlink ref="F195" r:id="rId194" xr:uid="{DB8938D3-A236-0641-BAA1-C2B6F94433E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7F6A1-9B67-1C4D-B845-9AF9973B7DCC}">
  <dimension ref="A1:AL5"/>
  <sheetViews>
    <sheetView topLeftCell="T1" zoomScaleNormal="150" zoomScaleSheetLayoutView="100" workbookViewId="0">
      <selection activeCell="B2" sqref="B2:U2"/>
    </sheetView>
  </sheetViews>
  <sheetFormatPr defaultRowHeight="15" x14ac:dyDescent="0.2"/>
  <cols>
    <col min="1" max="1" width="11.296875" style="48" bestFit="1" customWidth="1"/>
    <col min="2" max="3" width="255.73046875" style="48" bestFit="1" customWidth="1"/>
    <col min="4" max="4" width="196" style="48" bestFit="1" customWidth="1"/>
    <col min="5" max="5" width="154.56640625" style="48" bestFit="1" customWidth="1"/>
    <col min="6" max="7" width="255.73046875" style="48" bestFit="1" customWidth="1"/>
    <col min="8" max="8" width="215.5078125" style="48" bestFit="1" customWidth="1"/>
    <col min="9" max="9" width="146.49609375" style="48" bestFit="1" customWidth="1"/>
    <col min="10" max="12" width="255.73046875" style="48" bestFit="1" customWidth="1"/>
    <col min="13" max="13" width="190.08203125" style="48" bestFit="1" customWidth="1"/>
    <col min="14" max="14" width="255.73046875" style="48" bestFit="1" customWidth="1"/>
    <col min="15" max="15" width="165.59765625" style="48" bestFit="1" customWidth="1"/>
    <col min="16" max="18" width="255.73046875" style="48" bestFit="1" customWidth="1"/>
    <col min="19" max="19" width="222.76953125" style="48" bestFit="1" customWidth="1"/>
    <col min="20" max="20" width="255.73046875" style="48" bestFit="1" customWidth="1"/>
    <col min="21" max="21" width="124.703125" style="48" bestFit="1" customWidth="1"/>
    <col min="22" max="22" width="18.83203125" style="48" bestFit="1" customWidth="1"/>
    <col min="23" max="23" width="23.13671875" style="48" bestFit="1" customWidth="1"/>
    <col min="24" max="24" width="29.7265625" style="48" bestFit="1" customWidth="1"/>
    <col min="25" max="25" width="2.5546875" style="48" bestFit="1" customWidth="1"/>
    <col min="26" max="27" width="3.2265625" style="48" bestFit="1" customWidth="1"/>
    <col min="28" max="28" width="3.09375" style="48" bestFit="1" customWidth="1"/>
    <col min="29" max="30" width="2.6875" style="48" bestFit="1" customWidth="1"/>
    <col min="31" max="31" width="3.2265625" style="48" bestFit="1" customWidth="1"/>
    <col min="32" max="32" width="3.359375" style="48" bestFit="1" customWidth="1"/>
    <col min="33" max="33" width="2.82421875" style="48" bestFit="1" customWidth="1"/>
    <col min="34" max="34" width="2.6875" style="48" bestFit="1" customWidth="1"/>
    <col min="35" max="35" width="14.9296875" style="48" bestFit="1" customWidth="1"/>
    <col min="36" max="36" width="9.68359375" style="48" bestFit="1" customWidth="1"/>
    <col min="37" max="37" width="11.56640625" style="48" bestFit="1" customWidth="1"/>
    <col min="38" max="38" width="12.77734375" style="48" bestFit="1" customWidth="1"/>
    <col min="39" max="39" width="9.01171875" style="48" bestFit="1" customWidth="1"/>
    <col min="40" max="40" width="8.7421875" style="48" bestFit="1" customWidth="1"/>
    <col min="41" max="41" width="18.5625" style="48" bestFit="1" customWidth="1"/>
    <col min="42" max="42" width="9.68359375" style="48" bestFit="1" customWidth="1"/>
    <col min="43" max="43" width="9.28125" style="48" bestFit="1" customWidth="1"/>
    <col min="44" max="44" width="18.83203125" style="48" bestFit="1" customWidth="1"/>
    <col min="45" max="16384" width="8.609375" style="48"/>
  </cols>
  <sheetData>
    <row r="1" spans="1:38" s="21" customFormat="1" x14ac:dyDescent="0.2">
      <c r="A1" s="21" t="s">
        <v>1</v>
      </c>
      <c r="B1" s="45" t="s">
        <v>6</v>
      </c>
      <c r="C1" s="45" t="s">
        <v>2166</v>
      </c>
      <c r="D1" s="45" t="s">
        <v>12</v>
      </c>
      <c r="E1" s="45" t="s">
        <v>2172</v>
      </c>
      <c r="F1" s="45" t="s">
        <v>8</v>
      </c>
      <c r="G1" s="45" t="s">
        <v>2173</v>
      </c>
      <c r="H1" s="45" t="s">
        <v>20</v>
      </c>
      <c r="I1" s="45" t="s">
        <v>2174</v>
      </c>
      <c r="J1" s="45" t="s">
        <v>10</v>
      </c>
      <c r="K1" s="45" t="s">
        <v>2175</v>
      </c>
      <c r="L1" s="45" t="s">
        <v>16</v>
      </c>
      <c r="M1" s="45" t="s">
        <v>2176</v>
      </c>
      <c r="N1" s="45" t="s">
        <v>18</v>
      </c>
      <c r="O1" s="45" t="s">
        <v>2177</v>
      </c>
      <c r="P1" s="45" t="s">
        <v>4</v>
      </c>
      <c r="Q1" s="45" t="s">
        <v>2178</v>
      </c>
      <c r="R1" s="45" t="s">
        <v>14</v>
      </c>
      <c r="S1" s="45" t="s">
        <v>2179</v>
      </c>
      <c r="T1" s="45" t="s">
        <v>22</v>
      </c>
      <c r="U1" s="45" t="s">
        <v>2180</v>
      </c>
      <c r="V1" s="45"/>
      <c r="W1" s="45"/>
      <c r="X1" s="45"/>
      <c r="Y1" s="45"/>
      <c r="Z1" s="46"/>
      <c r="AA1" s="46"/>
      <c r="AB1" s="46"/>
      <c r="AC1" s="46"/>
      <c r="AD1" s="46"/>
      <c r="AE1" s="46"/>
      <c r="AF1" s="46"/>
      <c r="AG1" s="46"/>
      <c r="AH1" s="46"/>
      <c r="AI1" s="46"/>
      <c r="AJ1" s="46"/>
      <c r="AK1" s="47"/>
      <c r="AL1" s="45"/>
    </row>
    <row r="2" spans="1:38" x14ac:dyDescent="0.2">
      <c r="A2" s="48" t="s">
        <v>2165</v>
      </c>
      <c r="B2" s="48" t="s">
        <v>2181</v>
      </c>
      <c r="C2" s="48" t="s">
        <v>2182</v>
      </c>
      <c r="D2" s="48" t="s">
        <v>2183</v>
      </c>
      <c r="E2" s="48" t="s">
        <v>2184</v>
      </c>
      <c r="F2" s="48" t="s">
        <v>2185</v>
      </c>
      <c r="G2" s="48" t="s">
        <v>2186</v>
      </c>
      <c r="H2" s="48" t="s">
        <v>2167</v>
      </c>
      <c r="I2" s="48" t="s">
        <v>2168</v>
      </c>
      <c r="J2" s="48" t="s">
        <v>2187</v>
      </c>
      <c r="K2" s="50" t="s">
        <v>2188</v>
      </c>
      <c r="L2" s="48" t="s">
        <v>2189</v>
      </c>
      <c r="M2" s="48" t="s">
        <v>2190</v>
      </c>
      <c r="N2" s="48" t="s">
        <v>2191</v>
      </c>
      <c r="O2" s="48" t="s">
        <v>2169</v>
      </c>
      <c r="P2" s="48" t="s">
        <v>2192</v>
      </c>
      <c r="Q2" s="48" t="s">
        <v>2193</v>
      </c>
      <c r="R2" s="48" t="s">
        <v>2194</v>
      </c>
      <c r="S2" s="48" t="s">
        <v>2170</v>
      </c>
      <c r="T2" s="48" t="s">
        <v>2195</v>
      </c>
      <c r="U2" s="48" t="s">
        <v>2171</v>
      </c>
    </row>
    <row r="4" spans="1:38" s="21" customFormat="1" x14ac:dyDescent="0.2">
      <c r="A4" s="45"/>
      <c r="B4" s="45"/>
      <c r="C4" s="45"/>
      <c r="D4" s="45"/>
      <c r="E4" s="45"/>
      <c r="F4" s="45"/>
      <c r="G4" s="45"/>
      <c r="H4" s="45"/>
      <c r="I4" s="45"/>
      <c r="J4" s="45"/>
      <c r="K4" s="45"/>
      <c r="L4" s="45"/>
      <c r="M4" s="45"/>
      <c r="N4" s="45"/>
      <c r="O4" s="45"/>
      <c r="P4" s="45"/>
      <c r="Q4" s="45"/>
      <c r="R4" s="45"/>
      <c r="S4" s="45"/>
      <c r="T4" s="45"/>
      <c r="U4" s="45"/>
      <c r="V4" s="45"/>
      <c r="W4" s="45"/>
      <c r="X4" s="45"/>
      <c r="Y4" s="46"/>
      <c r="Z4" s="46"/>
      <c r="AA4" s="46"/>
      <c r="AB4" s="46"/>
      <c r="AC4" s="46"/>
      <c r="AD4" s="46"/>
      <c r="AE4" s="46"/>
      <c r="AF4" s="46"/>
      <c r="AG4" s="46"/>
      <c r="AH4" s="46"/>
      <c r="AI4" s="46"/>
      <c r="AJ4" s="46"/>
      <c r="AK4" s="47"/>
      <c r="AL4" s="45"/>
    </row>
    <row r="5" spans="1:38" x14ac:dyDescent="0.2">
      <c r="B5" s="49"/>
    </row>
  </sheetData>
  <hyperlinks>
    <hyperlink ref="K2" r:id="rId1" xr:uid="{BA93011F-0F61-2D49-8CD3-AF43645645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7</vt:i4>
      </vt:variant>
    </vt:vector>
  </HeadingPairs>
  <TitlesOfParts>
    <vt:vector size="7" baseType="lpstr">
      <vt:lpstr>UN_194</vt:lpstr>
      <vt:lpstr>SADC</vt:lpstr>
      <vt:lpstr>ECOWAS</vt:lpstr>
      <vt:lpstr>Global</vt:lpstr>
      <vt:lpstr>Sheet1</vt:lpstr>
      <vt:lpstr>Sheet5</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2025-09-09T13:33:47Z</dcterms:created>
  <dcterms:modified xsi:type="dcterms:W3CDTF">2025-09-09T13:33:47Z</dcterms:modified>
</cp:coreProperties>
</file>