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UN_194" sheetId="1" state="visible" r:id="rId1"/>
    <sheet name="SADC" sheetId="2" state="visible" r:id="rId2"/>
    <sheet name="ECOWAS" sheetId="3" state="visible" r:id="rId3"/>
    <sheet name="Global" sheetId="4" state="visible" r:id="rId4"/>
  </sheets>
  <definedNames/>
  <calcPr calcId="191028"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color theme="10"/>
      <sz val="11"/>
      <u val="single"/>
    </font>
    <font>
      <name val="Calibri"/>
      <family val="2"/>
      <b val="1"/>
      <color theme="1"/>
      <sz val="13.5"/>
      <scheme val="minor"/>
    </font>
  </fonts>
  <fills count="15">
    <fill>
      <patternFill/>
    </fill>
    <fill>
      <patternFill patternType="gray125"/>
    </fill>
    <fill>
      <patternFill patternType="solid">
        <fgColor theme="9" tint="0.3999755851924192"/>
        <bgColor indexed="64"/>
      </patternFill>
    </fill>
    <fill>
      <patternFill patternType="solid">
        <fgColor theme="6" tint="0.3999755851924192"/>
        <bgColor indexed="64"/>
      </patternFill>
    </fill>
    <fill>
      <patternFill patternType="solid">
        <fgColor theme="9" tint="0.5999938962981048"/>
        <bgColor indexed="64"/>
      </patternFill>
    </fill>
    <fill>
      <patternFill patternType="solid">
        <fgColor theme="5" tint="0.5999938962981048"/>
        <bgColor indexed="64"/>
      </patternFill>
    </fill>
    <fill>
      <patternFill patternType="solid">
        <fgColor rgb="FFFFFF00"/>
        <bgColor indexed="64"/>
      </patternFill>
    </fill>
    <fill>
      <patternFill patternType="solid">
        <fgColor theme="8" tint="0.5999938962981048"/>
        <bgColor indexed="64"/>
      </patternFill>
    </fill>
    <fill>
      <patternFill patternType="solid">
        <fgColor theme="3" tint="0.5999938962981048"/>
        <bgColor indexed="64"/>
      </patternFill>
    </fill>
    <fill>
      <patternFill patternType="solid">
        <fgColor theme="7" tint="0.5999938962981048"/>
        <bgColor indexed="64"/>
      </patternFill>
    </fill>
    <fill>
      <patternFill patternType="solid">
        <fgColor theme="2" tint="-0.249977111117893"/>
        <bgColor indexed="64"/>
      </patternFill>
    </fill>
    <fill>
      <patternFill patternType="solid">
        <fgColor rgb="FF92D050"/>
        <bgColor indexed="64"/>
      </patternFill>
    </fill>
    <fill>
      <patternFill patternType="solid">
        <fgColor rgb="FF00B050"/>
        <bgColor indexed="64"/>
      </patternFill>
    </fill>
    <fill>
      <patternFill patternType="solid">
        <fgColor rgb="FF7F4A53"/>
        <bgColor indexed="64"/>
      </patternFill>
    </fill>
    <fill>
      <patternFill patternType="solid">
        <fgColor rgb="FFD44F88"/>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505050"/>
      </left>
      <right style="thin">
        <color rgb="FF505050"/>
      </right>
      <top style="thin">
        <color rgb="FF505050"/>
      </top>
      <bottom style="thin">
        <color rgb="FF505050"/>
      </bottom>
      <diagonal/>
    </border>
  </borders>
  <cellStyleXfs count="2">
    <xf numFmtId="0" fontId="0" fillId="0" borderId="0"/>
    <xf numFmtId="0" fontId="2" fillId="0" borderId="0" applyAlignment="1" applyProtection="1">
      <alignment vertical="top"/>
      <protection locked="0" hidden="0"/>
    </xf>
  </cellStyleXfs>
  <cellXfs count="51">
    <xf numFmtId="0" fontId="0" fillId="0" borderId="0" pivotButton="0" quotePrefix="0" xfId="0"/>
    <xf numFmtId="0" fontId="0" fillId="2" borderId="0" pivotButton="0" quotePrefix="0" xfId="0"/>
    <xf numFmtId="0" fontId="2" fillId="2" borderId="0" pivotButton="0" quotePrefix="0" xfId="1"/>
    <xf numFmtId="0" fontId="0" fillId="3" borderId="0" pivotButton="0" quotePrefix="0" xfId="0"/>
    <xf numFmtId="0" fontId="2" fillId="3" borderId="0" pivotButton="0" quotePrefix="0" xfId="1"/>
    <xf numFmtId="0" fontId="1" fillId="0" borderId="1" applyAlignment="1" pivotButton="0" quotePrefix="0" xfId="0">
      <alignment horizontal="center" vertical="top"/>
    </xf>
    <xf numFmtId="0" fontId="0" fillId="0" borderId="0" pivotButton="0" quotePrefix="0" xfId="0"/>
    <xf numFmtId="0" fontId="2" fillId="0" borderId="0" pivotButton="0" quotePrefix="0" xfId="1"/>
    <xf numFmtId="0" fontId="0" fillId="0" borderId="0" applyAlignment="1" pivotButton="0" quotePrefix="0" xfId="0">
      <alignment wrapText="1"/>
    </xf>
    <xf numFmtId="0" fontId="3" fillId="0" borderId="0" applyAlignment="1" pivotButton="0" quotePrefix="0" xfId="0">
      <alignment wrapText="1"/>
    </xf>
    <xf numFmtId="0" fontId="0" fillId="0" borderId="0" pivotButton="0" quotePrefix="0" xfId="0"/>
    <xf numFmtId="0" fontId="0" fillId="0" borderId="0" applyAlignment="1" pivotButton="0" quotePrefix="0" xfId="0">
      <alignment wrapText="1"/>
    </xf>
    <xf numFmtId="0" fontId="0" fillId="2" borderId="0" applyAlignment="1" pivotButton="0" quotePrefix="0" xfId="0">
      <alignment wrapText="1"/>
    </xf>
    <xf numFmtId="0" fontId="0" fillId="4" borderId="0" pivotButton="0" quotePrefix="0" xfId="0"/>
    <xf numFmtId="0" fontId="0" fillId="5" borderId="0" pivotButton="0" quotePrefix="0" xfId="0"/>
    <xf numFmtId="0" fontId="1" fillId="0" borderId="2" applyAlignment="1" pivotButton="0" quotePrefix="0" xfId="0">
      <alignment horizontal="center" vertical="top"/>
    </xf>
    <xf numFmtId="0" fontId="1" fillId="0" borderId="2" pivotButton="0" quotePrefix="0" xfId="0"/>
    <xf numFmtId="0" fontId="2" fillId="0" borderId="0" pivotButton="0" quotePrefix="0" xfId="1"/>
    <xf numFmtId="2" fontId="0" fillId="0" borderId="0" pivotButton="0" quotePrefix="0" xfId="0"/>
    <xf numFmtId="0" fontId="0" fillId="3" borderId="0" pivotButton="0" quotePrefix="0" xfId="0"/>
    <xf numFmtId="0" fontId="2" fillId="3" borderId="0" pivotButton="0" quotePrefix="0" xfId="1"/>
    <xf numFmtId="0" fontId="0" fillId="0" borderId="0" pivotButton="0" quotePrefix="0" xfId="0"/>
    <xf numFmtId="0" fontId="2" fillId="0" borderId="0" pivotButton="0" quotePrefix="0" xfId="1"/>
    <xf numFmtId="0" fontId="0" fillId="0" borderId="0" pivotButton="0" quotePrefix="0" xfId="0"/>
    <xf numFmtId="2" fontId="0" fillId="0" borderId="0" pivotButton="0" quotePrefix="0" xfId="0"/>
    <xf numFmtId="0" fontId="1" fillId="0" borderId="2" pivotButton="0" quotePrefix="0" xfId="0"/>
    <xf numFmtId="2" fontId="1" fillId="0" borderId="2" pivotButton="0" quotePrefix="0" xfId="0"/>
    <xf numFmtId="0" fontId="0" fillId="6" borderId="0" pivotButton="0" quotePrefix="0" xfId="0"/>
    <xf numFmtId="0" fontId="2" fillId="6" borderId="0" pivotButton="0" quotePrefix="0" xfId="1"/>
    <xf numFmtId="0" fontId="0" fillId="7" borderId="0" pivotButton="0" quotePrefix="0" xfId="0"/>
    <xf numFmtId="0" fontId="2" fillId="7" borderId="0" pivotButton="0" quotePrefix="0" xfId="1"/>
    <xf numFmtId="0" fontId="0" fillId="8" borderId="0" pivotButton="0" quotePrefix="0" xfId="0"/>
    <xf numFmtId="0" fontId="2" fillId="8" borderId="0" pivotButton="0" quotePrefix="0" xfId="1"/>
    <xf numFmtId="0" fontId="0" fillId="9" borderId="0" pivotButton="0" quotePrefix="0" xfId="0"/>
    <xf numFmtId="0" fontId="2" fillId="9" borderId="0" pivotButton="0" quotePrefix="0" xfId="1"/>
    <xf numFmtId="0" fontId="0" fillId="10" borderId="0" pivotButton="0" quotePrefix="0" xfId="0"/>
    <xf numFmtId="0" fontId="2" fillId="10" borderId="0" pivotButton="0" quotePrefix="0" xfId="1"/>
    <xf numFmtId="0" fontId="0" fillId="11" borderId="0" pivotButton="0" quotePrefix="0" xfId="0"/>
    <xf numFmtId="0" fontId="2" fillId="11" borderId="0" pivotButton="0" quotePrefix="0" xfId="1"/>
    <xf numFmtId="0" fontId="0" fillId="12" borderId="0" pivotButton="0" quotePrefix="0" xfId="0"/>
    <xf numFmtId="0" fontId="2" fillId="12" borderId="0" pivotButton="0" quotePrefix="0" xfId="1"/>
    <xf numFmtId="0" fontId="0" fillId="13" borderId="0" pivotButton="0" quotePrefix="0" xfId="0"/>
    <xf numFmtId="0" fontId="2" fillId="13" borderId="0" pivotButton="0" quotePrefix="0" xfId="1"/>
    <xf numFmtId="0" fontId="0" fillId="14" borderId="0" pivotButton="0" quotePrefix="0" xfId="0"/>
    <xf numFmtId="0" fontId="2" fillId="14" borderId="0" pivotButton="0" quotePrefix="0" xfId="1"/>
    <xf numFmtId="0" fontId="1" fillId="0" borderId="0" applyAlignment="1" pivotButton="0" quotePrefix="0" xfId="0">
      <alignment horizontal="center" vertical="top"/>
    </xf>
    <xf numFmtId="0" fontId="1" fillId="0" borderId="0" pivotButton="0" quotePrefix="0" xfId="0"/>
    <xf numFmtId="2" fontId="1" fillId="0" borderId="0" pivotButton="0" quotePrefix="0" xfId="0"/>
    <xf numFmtId="0" fontId="0" fillId="0" borderId="0" pivotButton="0" quotePrefix="0" xfId="0"/>
    <xf numFmtId="0" fontId="0" fillId="0" borderId="0" applyAlignment="1" pivotButton="0" quotePrefix="0" xfId="0">
      <alignment wrapText="1"/>
    </xf>
    <xf numFmtId="0" fontId="2" fillId="0" borderId="0" pivotButton="0" quotePrefix="0" xfId="1"/>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lapiperdataprotection.com/index.html?t=law&amp;c=DZ;%20https://www.cnil.fr/en/data-protection-around-the-world" TargetMode="External" Id="rId1" /><Relationship Type="http://schemas.openxmlformats.org/officeDocument/2006/relationships/hyperlink" Target="https://www.dlapiperdataprotection.com/index.html?t=law&amp;c=DZ" TargetMode="External" Id="rId2" /><Relationship Type="http://schemas.openxmlformats.org/officeDocument/2006/relationships/hyperlink" Target="https://www.dlapiperdataprotection.com/index.html?t=law&amp;c=DZ" TargetMode="External" Id="rId3" /><Relationship Type="http://schemas.openxmlformats.org/officeDocument/2006/relationships/hyperlink" Target="https://www.unicef.org/algeria/en/protection;%20https:/www.dlapiperdataprotection.com/index.html?t=law&amp;c=DZ" TargetMode="External" Id="rId4" /><Relationship Type="http://schemas.openxmlformats.org/officeDocument/2006/relationships/hyperlink" Target="https://www.cnil.fr/en/data-protection-around-the-world" TargetMode="External" Id="rId5" /><Relationship Type="http://schemas.openxmlformats.org/officeDocument/2006/relationships/hyperlink" Target="https://www.humandignitytrust.org/country-profile/algeria/;%20https:/ilga.org/maps-sexual-orientation-laws" TargetMode="External" Id="rId6" /><Relationship Type="http://schemas.openxmlformats.org/officeDocument/2006/relationships/hyperlink" Target="https://www.humandignitytrust.org/country-profile/algeria/;%20https:/ilga.org/maps-sexual-orientation-laws" TargetMode="External" Id="rId7" /><Relationship Type="http://schemas.openxmlformats.org/officeDocument/2006/relationships/hyperlink" Target="https://www.itu.int/en/ITU-D/ICT-Applications/Pages/artificial-intelligence-policy-algeria.aspx" TargetMode="External" Id="rId8" /><Relationship Type="http://schemas.openxmlformats.org/officeDocument/2006/relationships/hyperlink" Target="https://www.dlapiperdataprotection.com/index.html?t=law&amp;c=DZ" TargetMode="External" Id="rId9" /><Relationship Type="http://schemas.openxmlformats.org/officeDocument/2006/relationships/hyperlink" Target="https://www.gsma.com/mobilefordevelopment/resources/mandatory-sim-registration-in-algeria/" TargetMode="External" Id="rId10" /><Relationship Type="http://schemas.openxmlformats.org/officeDocument/2006/relationships/hyperlink" Target="https://unctad.org/page/data-protection-and-privacy-legislation-worldwide" TargetMode="External" Id="rId11" /><Relationship Type="http://schemas.openxmlformats.org/officeDocument/2006/relationships/hyperlink" Target="https://unctad.org/page/data-protection-and-privacy-legislation-worldwide" TargetMode="External" Id="rId12" /><Relationship Type="http://schemas.openxmlformats.org/officeDocument/2006/relationships/hyperlink" Target="https://unctad.org/page/data-protection-and-privacy-legislation-worldwide;%20https:/www.unicef.org/egypt/" TargetMode="External" Id="rId13" /><Relationship Type="http://schemas.openxmlformats.org/officeDocument/2006/relationships/hyperlink" Target="https://www.unicef.org/egypt/" TargetMode="External" Id="rId14" /><Relationship Type="http://schemas.openxmlformats.org/officeDocument/2006/relationships/hyperlink" Target="https://unctad.org/page/data-protection-and-privacy-legislation-worldwide" TargetMode="External" Id="rId15" /><Relationship Type="http://schemas.openxmlformats.org/officeDocument/2006/relationships/hyperlink" Target="https://www.humandignitytrust.org/country-profile/egypt/;%20https:/ilga.org/ilga-world-maps/" TargetMode="External" Id="rId16" /><Relationship Type="http://schemas.openxmlformats.org/officeDocument/2006/relationships/hyperlink" Target="https://ilga.org/ilga-world-maps/" TargetMode="External" Id="rId17" /><Relationship Type="http://schemas.openxmlformats.org/officeDocument/2006/relationships/hyperlink" Target="https://en.unesco.org/artificial-intelligence/observatory/policies?country=EG;%20https://www.unesco.org/ethics-ai/en/global-hub" TargetMode="External" Id="rId18" /><Relationship Type="http://schemas.openxmlformats.org/officeDocument/2006/relationships/hyperlink" Target="https://unctad.org/page/data-protection-and-privacy-legislation-worldwide" TargetMode="External" Id="rId19" /><Relationship Type="http://schemas.openxmlformats.org/officeDocument/2006/relationships/hyperlink" Target="https://www.gsma.com/solutions-and-impact/connectivity-for-good/public-policy/mobile-policy-handbook/consumer-protection/mandatory-registration-of-prepaid-sims/" TargetMode="External" Id="rId20" /><Relationship Type="http://schemas.openxmlformats.org/officeDocument/2006/relationships/hyperlink" Target="https://unctad.org/page/data-protection-and-privacy-legislation-worldwide" TargetMode="External" Id="rId21" /><Relationship Type="http://schemas.openxmlformats.org/officeDocument/2006/relationships/hyperlink" Target="https://unctad.org/page/data-protection-and-privacy-legislation-worldwide" TargetMode="External" Id="rId22" /><Relationship Type="http://schemas.openxmlformats.org/officeDocument/2006/relationships/hyperlink" Target="https://www.unicef.org/libya/" TargetMode="External" Id="rId23" /><Relationship Type="http://schemas.openxmlformats.org/officeDocument/2006/relationships/hyperlink" Target="https://www.unicef.org/libya/" TargetMode="External" Id="rId24" /><Relationship Type="http://schemas.openxmlformats.org/officeDocument/2006/relationships/hyperlink" Target="https://unctad.org/page/data-protection-and-privacy-legislation-worldwide" TargetMode="External" Id="rId25" /><Relationship Type="http://schemas.openxmlformats.org/officeDocument/2006/relationships/hyperlink" Target="https://www.humandignitytrust.org/country-profile/libya/;%20https:/ilga.org/ilga-world-maps/" TargetMode="External" Id="rId26" /><Relationship Type="http://schemas.openxmlformats.org/officeDocument/2006/relationships/hyperlink" Target="https://ilga.org/ilga-world-maps/" TargetMode="External" Id="rId27" /><Relationship Type="http://schemas.openxmlformats.org/officeDocument/2006/relationships/hyperlink" Target="https://en.unesco.org/artificial-intelligence/observatory/policies?country=LY;%20https://www.unesco.org/ethics-ai/en/global-hub" TargetMode="External" Id="rId28" /><Relationship Type="http://schemas.openxmlformats.org/officeDocument/2006/relationships/hyperlink" Target="https://unctad.org/page/data-protection-and-privacy-legislation-worldwide" TargetMode="External" Id="rId2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30" /><Relationship Type="http://schemas.openxmlformats.org/officeDocument/2006/relationships/hyperlink" Target="https://unctad.org/page/data-protection-and-privacy-legislation-worldwide" TargetMode="External" Id="rId31" /><Relationship Type="http://schemas.openxmlformats.org/officeDocument/2006/relationships/hyperlink" Target="https://unctad.org/page/data-protection-and-privacy-legislation-worldwide" TargetMode="External" Id="rId32" /><Relationship Type="http://schemas.openxmlformats.org/officeDocument/2006/relationships/hyperlink" Target="https://www.unicef.org/mauritania/" TargetMode="External" Id="rId33" /><Relationship Type="http://schemas.openxmlformats.org/officeDocument/2006/relationships/hyperlink" Target="https://www.unicef.org/mauritania/" TargetMode="External" Id="rId34" /><Relationship Type="http://schemas.openxmlformats.org/officeDocument/2006/relationships/hyperlink" Target="https://unctad.org/page/data-protection-and-privacy-legislation-worldwide" TargetMode="External" Id="rId35" /><Relationship Type="http://schemas.openxmlformats.org/officeDocument/2006/relationships/hyperlink" Target="https://www.humandignitytrust.org/country-profile/mauritania/;%20https:/ilga.org/ilga-world-maps/" TargetMode="External" Id="rId36" /><Relationship Type="http://schemas.openxmlformats.org/officeDocument/2006/relationships/hyperlink" Target="https://ilga.org/ilga-world-maps/" TargetMode="External" Id="rId37" /><Relationship Type="http://schemas.openxmlformats.org/officeDocument/2006/relationships/hyperlink" Target="https://en.unesco.org/artificial-intelligence/observatory/policies?country=MR;%20https://www.unesco.org/ethics-ai/en/global-hub" TargetMode="External" Id="rId38" /><Relationship Type="http://schemas.openxmlformats.org/officeDocument/2006/relationships/hyperlink" Target="https://unctad.org/page/data-protection-and-privacy-legislation-worldwide" TargetMode="External" Id="rId39" /><Relationship Type="http://schemas.openxmlformats.org/officeDocument/2006/relationships/hyperlink" Target="https://www.gsma.com/solutions-and-impact/connectivity-for-good/public-policy/mobile-policy-handbook/consumer-protection/mandatory-registration-of-prepaid-sims/" TargetMode="External" Id="rId40" /><Relationship Type="http://schemas.openxmlformats.org/officeDocument/2006/relationships/hyperlink" Target="https://unctad.org/page/data-protection-and-privacy-legislation-worldwide" TargetMode="External" Id="rId41" /><Relationship Type="http://schemas.openxmlformats.org/officeDocument/2006/relationships/hyperlink" Target="https://unctad.org/page/data-protection-and-privacy-legislation-worldwide" TargetMode="External" Id="rId42" /><Relationship Type="http://schemas.openxmlformats.org/officeDocument/2006/relationships/hyperlink" Target="https://www.unicef.org/morocco/" TargetMode="External" Id="rId43" /><Relationship Type="http://schemas.openxmlformats.org/officeDocument/2006/relationships/hyperlink" Target="https://www.unicef.org/morocco/" TargetMode="External" Id="rId44" /><Relationship Type="http://schemas.openxmlformats.org/officeDocument/2006/relationships/hyperlink" Target="https://unctad.org/page/data-protection-and-privacy-legislation-worldwide" TargetMode="External" Id="rId45" /><Relationship Type="http://schemas.openxmlformats.org/officeDocument/2006/relationships/hyperlink" Target="https://www.humandignitytrust.org/country-profile/morocco/;%20https:/ilga.org/ilga-world-maps/" TargetMode="External" Id="rId46" /><Relationship Type="http://schemas.openxmlformats.org/officeDocument/2006/relationships/hyperlink" Target="https://ilga.org/ilga-world-maps/" TargetMode="External" Id="rId47" /><Relationship Type="http://schemas.openxmlformats.org/officeDocument/2006/relationships/hyperlink" Target="https://en.unesco.org/artificial-intelligence/observatory/policies?country=MA;%20https://www.unesco.org/ethics-ai/en/global-hub" TargetMode="External" Id="rId48" /><Relationship Type="http://schemas.openxmlformats.org/officeDocument/2006/relationships/hyperlink" Target="https://unctad.org/page/data-protection-and-privacy-legislation-worldwide" TargetMode="External" Id="rId4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50" /><Relationship Type="http://schemas.openxmlformats.org/officeDocument/2006/relationships/hyperlink" Target="https://unctad.org/page/data-protection-and-privacy-legislation-worldwide" TargetMode="External" Id="rId51" /><Relationship Type="http://schemas.openxmlformats.org/officeDocument/2006/relationships/hyperlink" Target="https://unctad.org/page/data-protection-and-privacy-legislation-worldwide" TargetMode="External" Id="rId52" /><Relationship Type="http://schemas.openxmlformats.org/officeDocument/2006/relationships/hyperlink" Target="https://unctad.org/page/data-protection-and-privacy-legislation-worldwide;%20https:/www.unicef.org/tunisia/" TargetMode="External" Id="rId53" /><Relationship Type="http://schemas.openxmlformats.org/officeDocument/2006/relationships/hyperlink" Target="https://www.unicef.org/tunisia/" TargetMode="External" Id="rId54" /><Relationship Type="http://schemas.openxmlformats.org/officeDocument/2006/relationships/hyperlink" Target="https://unctad.org/page/data-protection-and-privacy-legislation-worldwide" TargetMode="External" Id="rId55" /><Relationship Type="http://schemas.openxmlformats.org/officeDocument/2006/relationships/hyperlink" Target="https://www.humandignitytrust.org/country-profile/tunisia/;%20https:/ilga.org/ilga-world-maps/" TargetMode="External" Id="rId56" /><Relationship Type="http://schemas.openxmlformats.org/officeDocument/2006/relationships/hyperlink" Target="https://ilga.org/ilga-world-maps/" TargetMode="External" Id="rId57" /><Relationship Type="http://schemas.openxmlformats.org/officeDocument/2006/relationships/hyperlink" Target="https://en.unesco.org/artificial-intelligence/observatory/policies?country=TN;%20https://www.unesco.org/ethics-ai/en/global-hub" TargetMode="External" Id="rId58" /><Relationship Type="http://schemas.openxmlformats.org/officeDocument/2006/relationships/hyperlink" Target="https://unctad.org/page/data-protection-and-privacy-legislation-worldwide" TargetMode="External" Id="rId59" /><Relationship Type="http://schemas.openxmlformats.org/officeDocument/2006/relationships/hyperlink" Target="https://www.gsma.com/solutions-and-impact/connectivity-for-good/public-policy/mobile-policy-handbook/consumer-protection/mandatory-registration-of-prepaid-sims/" TargetMode="External" Id="rId60" /><Relationship Type="http://schemas.openxmlformats.org/officeDocument/2006/relationships/hyperlink" Target="https://unctad.org/page/data-protection-and-privacy-legislation-worldwide" TargetMode="External" Id="rId61" /><Relationship Type="http://schemas.openxmlformats.org/officeDocument/2006/relationships/hyperlink" Target="https://unctad.org/page/data-protection-and-privacy-legislation-worldwide" TargetMode="External" Id="rId62" /><Relationship Type="http://schemas.openxmlformats.org/officeDocument/2006/relationships/hyperlink" Target="https://unctad.org/page/data-protection-and-privacy-legislation-worldwide;%20https:/www.unicef.org/burundi/" TargetMode="External" Id="rId63" /><Relationship Type="http://schemas.openxmlformats.org/officeDocument/2006/relationships/hyperlink" Target="https://www.unicef.org/burundi/" TargetMode="External" Id="rId64" /><Relationship Type="http://schemas.openxmlformats.org/officeDocument/2006/relationships/hyperlink" Target="https://unctad.org/page/data-protection-and-privacy-legislation-worldwide" TargetMode="External" Id="rId65" /><Relationship Type="http://schemas.openxmlformats.org/officeDocument/2006/relationships/hyperlink" Target="https://www.humandignitytrust.org/country-profile/burundi/;%20https:/ilga.org/ilga-world-maps/" TargetMode="External" Id="rId66" /><Relationship Type="http://schemas.openxmlformats.org/officeDocument/2006/relationships/hyperlink" Target="https://ilga.org/ilga-world-maps/" TargetMode="External" Id="rId67" /><Relationship Type="http://schemas.openxmlformats.org/officeDocument/2006/relationships/hyperlink" Target="https://en.unesco.org/artificial-intelligence/observatory/policies?country=BI;%20https://www.unesco.org/ethics-ai/en/global-hub" TargetMode="External" Id="rId68" /><Relationship Type="http://schemas.openxmlformats.org/officeDocument/2006/relationships/hyperlink" Target="https://unctad.org/page/data-protection-and-privacy-legislation-worldwide" TargetMode="External" Id="rId6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70" /><Relationship Type="http://schemas.openxmlformats.org/officeDocument/2006/relationships/hyperlink" Target="https://unctad.org/page/data-protection-and-privacy-legislation-worldwide" TargetMode="External" Id="rId71" /><Relationship Type="http://schemas.openxmlformats.org/officeDocument/2006/relationships/hyperlink" Target="https://unctad.org/page/data-protection-and-privacy-legislation-worldwide" TargetMode="External" Id="rId72" /><Relationship Type="http://schemas.openxmlformats.org/officeDocument/2006/relationships/hyperlink" Target="https://unctad.org/page/data-protection-and-privacy-legislation-worldwide;%20https:/www.unicef.org/kenya/" TargetMode="External" Id="rId73" /><Relationship Type="http://schemas.openxmlformats.org/officeDocument/2006/relationships/hyperlink" Target="https://www.unicef.org/kenya/" TargetMode="External" Id="rId74" /><Relationship Type="http://schemas.openxmlformats.org/officeDocument/2006/relationships/hyperlink" Target="https://unctad.org/page/data-protection-and-privacy-legislation-worldwide" TargetMode="External" Id="rId75" /><Relationship Type="http://schemas.openxmlformats.org/officeDocument/2006/relationships/hyperlink" Target="https://www.humandignitytrust.org/country-profile/kenya/;%20https:/ilga.org/ilga-world-maps/" TargetMode="External" Id="rId76" /><Relationship Type="http://schemas.openxmlformats.org/officeDocument/2006/relationships/hyperlink" Target="https://ilga.org/ilga-world-maps/" TargetMode="External" Id="rId77" /><Relationship Type="http://schemas.openxmlformats.org/officeDocument/2006/relationships/hyperlink" Target="https://en.unesco.org/artificial-intelligence/observatory/policies?country=KE;%20https://www.unesco.org/ethics-ai/en/global-hub" TargetMode="External" Id="rId78" /><Relationship Type="http://schemas.openxmlformats.org/officeDocument/2006/relationships/hyperlink" Target="https://unctad.org/page/data-protection-and-privacy-legislation-worldwide" TargetMode="External" Id="rId7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80" /><Relationship Type="http://schemas.openxmlformats.org/officeDocument/2006/relationships/hyperlink" Target="https://unctad.org/page/data-protection-and-privacy-legislation-worldwide" TargetMode="External" Id="rId81" /><Relationship Type="http://schemas.openxmlformats.org/officeDocument/2006/relationships/hyperlink" Target="https://unctad.org/page/data-protection-and-privacy-legislation-worldwide" TargetMode="External" Id="rId82" /><Relationship Type="http://schemas.openxmlformats.org/officeDocument/2006/relationships/hyperlink" Target="https://unctad.org/page/data-protection-and-privacy-legislation-worldwide;%20https:/www.unicef.org/rwanda/" TargetMode="External" Id="rId83" /><Relationship Type="http://schemas.openxmlformats.org/officeDocument/2006/relationships/hyperlink" Target="https://www.unicef.org/rwanda/" TargetMode="External" Id="rId84" /><Relationship Type="http://schemas.openxmlformats.org/officeDocument/2006/relationships/hyperlink" Target="https://unctad.org/page/data-protection-and-privacy-legislation-worldwide" TargetMode="External" Id="rId85" /><Relationship Type="http://schemas.openxmlformats.org/officeDocument/2006/relationships/hyperlink" Target="https://www.humandignitytrust.org/country-profile/rwanda/;%20https:/ilga.org/ilga-world-maps/" TargetMode="External" Id="rId86" /><Relationship Type="http://schemas.openxmlformats.org/officeDocument/2006/relationships/hyperlink" Target="https://ilga.org/ilga-world-maps/" TargetMode="External" Id="rId87" /><Relationship Type="http://schemas.openxmlformats.org/officeDocument/2006/relationships/hyperlink" Target="https://en.unesco.org/artificial-intelligence/observatory/policies?country=RW;%20https://www.unesco.org/ethics-ai/en/global-hub" TargetMode="External" Id="rId88" /><Relationship Type="http://schemas.openxmlformats.org/officeDocument/2006/relationships/hyperlink" Target="https://unctad.org/page/data-protection-and-privacy-legislation-worldwide" TargetMode="External" Id="rId89" /><Relationship Type="http://schemas.openxmlformats.org/officeDocument/2006/relationships/hyperlink" Target="https://www.gsma.com/solutions-and-impact/connectivity-for-good/public-policy/mobile-policy-handbook/consumer-protection/mandatory-registration-of-prepaid-sims/" TargetMode="External" Id="rId90" /><Relationship Type="http://schemas.openxmlformats.org/officeDocument/2006/relationships/hyperlink" Target="https://unctad.org/page/data-protection-and-privacy-legislation-worldwide" TargetMode="External" Id="rId91" /><Relationship Type="http://schemas.openxmlformats.org/officeDocument/2006/relationships/hyperlink" Target="https://unctad.org/page/data-protection-and-privacy-legislation-worldwide" TargetMode="External" Id="rId92" /><Relationship Type="http://schemas.openxmlformats.org/officeDocument/2006/relationships/hyperlink" Target="https://unctad.org/page/data-protection-and-privacy-legislation-worldwide;%20https:/www.unicef.org/uganda/" TargetMode="External" Id="rId93" /><Relationship Type="http://schemas.openxmlformats.org/officeDocument/2006/relationships/hyperlink" Target="https://www.unicef.org/uganda/" TargetMode="External" Id="rId94" /><Relationship Type="http://schemas.openxmlformats.org/officeDocument/2006/relationships/hyperlink" Target="https://unctad.org/page/data-protection-and-privacy-legislation-worldwide" TargetMode="External" Id="rId95" /><Relationship Type="http://schemas.openxmlformats.org/officeDocument/2006/relationships/hyperlink" Target="https://www.humandignitytrust.org/country-profile/uganda/;%20https:/ilga.org/ilga-world-maps/" TargetMode="External" Id="rId96" /><Relationship Type="http://schemas.openxmlformats.org/officeDocument/2006/relationships/hyperlink" Target="https://ilga.org/ilga-world-maps/" TargetMode="External" Id="rId97" /><Relationship Type="http://schemas.openxmlformats.org/officeDocument/2006/relationships/hyperlink" Target="https://en.unesco.org/artificial-intelligence/observatory/policies?country=UG;%20https://www.unesco.org/ethics-ai/en/global-hub" TargetMode="External" Id="rId98" /><Relationship Type="http://schemas.openxmlformats.org/officeDocument/2006/relationships/hyperlink" Target="https://unctad.org/page/data-protection-and-privacy-legislation-worldwide" TargetMode="External" Id="rId9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00" /><Relationship Type="http://schemas.openxmlformats.org/officeDocument/2006/relationships/hyperlink" Target="https://unctad.org/page/data-protection-and-privacy-legislation-worldwide" TargetMode="External" Id="rId101" /><Relationship Type="http://schemas.openxmlformats.org/officeDocument/2006/relationships/hyperlink" Target="https://unctad.org/page/data-protection-and-privacy-legislation-worldwide" TargetMode="External" Id="rId102" /><Relationship Type="http://schemas.openxmlformats.org/officeDocument/2006/relationships/hyperlink" Target="https://unctad.org/page/data-protection-and-privacy-legislation-worldwide;%20https:/www.unicef.org/cameroon/" TargetMode="External" Id="rId103" /><Relationship Type="http://schemas.openxmlformats.org/officeDocument/2006/relationships/hyperlink" Target="https://www.unicef.org/cameroon/" TargetMode="External" Id="rId104" /><Relationship Type="http://schemas.openxmlformats.org/officeDocument/2006/relationships/hyperlink" Target="https://unctad.org/page/data-protection-and-privacy-legislation-worldwide" TargetMode="External" Id="rId105" /><Relationship Type="http://schemas.openxmlformats.org/officeDocument/2006/relationships/hyperlink" Target="https://www.humandignitytrust.org/country-profile/cameroon/;%20https:/ilga.org/ilga-world-maps/" TargetMode="External" Id="rId106" /><Relationship Type="http://schemas.openxmlformats.org/officeDocument/2006/relationships/hyperlink" Target="https://ilga.org/ilga-world-maps/" TargetMode="External" Id="rId107" /><Relationship Type="http://schemas.openxmlformats.org/officeDocument/2006/relationships/hyperlink" Target="https://en.unesco.org/artificial-intelligence/observatory/policies?country=CM;%20https://www.unesco.org/ethics-ai/en/global-hub" TargetMode="External" Id="rId108" /><Relationship Type="http://schemas.openxmlformats.org/officeDocument/2006/relationships/hyperlink" Target="https://unctad.org/page/data-protection-and-privacy-legislation-worldwide" TargetMode="External" Id="rId10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10" /><Relationship Type="http://schemas.openxmlformats.org/officeDocument/2006/relationships/hyperlink" Target="https://unctad.org/page/data-protection-and-privacy-legislation-worldwide" TargetMode="External" Id="rId111" /><Relationship Type="http://schemas.openxmlformats.org/officeDocument/2006/relationships/hyperlink" Target="https://unctad.org/page/data-protection-and-privacy-legislation-worldwide" TargetMode="External" Id="rId112" /><Relationship Type="http://schemas.openxmlformats.org/officeDocument/2006/relationships/hyperlink" Target="https://unctad.org/page/data-protection-and-privacy-legislation-worldwide;%20https:/www.unicef.org/central-african-republic/" TargetMode="External" Id="rId113" /><Relationship Type="http://schemas.openxmlformats.org/officeDocument/2006/relationships/hyperlink" Target="https://www.unicef.org/central-african-republic/" TargetMode="External" Id="rId114" /><Relationship Type="http://schemas.openxmlformats.org/officeDocument/2006/relationships/hyperlink" Target="https://unctad.org/page/data-protection-and-privacy-legislation-worldwide" TargetMode="External" Id="rId115" /><Relationship Type="http://schemas.openxmlformats.org/officeDocument/2006/relationships/hyperlink" Target="https://www.humandignitytrust.org/country-profile/central-african-republic/;%20https:/ilga.org/ilga-world-maps/" TargetMode="External" Id="rId116" /><Relationship Type="http://schemas.openxmlformats.org/officeDocument/2006/relationships/hyperlink" Target="https://ilga.org/ilga-world-maps/" TargetMode="External" Id="rId117" /><Relationship Type="http://schemas.openxmlformats.org/officeDocument/2006/relationships/hyperlink" Target="https://en.unesco.org/artificial-intelligence/observatory/policies?country=CF;%20https://www.unesco.org/ethics-ai/en/global-hub" TargetMode="External" Id="rId118" /><Relationship Type="http://schemas.openxmlformats.org/officeDocument/2006/relationships/hyperlink" Target="https://unctad.org/page/data-protection-and-privacy-legislation-worldwide" TargetMode="External" Id="rId11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20" /><Relationship Type="http://schemas.openxmlformats.org/officeDocument/2006/relationships/hyperlink" Target="https://unctad.org/page/data-protection-and-privacy-legislation-worldwide" TargetMode="External" Id="rId121" /><Relationship Type="http://schemas.openxmlformats.org/officeDocument/2006/relationships/hyperlink" Target="https://unctad.org/page/data-protection-and-privacy-legislation-worldwide" TargetMode="External" Id="rId122" /><Relationship Type="http://schemas.openxmlformats.org/officeDocument/2006/relationships/hyperlink" Target="https://unctad.org/page/data-protection-and-privacy-legislation-worldwide;%20https:/www.unicef.org/chad/" TargetMode="External" Id="rId123" /><Relationship Type="http://schemas.openxmlformats.org/officeDocument/2006/relationships/hyperlink" Target="https://www.unicef.org/chad/" TargetMode="External" Id="rId124" /><Relationship Type="http://schemas.openxmlformats.org/officeDocument/2006/relationships/hyperlink" Target="https://unctad.org/page/data-protection-and-privacy-legislation-worldwide" TargetMode="External" Id="rId125" /><Relationship Type="http://schemas.openxmlformats.org/officeDocument/2006/relationships/hyperlink" Target="https://www.humandignitytrust.org/country-profile/chad/;%20https:/ilga.org/ilga-world-maps/" TargetMode="External" Id="rId126" /><Relationship Type="http://schemas.openxmlformats.org/officeDocument/2006/relationships/hyperlink" Target="https://ilga.org/ilga-world-maps/" TargetMode="External" Id="rId127" /><Relationship Type="http://schemas.openxmlformats.org/officeDocument/2006/relationships/hyperlink" Target="https://en.unesco.org/artificial-intelligence/observatory/policies?country=TD;%20https://www.unesco.org/ethics-ai/en/global-hub" TargetMode="External" Id="rId128" /><Relationship Type="http://schemas.openxmlformats.org/officeDocument/2006/relationships/hyperlink" Target="https://unctad.org/page/data-protection-and-privacy-legislation-worldwide" TargetMode="External" Id="rId12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30" /><Relationship Type="http://schemas.openxmlformats.org/officeDocument/2006/relationships/hyperlink" Target="https://unctad.org/page/data-protection-and-privacy-legislation-worldwide" TargetMode="External" Id="rId131" /><Relationship Type="http://schemas.openxmlformats.org/officeDocument/2006/relationships/hyperlink" Target="https://unctad.org/page/data-protection-and-privacy-legislation-worldwide" TargetMode="External" Id="rId132" /><Relationship Type="http://schemas.openxmlformats.org/officeDocument/2006/relationships/hyperlink" Target="https://unctad.org/page/data-protection-and-privacy-legislation-worldwide;%20https:/www.unicef.org/congo-republic-of-the/" TargetMode="External" Id="rId133" /><Relationship Type="http://schemas.openxmlformats.org/officeDocument/2006/relationships/hyperlink" Target="https://www.unicef.org/congo-republic-of-the/" TargetMode="External" Id="rId134" /><Relationship Type="http://schemas.openxmlformats.org/officeDocument/2006/relationships/hyperlink" Target="https://unctad.org/page/data-protection-and-privacy-legislation-worldwide" TargetMode="External" Id="rId135" /><Relationship Type="http://schemas.openxmlformats.org/officeDocument/2006/relationships/hyperlink" Target="https://www.humandignitytrust.org/country-profile/congo-republic-of-the/;%20https:/ilga.org/ilga-world-maps/" TargetMode="External" Id="rId136" /><Relationship Type="http://schemas.openxmlformats.org/officeDocument/2006/relationships/hyperlink" Target="https://ilga.org/ilga-world-maps/" TargetMode="External" Id="rId137" /><Relationship Type="http://schemas.openxmlformats.org/officeDocument/2006/relationships/hyperlink" Target="https://www.unesco.org/ethics-ai/en/global-hub" TargetMode="External" Id="rId138" /><Relationship Type="http://schemas.openxmlformats.org/officeDocument/2006/relationships/hyperlink" Target="https://unctad.org/page/data-protection-and-privacy-legislation-worldwide" TargetMode="External" Id="rId13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40" /><Relationship Type="http://schemas.openxmlformats.org/officeDocument/2006/relationships/hyperlink" Target="https://unctad.org/page/data-protection-and-privacy-legislation-worldwide" TargetMode="External" Id="rId141" /><Relationship Type="http://schemas.openxmlformats.org/officeDocument/2006/relationships/hyperlink" Target="https://unctad.org/page/data-protection-and-privacy-legislation-worldwide" TargetMode="External" Id="rId142" /><Relationship Type="http://schemas.openxmlformats.org/officeDocument/2006/relationships/hyperlink" Target="https://www.unicef.org/equatorial-guinea/" TargetMode="External" Id="rId143" /><Relationship Type="http://schemas.openxmlformats.org/officeDocument/2006/relationships/hyperlink" Target="https://www.unicef.org/equatorial-guinea/" TargetMode="External" Id="rId144" /><Relationship Type="http://schemas.openxmlformats.org/officeDocument/2006/relationships/hyperlink" Target="https://unctad.org/page/data-protection-and-privacy-legislation-worldwide" TargetMode="External" Id="rId145" /><Relationship Type="http://schemas.openxmlformats.org/officeDocument/2006/relationships/hyperlink" Target="https://www.humandignitytrust.org/country-profile/equatorial-guinea/;%20https:/ilga.org/ilga-world-maps/" TargetMode="External" Id="rId146" /><Relationship Type="http://schemas.openxmlformats.org/officeDocument/2006/relationships/hyperlink" Target="https://ilga.org/ilga-world-maps/" TargetMode="External" Id="rId147" /><Relationship Type="http://schemas.openxmlformats.org/officeDocument/2006/relationships/hyperlink" Target="https://en.unesco.org/artificial-intelligence/observatory/policies?country=GQ;%20https://www.unesco.org/ethics-ai/en/global-hub" TargetMode="External" Id="rId148" /><Relationship Type="http://schemas.openxmlformats.org/officeDocument/2006/relationships/hyperlink" Target="https://unctad.org/page/data-protection-and-privacy-legislation-worldwide" TargetMode="External" Id="rId14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50" /><Relationship Type="http://schemas.openxmlformats.org/officeDocument/2006/relationships/hyperlink" Target="https://unctad.org/page/data-protection-and-privacy-legislation-worldwide" TargetMode="External" Id="rId151" /><Relationship Type="http://schemas.openxmlformats.org/officeDocument/2006/relationships/hyperlink" Target="https://unctad.org/page/data-protection-and-privacy-legislation-worldwide" TargetMode="External" Id="rId152" /><Relationship Type="http://schemas.openxmlformats.org/officeDocument/2006/relationships/hyperlink" Target="https://unctad.org/page/data-protection-and-privacy-legislation-worldwide;%20https:/www.unicef.org/gabon/" TargetMode="External" Id="rId153" /><Relationship Type="http://schemas.openxmlformats.org/officeDocument/2006/relationships/hyperlink" Target="https://www.unicef.org/gabon/" TargetMode="External" Id="rId154" /><Relationship Type="http://schemas.openxmlformats.org/officeDocument/2006/relationships/hyperlink" Target="https://unctad.org/page/data-protection-and-privacy-legislation-worldwide" TargetMode="External" Id="rId155" /><Relationship Type="http://schemas.openxmlformats.org/officeDocument/2006/relationships/hyperlink" Target="https://www.humandignitytrust.org/country-profile/gabon/;%20https:/ilga.org/ilga-world-maps/" TargetMode="External" Id="rId156" /><Relationship Type="http://schemas.openxmlformats.org/officeDocument/2006/relationships/hyperlink" Target="https://ilga.org/ilga-world-maps/" TargetMode="External" Id="rId157" /><Relationship Type="http://schemas.openxmlformats.org/officeDocument/2006/relationships/hyperlink" Target="https://en.unesco.org/artificial-intelligence/observatory/policies?country=GA;%20https://www.unesco.org/ethics-ai/en/global-hub" TargetMode="External" Id="rId158" /><Relationship Type="http://schemas.openxmlformats.org/officeDocument/2006/relationships/hyperlink" Target="https://unctad.org/page/data-protection-and-privacy-legislation-worldwide" TargetMode="External" Id="rId159" /><Relationship Type="http://schemas.openxmlformats.org/officeDocument/2006/relationships/hyperlink" Target="https://www.gsma.com/solutions-and-impact/connectivity-for-good/public-policy/mobile-policy-handbook/consumer-protection/mandatory-registration-of-prepaid-sims/" TargetMode="External" Id="rId160" /><Relationship Type="http://schemas.openxmlformats.org/officeDocument/2006/relationships/hyperlink" Target="https://unctad.org/page/data-protection-and-privacy-legislation-worldwide" TargetMode="External" Id="rId161" /><Relationship Type="http://schemas.openxmlformats.org/officeDocument/2006/relationships/hyperlink" Target="https://unctad.org/page/data-protection-and-privacy-legislation-worldwide" TargetMode="External" Id="rId162" /><Relationship Type="http://schemas.openxmlformats.org/officeDocument/2006/relationships/hyperlink" Target="https://www.unicef.org/sao-tome-and-principe/" TargetMode="External" Id="rId163" /><Relationship Type="http://schemas.openxmlformats.org/officeDocument/2006/relationships/hyperlink" Target="https://www.unicef.org/sao-tome-and-principe/" TargetMode="External" Id="rId164" /><Relationship Type="http://schemas.openxmlformats.org/officeDocument/2006/relationships/hyperlink" Target="https://unctad.org/page/data-protection-and-privacy-legislation-worldwide" TargetMode="External" Id="rId165" /><Relationship Type="http://schemas.openxmlformats.org/officeDocument/2006/relationships/hyperlink" Target="https://www.humandignitytrust.org/country-profile/sao-tome-and-principe/;%20https:/ilga.org/ilga-world-maps/" TargetMode="External" Id="rId166" /><Relationship Type="http://schemas.openxmlformats.org/officeDocument/2006/relationships/hyperlink" Target="https://ilga.org/ilga-world-maps/" TargetMode="External" Id="rId167" /><Relationship Type="http://schemas.openxmlformats.org/officeDocument/2006/relationships/hyperlink" Target="https://en.unesco.org/artificial-intelligence/observatory/policies?country=ST;%20https://www.unesco.org/ethics-ai/en/global-hub" TargetMode="External" Id="rId168" /><Relationship Type="http://schemas.openxmlformats.org/officeDocument/2006/relationships/hyperlink" Target="https://unctad.org/page/data-protection-and-privacy-legislation-worldwide" TargetMode="External" Id="rId169" /><Relationship Type="http://schemas.openxmlformats.org/officeDocument/2006/relationships/hyperlink" Target="https://www.gsma.com/solutions-and-impact/connectivity-for-good/public-policy/mobile-policy-handbook/consumer-protection/mandatory-registration-of-prepaid-sims/" TargetMode="External" Id="rId170" /><Relationship Type="http://schemas.openxmlformats.org/officeDocument/2006/relationships/hyperlink" Target="https://unctad.org/page/data-protection-and-privacy-legislation-worldwide" TargetMode="External" Id="rId171" /><Relationship Type="http://schemas.openxmlformats.org/officeDocument/2006/relationships/hyperlink" Target="https://unctad.org/page/data-protection-and-privacy-legislation-worldwide" TargetMode="External" Id="rId172" /><Relationship Type="http://schemas.openxmlformats.org/officeDocument/2006/relationships/hyperlink" Target="https://unctad.org/page/data-protection-and-privacy-legislation-worldwide;%20https:/www.unicef.org/benin/" TargetMode="External" Id="rId173" /><Relationship Type="http://schemas.openxmlformats.org/officeDocument/2006/relationships/hyperlink" Target="https://www.unicef.org/benin/" TargetMode="External" Id="rId174" /><Relationship Type="http://schemas.openxmlformats.org/officeDocument/2006/relationships/hyperlink" Target="https://unctad.org/page/data-protection-and-privacy-legislation-worldwide" TargetMode="External" Id="rId175" /><Relationship Type="http://schemas.openxmlformats.org/officeDocument/2006/relationships/hyperlink" Target="https://www.humandignitytrust.org/country-profile/benin/;%20https:/ilga.org/ilga-world-maps/" TargetMode="External" Id="rId176" /><Relationship Type="http://schemas.openxmlformats.org/officeDocument/2006/relationships/hyperlink" Target="https://ilga.org/ilga-world-maps/" TargetMode="External" Id="rId177" /><Relationship Type="http://schemas.openxmlformats.org/officeDocument/2006/relationships/hyperlink" Target="https://en.unesco.org/artificial-intelligence/observatory/policies?country=BJ;%20https://www.unesco.org/ethics-ai/en/global-hub" TargetMode="External" Id="rId178" /><Relationship Type="http://schemas.openxmlformats.org/officeDocument/2006/relationships/hyperlink" Target="https://unctad.org/page/data-protection-and-privacy-legislation-worldwide" TargetMode="External" Id="rId17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80" /><Relationship Type="http://schemas.openxmlformats.org/officeDocument/2006/relationships/hyperlink" Target="https://unctad.org/page/data-protection-and-privacy-legislation-worldwide" TargetMode="External" Id="rId181" /><Relationship Type="http://schemas.openxmlformats.org/officeDocument/2006/relationships/hyperlink" Target="https://unctad.org/page/data-protection-and-privacy-legislation-worldwide" TargetMode="External" Id="rId182" /><Relationship Type="http://schemas.openxmlformats.org/officeDocument/2006/relationships/hyperlink" Target="https://unctad.org/page/data-protection-and-privacy-legislation-worldwide;%20https:/www.unicef.org/burkina-faso/" TargetMode="External" Id="rId183" /><Relationship Type="http://schemas.openxmlformats.org/officeDocument/2006/relationships/hyperlink" Target="https://www.unicef.org/burkina-faso/" TargetMode="External" Id="rId184" /><Relationship Type="http://schemas.openxmlformats.org/officeDocument/2006/relationships/hyperlink" Target="https://unctad.org/page/data-protection-and-privacy-legislation-worldwide" TargetMode="External" Id="rId185" /><Relationship Type="http://schemas.openxmlformats.org/officeDocument/2006/relationships/hyperlink" Target="https://www.humandignitytrust.org/country-profile/burkina-faso/;%20https:/ilga.org/ilga-world-maps/" TargetMode="External" Id="rId186" /><Relationship Type="http://schemas.openxmlformats.org/officeDocument/2006/relationships/hyperlink" Target="https://ilga.org/ilga-world-maps/" TargetMode="External" Id="rId187" /><Relationship Type="http://schemas.openxmlformats.org/officeDocument/2006/relationships/hyperlink" Target="https://en.unesco.org/artificial-intelligence/observatory/policies?country=BF;%20https://www.unesco.org/ethics-ai/en/global-hub" TargetMode="External" Id="rId188" /><Relationship Type="http://schemas.openxmlformats.org/officeDocument/2006/relationships/hyperlink" Target="https://unctad.org/page/data-protection-and-privacy-legislation-worldwide" TargetMode="External" Id="rId18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90" /><Relationship Type="http://schemas.openxmlformats.org/officeDocument/2006/relationships/hyperlink" Target="https://unctad.org/page/data-protection-and-privacy-legislation-worldwide" TargetMode="External" Id="rId191" /><Relationship Type="http://schemas.openxmlformats.org/officeDocument/2006/relationships/hyperlink" Target="https://unctad.org/page/data-protection-and-privacy-legislation-worldwide" TargetMode="External" Id="rId192" /><Relationship Type="http://schemas.openxmlformats.org/officeDocument/2006/relationships/hyperlink" Target="https://unctad.org/page/data-protection-and-privacy-legislation-worldwide;%20https:/www.unicef.org/cabo-verde/" TargetMode="External" Id="rId193" /><Relationship Type="http://schemas.openxmlformats.org/officeDocument/2006/relationships/hyperlink" Target="https://www.unicef.org/cabo-verde/" TargetMode="External" Id="rId194" /><Relationship Type="http://schemas.openxmlformats.org/officeDocument/2006/relationships/hyperlink" Target="https://unctad.org/page/data-protection-and-privacy-legislation-worldwide" TargetMode="External" Id="rId195" /><Relationship Type="http://schemas.openxmlformats.org/officeDocument/2006/relationships/hyperlink" Target="https://www.humandignitytrust.org/country-profile/cabo-verde/;%20https:/ilga.org/ilga-world-maps/" TargetMode="External" Id="rId196" /><Relationship Type="http://schemas.openxmlformats.org/officeDocument/2006/relationships/hyperlink" Target="https://ilga.org/ilga-world-maps/" TargetMode="External" Id="rId197" /><Relationship Type="http://schemas.openxmlformats.org/officeDocument/2006/relationships/hyperlink" Target="https://en.unesco.org/artificial-intelligence/observatory/policies?country=CV;%20https://www.unesco.org/ethics-ai/en/global-hub" TargetMode="External" Id="rId198" /><Relationship Type="http://schemas.openxmlformats.org/officeDocument/2006/relationships/hyperlink" Target="https://unctad.org/page/data-protection-and-privacy-legislation-worldwide" TargetMode="External" Id="rId19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200" /><Relationship Type="http://schemas.openxmlformats.org/officeDocument/2006/relationships/hyperlink" Target="https://unctad.org/page/data-protection-and-privacy-legislation-worldwide" TargetMode="External" Id="rId201" /><Relationship Type="http://schemas.openxmlformats.org/officeDocument/2006/relationships/hyperlink" Target="https://unctad.org/page/data-protection-and-privacy-legislation-worldwide" TargetMode="External" Id="rId202" /><Relationship Type="http://schemas.openxmlformats.org/officeDocument/2006/relationships/hyperlink" Target="https://unctad.org/page/data-protection-and-privacy-legislation-worldwide;%20https:/www.unicef.org/cote-divoire/" TargetMode="External" Id="rId203" /><Relationship Type="http://schemas.openxmlformats.org/officeDocument/2006/relationships/hyperlink" Target="https://www.unicef.org/cote-divoire/" TargetMode="External" Id="rId204" /><Relationship Type="http://schemas.openxmlformats.org/officeDocument/2006/relationships/hyperlink" Target="https://unctad.org/page/data-protection-and-privacy-legislation-worldwide" TargetMode="External" Id="rId205" /><Relationship Type="http://schemas.openxmlformats.org/officeDocument/2006/relationships/hyperlink" Target="https://www.humandignitytrust.org/country-profile/cote-divoire/;%20https:/ilga.org/ilga-world-maps/" TargetMode="External" Id="rId206" /><Relationship Type="http://schemas.openxmlformats.org/officeDocument/2006/relationships/hyperlink" Target="https://ilga.org/ilga-world-maps/" TargetMode="External" Id="rId207" /><Relationship Type="http://schemas.openxmlformats.org/officeDocument/2006/relationships/hyperlink" Target="https://www.unesco.org/ethics-ai/en/global-hub" TargetMode="External" Id="rId208" /><Relationship Type="http://schemas.openxmlformats.org/officeDocument/2006/relationships/hyperlink" Target="https://unctad.org/page/data-protection-and-privacy-legislation-worldwide" TargetMode="External" Id="rId20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210" /><Relationship Type="http://schemas.openxmlformats.org/officeDocument/2006/relationships/hyperlink" Target="https://unctad.org/page/data-protection-and-privacy-legislation-worldwide" TargetMode="External" Id="rId211" /><Relationship Type="http://schemas.openxmlformats.org/officeDocument/2006/relationships/hyperlink" Target="https://unctad.org/page/data-protection-and-privacy-legislation-worldwide" TargetMode="External" Id="rId212" /><Relationship Type="http://schemas.openxmlformats.org/officeDocument/2006/relationships/hyperlink" Target="https://www.unicef.org/gambia/" TargetMode="External" Id="rId213" /><Relationship Type="http://schemas.openxmlformats.org/officeDocument/2006/relationships/hyperlink" Target="https://www.unicef.org/gambia/" TargetMode="External" Id="rId214" /><Relationship Type="http://schemas.openxmlformats.org/officeDocument/2006/relationships/hyperlink" Target="https://unctad.org/page/data-protection-and-privacy-legislation-worldwide" TargetMode="External" Id="rId215" /><Relationship Type="http://schemas.openxmlformats.org/officeDocument/2006/relationships/hyperlink" Target="https://www.humandignitytrust.org/country-profile/gambia/;%20https:/ilga.org/ilga-world-maps/" TargetMode="External" Id="rId216" /><Relationship Type="http://schemas.openxmlformats.org/officeDocument/2006/relationships/hyperlink" Target="https://ilga.org/ilga-world-maps/" TargetMode="External" Id="rId217" /><Relationship Type="http://schemas.openxmlformats.org/officeDocument/2006/relationships/hyperlink" Target="https://en.unesco.org/artificial-intelligence/observatory/policies?country=GM;%20https://www.unesco.org/ethics-ai/en/global-hub" TargetMode="External" Id="rId218" /><Relationship Type="http://schemas.openxmlformats.org/officeDocument/2006/relationships/hyperlink" Target="https://unctad.org/page/data-protection-and-privacy-legislation-worldwide" TargetMode="External" Id="rId21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220" /><Relationship Type="http://schemas.openxmlformats.org/officeDocument/2006/relationships/hyperlink" Target="https://unctad.org/page/data-protection-and-privacy-legislation-worldwide" TargetMode="External" Id="rId221" /><Relationship Type="http://schemas.openxmlformats.org/officeDocument/2006/relationships/hyperlink" Target="https://unctad.org/page/data-protection-and-privacy-legislation-worldwide" TargetMode="External" Id="rId222" /><Relationship Type="http://schemas.openxmlformats.org/officeDocument/2006/relationships/hyperlink" Target="https://unctad.org/page/data-protection-and-privacy-legislation-worldwide;%20https:/www.unicef.org/ghana/" TargetMode="External" Id="rId223" /><Relationship Type="http://schemas.openxmlformats.org/officeDocument/2006/relationships/hyperlink" Target="https://www.unicef.org/ghana/" TargetMode="External" Id="rId224" /><Relationship Type="http://schemas.openxmlformats.org/officeDocument/2006/relationships/hyperlink" Target="https://unctad.org/page/data-protection-and-privacy-legislation-worldwide" TargetMode="External" Id="rId225" /><Relationship Type="http://schemas.openxmlformats.org/officeDocument/2006/relationships/hyperlink" Target="https://www.humandignitytrust.org/country-profile/ghana/;%20https:/ilga.org/ilga-world-maps/" TargetMode="External" Id="rId226" /><Relationship Type="http://schemas.openxmlformats.org/officeDocument/2006/relationships/hyperlink" Target="https://ilga.org/ilga-world-maps/" TargetMode="External" Id="rId227" /><Relationship Type="http://schemas.openxmlformats.org/officeDocument/2006/relationships/hyperlink" Target="https://en.unesco.org/artificial-intelligence/observatory/policies?country=GH;%20https://www.unesco.org/ethics-ai/en/global-hub" TargetMode="External" Id="rId228" /><Relationship Type="http://schemas.openxmlformats.org/officeDocument/2006/relationships/hyperlink" Target="https://unctad.org/page/data-protection-and-privacy-legislation-worldwide" TargetMode="External" Id="rId22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230" /><Relationship Type="http://schemas.openxmlformats.org/officeDocument/2006/relationships/hyperlink" Target="https://unctad.org/page/data-protection-and-privacy-legislation-worldwide" TargetMode="External" Id="rId231" /><Relationship Type="http://schemas.openxmlformats.org/officeDocument/2006/relationships/hyperlink" Target="https://unctad.org/page/data-protection-and-privacy-legislation-worldwide" TargetMode="External" Id="rId232" /><Relationship Type="http://schemas.openxmlformats.org/officeDocument/2006/relationships/hyperlink" Target="https://unctad.org/page/data-protection-and-privacy-legislation-worldwide;%20https:/www.unicef.org/guinea/" TargetMode="External" Id="rId233" /><Relationship Type="http://schemas.openxmlformats.org/officeDocument/2006/relationships/hyperlink" Target="https://www.unicef.org/guinea/" TargetMode="External" Id="rId234" /><Relationship Type="http://schemas.openxmlformats.org/officeDocument/2006/relationships/hyperlink" Target="https://unctad.org/page/data-protection-and-privacy-legislation-worldwide" TargetMode="External" Id="rId235" /><Relationship Type="http://schemas.openxmlformats.org/officeDocument/2006/relationships/hyperlink" Target="https://www.humandignitytrust.org/country-profile/guinea/;%20https:/ilga.org/ilga-world-maps/" TargetMode="External" Id="rId236" /><Relationship Type="http://schemas.openxmlformats.org/officeDocument/2006/relationships/hyperlink" Target="https://ilga.org/ilga-world-maps/" TargetMode="External" Id="rId237" /><Relationship Type="http://schemas.openxmlformats.org/officeDocument/2006/relationships/hyperlink" Target="https://en.unesco.org/artificial-intelligence/observatory/policies?country=GN;%20https://www.unesco.org/ethics-ai/en/global-hub" TargetMode="External" Id="rId238" /><Relationship Type="http://schemas.openxmlformats.org/officeDocument/2006/relationships/hyperlink" Target="https://unctad.org/page/data-protection-and-privacy-legislation-worldwide" TargetMode="External" Id="rId23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240" /><Relationship Type="http://schemas.openxmlformats.org/officeDocument/2006/relationships/hyperlink" Target="https://unctad.org/page/data-protection-and-privacy-legislation-worldwide" TargetMode="External" Id="rId241" /><Relationship Type="http://schemas.openxmlformats.org/officeDocument/2006/relationships/hyperlink" Target="https://unctad.org/page/data-protection-and-privacy-legislation-worldwide" TargetMode="External" Id="rId242" /><Relationship Type="http://schemas.openxmlformats.org/officeDocument/2006/relationships/hyperlink" Target="https://www.unicef.org/guinea-bissau/" TargetMode="External" Id="rId243" /><Relationship Type="http://schemas.openxmlformats.org/officeDocument/2006/relationships/hyperlink" Target="https://www.unicef.org/guinea-bissau/" TargetMode="External" Id="rId244" /><Relationship Type="http://schemas.openxmlformats.org/officeDocument/2006/relationships/hyperlink" Target="https://unctad.org/page/data-protection-and-privacy-legislation-worldwide" TargetMode="External" Id="rId245" /><Relationship Type="http://schemas.openxmlformats.org/officeDocument/2006/relationships/hyperlink" Target="https://www.humandignitytrust.org/country-profile/guinea-bissau/;%20https:/ilga.org/ilga-world-maps/" TargetMode="External" Id="rId246" /><Relationship Type="http://schemas.openxmlformats.org/officeDocument/2006/relationships/hyperlink" Target="https://ilga.org/ilga-world-maps/" TargetMode="External" Id="rId247" /><Relationship Type="http://schemas.openxmlformats.org/officeDocument/2006/relationships/hyperlink" Target="https://en.unesco.org/artificial-intelligence/observatory/policies?country=GW;%20https://www.unesco.org/ethics-ai/en/global-hub" TargetMode="External" Id="rId248" /><Relationship Type="http://schemas.openxmlformats.org/officeDocument/2006/relationships/hyperlink" Target="https://unctad.org/page/data-protection-and-privacy-legislation-worldwide" TargetMode="External" Id="rId249" /><Relationship Type="http://schemas.openxmlformats.org/officeDocument/2006/relationships/hyperlink" Target="https://www.gsma.com/solutions-and-impact/connectivity-for-good/public-policy/mobile-policy-handbook/consumer-protection/mandatory-registration-of-prepaid-sims/" TargetMode="External" Id="rId250" /><Relationship Type="http://schemas.openxmlformats.org/officeDocument/2006/relationships/hyperlink" Target="https://unctad.org/page/data-protection-and-privacy-legislation-worldwide" TargetMode="External" Id="rId251" /><Relationship Type="http://schemas.openxmlformats.org/officeDocument/2006/relationships/hyperlink" Target="https://unctad.org/page/data-protection-and-privacy-legislation-worldwide" TargetMode="External" Id="rId252" /><Relationship Type="http://schemas.openxmlformats.org/officeDocument/2006/relationships/hyperlink" Target="https://www.unicef.org/liberia/" TargetMode="External" Id="rId253" /><Relationship Type="http://schemas.openxmlformats.org/officeDocument/2006/relationships/hyperlink" Target="https://www.unicef.org/liberia/" TargetMode="External" Id="rId254" /><Relationship Type="http://schemas.openxmlformats.org/officeDocument/2006/relationships/hyperlink" Target="https://unctad.org/page/data-protection-and-privacy-legislation-worldwide" TargetMode="External" Id="rId255" /><Relationship Type="http://schemas.openxmlformats.org/officeDocument/2006/relationships/hyperlink" Target="https://www.humandignitytrust.org/country-profile/liberia/;%20https:/ilga.org/ilga-world-maps/" TargetMode="External" Id="rId256" /><Relationship Type="http://schemas.openxmlformats.org/officeDocument/2006/relationships/hyperlink" Target="https://ilga.org/ilga-world-maps/" TargetMode="External" Id="rId257" /><Relationship Type="http://schemas.openxmlformats.org/officeDocument/2006/relationships/hyperlink" Target="https://en.unesco.org/artificial-intelligence/observatory/policies?country=LR;%20https://www.unesco.org/ethics-ai/en/global-hub" TargetMode="External" Id="rId258" /><Relationship Type="http://schemas.openxmlformats.org/officeDocument/2006/relationships/hyperlink" Target="https://unctad.org/page/data-protection-and-privacy-legislation-worldwide" TargetMode="External" Id="rId259" /><Relationship Type="http://schemas.openxmlformats.org/officeDocument/2006/relationships/hyperlink" Target="https://www.gsma.com/solutions-and-impact/connectivity-for-good/public-policy/mobile-policy-handbook/consumer-protection/mandatory-registration-of-prepaid-sims/" TargetMode="External" Id="rId260" /><Relationship Type="http://schemas.openxmlformats.org/officeDocument/2006/relationships/hyperlink" Target="https://unctad.org/page/data-protection-and-privacy-legislation-worldwide" TargetMode="External" Id="rId261" /><Relationship Type="http://schemas.openxmlformats.org/officeDocument/2006/relationships/hyperlink" Target="https://unctad.org/page/data-protection-and-privacy-legislation-worldwide" TargetMode="External" Id="rId262" /><Relationship Type="http://schemas.openxmlformats.org/officeDocument/2006/relationships/hyperlink" Target="https://www.unicef.org/mali/" TargetMode="External" Id="rId263" /><Relationship Type="http://schemas.openxmlformats.org/officeDocument/2006/relationships/hyperlink" Target="https://www.unicef.org/mali/" TargetMode="External" Id="rId264" /><Relationship Type="http://schemas.openxmlformats.org/officeDocument/2006/relationships/hyperlink" Target="https://unctad.org/page/data-protection-and-privacy-legislation-worldwide" TargetMode="External" Id="rId265" /><Relationship Type="http://schemas.openxmlformats.org/officeDocument/2006/relationships/hyperlink" Target="https://www.humandignitytrust.org/country-profile/mali/;%20https:/ilga.org/ilga-world-maps/" TargetMode="External" Id="rId266" /><Relationship Type="http://schemas.openxmlformats.org/officeDocument/2006/relationships/hyperlink" Target="https://ilga.org/ilga-world-maps/" TargetMode="External" Id="rId267" /><Relationship Type="http://schemas.openxmlformats.org/officeDocument/2006/relationships/hyperlink" Target="https://en.unesco.org/artificial-intelligence/observatory/policies?country=ML;%20https://www.unesco.org/ethics-ai/en/global-hub" TargetMode="External" Id="rId268" /><Relationship Type="http://schemas.openxmlformats.org/officeDocument/2006/relationships/hyperlink" Target="https://unctad.org/page/data-protection-and-privacy-legislation-worldwide" TargetMode="External" Id="rId26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270" /><Relationship Type="http://schemas.openxmlformats.org/officeDocument/2006/relationships/hyperlink" Target="https://unctad.org/page/data-protection-and-privacy-legislation-worldwide" TargetMode="External" Id="rId271" /><Relationship Type="http://schemas.openxmlformats.org/officeDocument/2006/relationships/hyperlink" Target="https://unctad.org/page/data-protection-and-privacy-legislation-worldwide" TargetMode="External" Id="rId272" /><Relationship Type="http://schemas.openxmlformats.org/officeDocument/2006/relationships/hyperlink" Target="https://www.unicef.org/niger/" TargetMode="External" Id="rId273" /><Relationship Type="http://schemas.openxmlformats.org/officeDocument/2006/relationships/hyperlink" Target="https://www.unicef.org/niger/" TargetMode="External" Id="rId274" /><Relationship Type="http://schemas.openxmlformats.org/officeDocument/2006/relationships/hyperlink" Target="https://unctad.org/page/data-protection-and-privacy-legislation-worldwide" TargetMode="External" Id="rId275" /><Relationship Type="http://schemas.openxmlformats.org/officeDocument/2006/relationships/hyperlink" Target="https://www.humandignitytrust.org/country-profile/niger/;%20https:/ilga.org/ilga-world-maps/" TargetMode="External" Id="rId276" /><Relationship Type="http://schemas.openxmlformats.org/officeDocument/2006/relationships/hyperlink" Target="https://ilga.org/ilga-world-maps/" TargetMode="External" Id="rId277" /><Relationship Type="http://schemas.openxmlformats.org/officeDocument/2006/relationships/hyperlink" Target="https://en.unesco.org/artificial-intelligence/observatory/policies?country=NE;%20https://www.unesco.org/ethics-ai/en/global-hub" TargetMode="External" Id="rId278" /><Relationship Type="http://schemas.openxmlformats.org/officeDocument/2006/relationships/hyperlink" Target="https://unctad.org/page/data-protection-and-privacy-legislation-worldwide" TargetMode="External" Id="rId27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280" /><Relationship Type="http://schemas.openxmlformats.org/officeDocument/2006/relationships/hyperlink" Target="https://unctad.org/page/data-protection-and-privacy-legislation-worldwide" TargetMode="External" Id="rId281" /><Relationship Type="http://schemas.openxmlformats.org/officeDocument/2006/relationships/hyperlink" Target="https://unctad.org/page/data-protection-and-privacy-legislation-worldwide" TargetMode="External" Id="rId282" /><Relationship Type="http://schemas.openxmlformats.org/officeDocument/2006/relationships/hyperlink" Target="https://unctad.org/page/data-protection-and-privacy-legislation-worldwide;%20https:/www.unicef.org/nigeria/" TargetMode="External" Id="rId283" /><Relationship Type="http://schemas.openxmlformats.org/officeDocument/2006/relationships/hyperlink" Target="https://www.unicef.org/nigeria/" TargetMode="External" Id="rId284" /><Relationship Type="http://schemas.openxmlformats.org/officeDocument/2006/relationships/hyperlink" Target="https://unctad.org/page/data-protection-and-privacy-legislation-worldwide" TargetMode="External" Id="rId285" /><Relationship Type="http://schemas.openxmlformats.org/officeDocument/2006/relationships/hyperlink" Target="https://www.humandignitytrust.org/country-profile/nigeria/;%20https:/ilga.org/ilga-world-maps/" TargetMode="External" Id="rId286" /><Relationship Type="http://schemas.openxmlformats.org/officeDocument/2006/relationships/hyperlink" Target="https://ilga.org/ilga-world-maps/" TargetMode="External" Id="rId287" /><Relationship Type="http://schemas.openxmlformats.org/officeDocument/2006/relationships/hyperlink" Target="https://en.unesco.org/artificial-intelligence/observatory/policies?country=NG;%20https://www.unesco.org/ethics-ai/en/global-hub" TargetMode="External" Id="rId288" /><Relationship Type="http://schemas.openxmlformats.org/officeDocument/2006/relationships/hyperlink" Target="https://unctad.org/page/data-protection-and-privacy-legislation-worldwide" TargetMode="External" Id="rId28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290" /><Relationship Type="http://schemas.openxmlformats.org/officeDocument/2006/relationships/hyperlink" Target="https://unctad.org/page/data-protection-and-privacy-legislation-worldwide" TargetMode="External" Id="rId291" /><Relationship Type="http://schemas.openxmlformats.org/officeDocument/2006/relationships/hyperlink" Target="https://unctad.org/page/data-protection-and-privacy-legislation-worldwide" TargetMode="External" Id="rId292" /><Relationship Type="http://schemas.openxmlformats.org/officeDocument/2006/relationships/hyperlink" Target="https://unctad.org/page/data-protection-and-privacy-legislation-worldwide;%20https:/www.unicef.org/senegal/" TargetMode="External" Id="rId293" /><Relationship Type="http://schemas.openxmlformats.org/officeDocument/2006/relationships/hyperlink" Target="https://www.unicef.org/senegal/" TargetMode="External" Id="rId294" /><Relationship Type="http://schemas.openxmlformats.org/officeDocument/2006/relationships/hyperlink" Target="https://unctad.org/page/data-protection-and-privacy-legislation-worldwide" TargetMode="External" Id="rId295" /><Relationship Type="http://schemas.openxmlformats.org/officeDocument/2006/relationships/hyperlink" Target="https://www.humandignitytrust.org/country-profile/senegal/;%20https:/ilga.org/ilga-world-maps/" TargetMode="External" Id="rId296" /><Relationship Type="http://schemas.openxmlformats.org/officeDocument/2006/relationships/hyperlink" Target="https://ilga.org/ilga-world-maps/" TargetMode="External" Id="rId297" /><Relationship Type="http://schemas.openxmlformats.org/officeDocument/2006/relationships/hyperlink" Target="https://en.unesco.org/artificial-intelligence/observatory/policies?country=SN;%20https://www.unesco.org/ethics-ai/en/global-hub" TargetMode="External" Id="rId298" /><Relationship Type="http://schemas.openxmlformats.org/officeDocument/2006/relationships/hyperlink" Target="https://unctad.org/page/data-protection-and-privacy-legislation-worldwide" TargetMode="External" Id="rId299" /><Relationship Type="http://schemas.openxmlformats.org/officeDocument/2006/relationships/hyperlink" Target="https://www.gsma.com/solutions-and-impact/connectivity-for-good/public-policy/mobile-policy-handbook/consumer-protection/mandatory-registration-of-prepaid-sims/" TargetMode="External" Id="rId300" /><Relationship Type="http://schemas.openxmlformats.org/officeDocument/2006/relationships/hyperlink" Target="https://unctad.org/page/data-protection-and-privacy-legislation-worldwide" TargetMode="External" Id="rId301" /><Relationship Type="http://schemas.openxmlformats.org/officeDocument/2006/relationships/hyperlink" Target="https://unctad.org/page/data-protection-and-privacy-legislation-worldwide" TargetMode="External" Id="rId302" /><Relationship Type="http://schemas.openxmlformats.org/officeDocument/2006/relationships/hyperlink" Target="https://unctad.org/page/data-protection-and-privacy-legislation-worldwide;%20https:/www.unicef.org/sierra-leone/" TargetMode="External" Id="rId303" /><Relationship Type="http://schemas.openxmlformats.org/officeDocument/2006/relationships/hyperlink" Target="https://www.unicef.org/sierra-leone/" TargetMode="External" Id="rId304" /><Relationship Type="http://schemas.openxmlformats.org/officeDocument/2006/relationships/hyperlink" Target="https://unctad.org/page/data-protection-and-privacy-legislation-worldwide" TargetMode="External" Id="rId305" /><Relationship Type="http://schemas.openxmlformats.org/officeDocument/2006/relationships/hyperlink" Target="https://www.humandignitytrust.org/country-profile/sierra-leone/;%20https:/ilga.org/ilga-world-maps/" TargetMode="External" Id="rId306" /><Relationship Type="http://schemas.openxmlformats.org/officeDocument/2006/relationships/hyperlink" Target="https://ilga.org/ilga-world-maps/" TargetMode="External" Id="rId307" /><Relationship Type="http://schemas.openxmlformats.org/officeDocument/2006/relationships/hyperlink" Target="https://en.unesco.org/artificial-intelligence/observatory/policies?country=SL;%20https://www.unesco.org/ethics-ai/en/global-hub" TargetMode="External" Id="rId308" /><Relationship Type="http://schemas.openxmlformats.org/officeDocument/2006/relationships/hyperlink" Target="https://unctad.org/page/data-protection-and-privacy-legislation-worldwide" TargetMode="External" Id="rId309" /><Relationship Type="http://schemas.openxmlformats.org/officeDocument/2006/relationships/hyperlink" Target="https://www.gsma.com/solutions-and-impact/connectivity-for-good/public-policy/mobile-policy-handbook/consumer-protection/mandatory-registration-of-prepaid-sims/" TargetMode="External" Id="rId310" /><Relationship Type="http://schemas.openxmlformats.org/officeDocument/2006/relationships/hyperlink" Target="https://unctad.org/page/data-protection-and-privacy-legislation-worldwide" TargetMode="External" Id="rId311" /><Relationship Type="http://schemas.openxmlformats.org/officeDocument/2006/relationships/hyperlink" Target="https://unctad.org/page/data-protection-and-privacy-legislation-worldwide" TargetMode="External" Id="rId312" /><Relationship Type="http://schemas.openxmlformats.org/officeDocument/2006/relationships/hyperlink" Target="https://unctad.org/page/data-protection-and-privacy-legislation-worldwide;%20https:/www.unicef.org/togo/" TargetMode="External" Id="rId313" /><Relationship Type="http://schemas.openxmlformats.org/officeDocument/2006/relationships/hyperlink" Target="https://www.unicef.org/togo/" TargetMode="External" Id="rId314" /><Relationship Type="http://schemas.openxmlformats.org/officeDocument/2006/relationships/hyperlink" Target="https://unctad.org/page/data-protection-and-privacy-legislation-worldwide" TargetMode="External" Id="rId315" /><Relationship Type="http://schemas.openxmlformats.org/officeDocument/2006/relationships/hyperlink" Target="https://www.humandignitytrust.org/country-profile/togo/;%20https:/ilga.org/ilga-world-maps/" TargetMode="External" Id="rId316" /><Relationship Type="http://schemas.openxmlformats.org/officeDocument/2006/relationships/hyperlink" Target="https://ilga.org/ilga-world-maps/" TargetMode="External" Id="rId317" /><Relationship Type="http://schemas.openxmlformats.org/officeDocument/2006/relationships/hyperlink" Target="https://en.unesco.org/artificial-intelligence/observatory/policies?country=TG;%20https://www.unesco.org/ethics-ai/en/global-hub" TargetMode="External" Id="rId318" /><Relationship Type="http://schemas.openxmlformats.org/officeDocument/2006/relationships/hyperlink" Target="https://unctad.org/page/data-protection-and-privacy-legislation-worldwide" TargetMode="External" Id="rId319" /><Relationship Type="http://schemas.openxmlformats.org/officeDocument/2006/relationships/hyperlink" Target="https://www.gsma.com/solutions-and-impact/connectivity-for-good/public-policy/mobile-policy-handbook/consumer-protection/mandatory-registration-of-prepaid-sims/" TargetMode="External" Id="rId320" /><Relationship Type="http://schemas.openxmlformats.org/officeDocument/2006/relationships/hyperlink" Target="https://unctad.org/page/data-protection-and-privacy-legislation-worldwide" TargetMode="External" Id="rId321" /><Relationship Type="http://schemas.openxmlformats.org/officeDocument/2006/relationships/hyperlink" Target="https://unctad.org/page/data-protection-and-privacy-legislation-worldwide" TargetMode="External" Id="rId322" /><Relationship Type="http://schemas.openxmlformats.org/officeDocument/2006/relationships/hyperlink" Target="https://www.unicef.org/djibouti/" TargetMode="External" Id="rId323" /><Relationship Type="http://schemas.openxmlformats.org/officeDocument/2006/relationships/hyperlink" Target="https://www.unicef.org/djibouti/" TargetMode="External" Id="rId324" /><Relationship Type="http://schemas.openxmlformats.org/officeDocument/2006/relationships/hyperlink" Target="https://unctad.org/page/data-protection-and-privacy-legislation-worldwide" TargetMode="External" Id="rId325" /><Relationship Type="http://schemas.openxmlformats.org/officeDocument/2006/relationships/hyperlink" Target="https://www.humandignitytrust.org/country-profile/djibouti/;%20https:/ilga.org/ilga-world-maps/" TargetMode="External" Id="rId326" /><Relationship Type="http://schemas.openxmlformats.org/officeDocument/2006/relationships/hyperlink" Target="https://ilga.org/ilga-world-maps/" TargetMode="External" Id="rId327" /><Relationship Type="http://schemas.openxmlformats.org/officeDocument/2006/relationships/hyperlink" Target="https://en.unesco.org/artificial-intelligence/observatory/policies?country=DJ;%20https://www.unesco.org/ethics-ai/en/global-hub" TargetMode="External" Id="rId328" /><Relationship Type="http://schemas.openxmlformats.org/officeDocument/2006/relationships/hyperlink" Target="https://unctad.org/page/data-protection-and-privacy-legislation-worldwide" TargetMode="External" Id="rId32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330" /><Relationship Type="http://schemas.openxmlformats.org/officeDocument/2006/relationships/hyperlink" Target="https://unctad.org/page/data-protection-and-privacy-legislation-worldwide" TargetMode="External" Id="rId331" /><Relationship Type="http://schemas.openxmlformats.org/officeDocument/2006/relationships/hyperlink" Target="https://unctad.org/page/data-protection-and-privacy-legislation-worldwide" TargetMode="External" Id="rId332" /><Relationship Type="http://schemas.openxmlformats.org/officeDocument/2006/relationships/hyperlink" Target="https://www.unicef.org/eritrea/" TargetMode="External" Id="rId333" /><Relationship Type="http://schemas.openxmlformats.org/officeDocument/2006/relationships/hyperlink" Target="https://www.unicef.org/eritrea/" TargetMode="External" Id="rId334" /><Relationship Type="http://schemas.openxmlformats.org/officeDocument/2006/relationships/hyperlink" Target="https://unctad.org/page/data-protection-and-privacy-legislation-worldwide" TargetMode="External" Id="rId335" /><Relationship Type="http://schemas.openxmlformats.org/officeDocument/2006/relationships/hyperlink" Target="https://www.humandignitytrust.org/country-profile/eritrea/;%20https:/ilga.org/ilga-world-maps/" TargetMode="External" Id="rId336" /><Relationship Type="http://schemas.openxmlformats.org/officeDocument/2006/relationships/hyperlink" Target="https://ilga.org/ilga-world-maps/" TargetMode="External" Id="rId337" /><Relationship Type="http://schemas.openxmlformats.org/officeDocument/2006/relationships/hyperlink" Target="https://en.unesco.org/artificial-intelligence/observatory/policies?country=ER;%20https://www.unesco.org/ethics-ai/en/global-hub" TargetMode="External" Id="rId338" /><Relationship Type="http://schemas.openxmlformats.org/officeDocument/2006/relationships/hyperlink" Target="https://unctad.org/page/data-protection-and-privacy-legislation-worldwide" TargetMode="External" Id="rId33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340" /><Relationship Type="http://schemas.openxmlformats.org/officeDocument/2006/relationships/hyperlink" Target="https://unctad.org/page/data-protection-and-privacy-legislation-worldwide" TargetMode="External" Id="rId341" /><Relationship Type="http://schemas.openxmlformats.org/officeDocument/2006/relationships/hyperlink" Target="https://unctad.org/page/data-protection-and-privacy-legislation-worldwide" TargetMode="External" Id="rId342" /><Relationship Type="http://schemas.openxmlformats.org/officeDocument/2006/relationships/hyperlink" Target="https://unctad.org/page/data-protection-and-privacy-legislation-worldwide;%20https:/www.unicef.org/ethiopia/" TargetMode="External" Id="rId343" /><Relationship Type="http://schemas.openxmlformats.org/officeDocument/2006/relationships/hyperlink" Target="https://www.unicef.org/ethiopia/" TargetMode="External" Id="rId344" /><Relationship Type="http://schemas.openxmlformats.org/officeDocument/2006/relationships/hyperlink" Target="https://unctad.org/page/data-protection-and-privacy-legislation-worldwide" TargetMode="External" Id="rId345" /><Relationship Type="http://schemas.openxmlformats.org/officeDocument/2006/relationships/hyperlink" Target="https://www.humandignitytrust.org/country-profile/ethiopia/;%20https:/ilga.org/ilga-world-maps/" TargetMode="External" Id="rId346" /><Relationship Type="http://schemas.openxmlformats.org/officeDocument/2006/relationships/hyperlink" Target="https://ilga.org/ilga-world-maps/" TargetMode="External" Id="rId347" /><Relationship Type="http://schemas.openxmlformats.org/officeDocument/2006/relationships/hyperlink" Target="https://en.unesco.org/artificial-intelligence/observatory/policies?country=ET;%20https://www.unesco.org/ethics-ai/en/global-hub" TargetMode="External" Id="rId348" /><Relationship Type="http://schemas.openxmlformats.org/officeDocument/2006/relationships/hyperlink" Target="https://unctad.org/page/data-protection-and-privacy-legislation-worldwide" TargetMode="External" Id="rId34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350" /><Relationship Type="http://schemas.openxmlformats.org/officeDocument/2006/relationships/hyperlink" Target="https://unctad.org/page/data-protection-and-privacy-legislation-worldwide" TargetMode="External" Id="rId351" /><Relationship Type="http://schemas.openxmlformats.org/officeDocument/2006/relationships/hyperlink" Target="https://unctad.org/page/data-protection-and-privacy-legislation-worldwide" TargetMode="External" Id="rId352" /><Relationship Type="http://schemas.openxmlformats.org/officeDocument/2006/relationships/hyperlink" Target="https://www.unicef.org/somalia/" TargetMode="External" Id="rId353" /><Relationship Type="http://schemas.openxmlformats.org/officeDocument/2006/relationships/hyperlink" Target="https://www.unicef.org/somalia/" TargetMode="External" Id="rId354" /><Relationship Type="http://schemas.openxmlformats.org/officeDocument/2006/relationships/hyperlink" Target="https://unctad.org/page/data-protection-and-privacy-legislation-worldwide" TargetMode="External" Id="rId355" /><Relationship Type="http://schemas.openxmlformats.org/officeDocument/2006/relationships/hyperlink" Target="https://www.humandignitytrust.org/country-profile/somalia/;%20https:/ilga.org/ilga-world-maps/" TargetMode="External" Id="rId356" /><Relationship Type="http://schemas.openxmlformats.org/officeDocument/2006/relationships/hyperlink" Target="https://ilga.org/ilga-world-maps/" TargetMode="External" Id="rId357" /><Relationship Type="http://schemas.openxmlformats.org/officeDocument/2006/relationships/hyperlink" Target="https://en.unesco.org/artificial-intelligence/observatory/policies?country=SO;%20https://www.unesco.org/ethics-ai/en/global-hub" TargetMode="External" Id="rId358" /><Relationship Type="http://schemas.openxmlformats.org/officeDocument/2006/relationships/hyperlink" Target="https://unctad.org/page/data-protection-and-privacy-legislation-worldwide" TargetMode="External" Id="rId359" /><Relationship Type="http://schemas.openxmlformats.org/officeDocument/2006/relationships/hyperlink" Target="https://www.gsma.com/solutions-and-impact/connectivity-for-good/public-policy/mobile-policy-handbook/consumer-protection/mandatory-registration-of-prepaid-sims/" TargetMode="External" Id="rId360" /><Relationship Type="http://schemas.openxmlformats.org/officeDocument/2006/relationships/hyperlink" Target="https://unctad.org/page/data-protection-and-privacy-legislation-worldwide" TargetMode="External" Id="rId361" /><Relationship Type="http://schemas.openxmlformats.org/officeDocument/2006/relationships/hyperlink" Target="https://unctad.org/page/data-protection-and-privacy-legislation-worldwide" TargetMode="External" Id="rId362" /><Relationship Type="http://schemas.openxmlformats.org/officeDocument/2006/relationships/hyperlink" Target="https://www.unicef.org/south-sudan/" TargetMode="External" Id="rId363" /><Relationship Type="http://schemas.openxmlformats.org/officeDocument/2006/relationships/hyperlink" Target="https://www.unicef.org/south-sudan/" TargetMode="External" Id="rId364" /><Relationship Type="http://schemas.openxmlformats.org/officeDocument/2006/relationships/hyperlink" Target="https://unctad.org/page/data-protection-and-privacy-legislation-worldwide" TargetMode="External" Id="rId365" /><Relationship Type="http://schemas.openxmlformats.org/officeDocument/2006/relationships/hyperlink" Target="https://www.humandignitytrust.org/country-profile/south-sudan/;%20https:/ilga.org/ilga-world-maps/" TargetMode="External" Id="rId366" /><Relationship Type="http://schemas.openxmlformats.org/officeDocument/2006/relationships/hyperlink" Target="https://ilga.org/ilga-world-maps/" TargetMode="External" Id="rId367" /><Relationship Type="http://schemas.openxmlformats.org/officeDocument/2006/relationships/hyperlink" Target="https://en.unesco.org/artificial-intelligence/observatory/policies?country=SS;%20https://www.unesco.org/ethics-ai/en/global-hub" TargetMode="External" Id="rId368" /><Relationship Type="http://schemas.openxmlformats.org/officeDocument/2006/relationships/hyperlink" Target="https://unctad.org/page/data-protection-and-privacy-legislation-worldwide" TargetMode="External" Id="rId369" /><Relationship Type="http://schemas.openxmlformats.org/officeDocument/2006/relationships/hyperlink" Target="https://www.gsma.com/solutions-and-impact/connectivity-for-good/public-policy/mobile-policy-handbook/consumer-protection/mandatory-registration-of-prepaid-sims/" TargetMode="External" Id="rId370" /><Relationship Type="http://schemas.openxmlformats.org/officeDocument/2006/relationships/hyperlink" Target="https://unctad.org/page/data-protection-and-privacy-legislation-worldwide" TargetMode="External" Id="rId371" /><Relationship Type="http://schemas.openxmlformats.org/officeDocument/2006/relationships/hyperlink" Target="https://unctad.org/page/data-protection-and-privacy-legislation-worldwide" TargetMode="External" Id="rId372" /><Relationship Type="http://schemas.openxmlformats.org/officeDocument/2006/relationships/hyperlink" Target="https://www.unicef.org/sudan/" TargetMode="External" Id="rId373" /><Relationship Type="http://schemas.openxmlformats.org/officeDocument/2006/relationships/hyperlink" Target="https://www.unicef.org/sudan/" TargetMode="External" Id="rId374" /><Relationship Type="http://schemas.openxmlformats.org/officeDocument/2006/relationships/hyperlink" Target="https://unctad.org/page/data-protection-and-privacy-legislation-worldwide" TargetMode="External" Id="rId375" /><Relationship Type="http://schemas.openxmlformats.org/officeDocument/2006/relationships/hyperlink" Target="https://www.humandignitytrust.org/country-profile/sudan/;%20https:/ilga.org/ilga-world-maps/" TargetMode="External" Id="rId376" /><Relationship Type="http://schemas.openxmlformats.org/officeDocument/2006/relationships/hyperlink" Target="https://ilga.org/ilga-world-maps/" TargetMode="External" Id="rId377" /><Relationship Type="http://schemas.openxmlformats.org/officeDocument/2006/relationships/hyperlink" Target="https://en.unesco.org/artificial-intelligence/observatory/policies?country=SD;%20https://www.unesco.org/ethics-ai/en/global-hub" TargetMode="External" Id="rId378" /><Relationship Type="http://schemas.openxmlformats.org/officeDocument/2006/relationships/hyperlink" Target="https://unctad.org/page/data-protection-and-privacy-legislation-worldwide" TargetMode="External" Id="rId37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380" /><Relationship Type="http://schemas.openxmlformats.org/officeDocument/2006/relationships/hyperlink" Target="https://unctad.org/page/data-protection-and-privacy-legislation-worldwide" TargetMode="External" Id="rId381" /><Relationship Type="http://schemas.openxmlformats.org/officeDocument/2006/relationships/hyperlink" Target="https://unctad.org/page/data-protection-and-privacy-legislation-worldwide" TargetMode="External" Id="rId382" /><Relationship Type="http://schemas.openxmlformats.org/officeDocument/2006/relationships/hyperlink" Target="https://unctad.org/page/data-protection-and-privacy-legislation-worldwide;%20https:/www.unicef.org/angola/" TargetMode="External" Id="rId383" /><Relationship Type="http://schemas.openxmlformats.org/officeDocument/2006/relationships/hyperlink" Target="https://www.unicef.org/angola/" TargetMode="External" Id="rId384" /><Relationship Type="http://schemas.openxmlformats.org/officeDocument/2006/relationships/hyperlink" Target="https://unctad.org/page/data-protection-and-privacy-legislation-worldwide" TargetMode="External" Id="rId385" /><Relationship Type="http://schemas.openxmlformats.org/officeDocument/2006/relationships/hyperlink" Target="https://www.humandignitytrust.org/country-profile/angola/;%20https:/ilga.org/ilga-world-maps/" TargetMode="External" Id="rId386" /><Relationship Type="http://schemas.openxmlformats.org/officeDocument/2006/relationships/hyperlink" Target="https://ilga.org/ilga-world-maps/" TargetMode="External" Id="rId387" /><Relationship Type="http://schemas.openxmlformats.org/officeDocument/2006/relationships/hyperlink" Target="https://en.unesco.org/artificial-intelligence/observatory/policies?country=AO;%20https://www.unesco.org/ethics-ai/en/global-hub" TargetMode="External" Id="rId388" /><Relationship Type="http://schemas.openxmlformats.org/officeDocument/2006/relationships/hyperlink" Target="https://unctad.org/page/data-protection-and-privacy-legislation-worldwide" TargetMode="External" Id="rId389" /><Relationship Type="http://schemas.openxmlformats.org/officeDocument/2006/relationships/hyperlink" Target="https://www.gsma.com/solutions-and-impact/connectivity-for-good/public-policy/mobile-policy-handbook/consumer-protection/mandatory-registration-of-prepaid-sims/" TargetMode="External" Id="rId390" /><Relationship Type="http://schemas.openxmlformats.org/officeDocument/2006/relationships/hyperlink" Target="https://unctad.org/page/data-protection-and-privacy-legislation-worldwide" TargetMode="External" Id="rId391" /><Relationship Type="http://schemas.openxmlformats.org/officeDocument/2006/relationships/hyperlink" Target="https://unctad.org/page/data-protection-and-privacy-legislation-worldwide" TargetMode="External" Id="rId392" /><Relationship Type="http://schemas.openxmlformats.org/officeDocument/2006/relationships/hyperlink" Target="https://unctad.org/page/data-protection-and-privacy-legislation-worldwide;%20https:/www.unicef.org/botswana/" TargetMode="External" Id="rId393" /><Relationship Type="http://schemas.openxmlformats.org/officeDocument/2006/relationships/hyperlink" Target="https://www.unicef.org/botswana/" TargetMode="External" Id="rId394" /><Relationship Type="http://schemas.openxmlformats.org/officeDocument/2006/relationships/hyperlink" Target="https://unctad.org/page/data-protection-and-privacy-legislation-worldwide" TargetMode="External" Id="rId395" /><Relationship Type="http://schemas.openxmlformats.org/officeDocument/2006/relationships/hyperlink" Target="https://www.humandignitytrust.org/country-profile/botswana/;%20https:/ilga.org/ilga-world-maps/" TargetMode="External" Id="rId396" /><Relationship Type="http://schemas.openxmlformats.org/officeDocument/2006/relationships/hyperlink" Target="https://ilga.org/ilga-world-maps/" TargetMode="External" Id="rId397" /><Relationship Type="http://schemas.openxmlformats.org/officeDocument/2006/relationships/hyperlink" Target="https://en.unesco.org/artificial-intelligence/observatory/policies?country=BW;%20https://www.unesco.org/ethics-ai/en/global-hub" TargetMode="External" Id="rId398" /><Relationship Type="http://schemas.openxmlformats.org/officeDocument/2006/relationships/hyperlink" Target="https://unctad.org/page/data-protection-and-privacy-legislation-worldwide" TargetMode="External" Id="rId39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400" /><Relationship Type="http://schemas.openxmlformats.org/officeDocument/2006/relationships/hyperlink" Target="https://unctad.org/page/data-protection-and-privacy-legislation-worldwide" TargetMode="External" Id="rId401" /><Relationship Type="http://schemas.openxmlformats.org/officeDocument/2006/relationships/hyperlink" Target="https://unctad.org/page/data-protection-and-privacy-legislation-worldwide" TargetMode="External" Id="rId402" /><Relationship Type="http://schemas.openxmlformats.org/officeDocument/2006/relationships/hyperlink" Target="https://unctad.org/page/data-protection-and-privacy-legislation-worldwide;%20https:/www.unicef.org/comoros/" TargetMode="External" Id="rId403" /><Relationship Type="http://schemas.openxmlformats.org/officeDocument/2006/relationships/hyperlink" Target="https://www.unicef.org/comoros/" TargetMode="External" Id="rId404" /><Relationship Type="http://schemas.openxmlformats.org/officeDocument/2006/relationships/hyperlink" Target="https://unctad.org/page/data-protection-and-privacy-legislation-worldwide" TargetMode="External" Id="rId405" /><Relationship Type="http://schemas.openxmlformats.org/officeDocument/2006/relationships/hyperlink" Target="https://www.humandignitytrust.org/country-profile/comoros/;%20https:/ilga.org/ilga-world-maps/" TargetMode="External" Id="rId406" /><Relationship Type="http://schemas.openxmlformats.org/officeDocument/2006/relationships/hyperlink" Target="https://ilga.org/ilga-world-maps/" TargetMode="External" Id="rId407" /><Relationship Type="http://schemas.openxmlformats.org/officeDocument/2006/relationships/hyperlink" Target="https://en.unesco.org/artificial-intelligence/observatory/policies?country=KM;%20https://www.unesco.org/ethics-ai/en/global-hub" TargetMode="External" Id="rId408" /><Relationship Type="http://schemas.openxmlformats.org/officeDocument/2006/relationships/hyperlink" Target="https://unctad.org/page/data-protection-and-privacy-legislation-worldwide" TargetMode="External" Id="rId40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410" /><Relationship Type="http://schemas.openxmlformats.org/officeDocument/2006/relationships/hyperlink" Target="https://unctad.org/page/data-protection-and-privacy-legislation-worldwide" TargetMode="External" Id="rId411" /><Relationship Type="http://schemas.openxmlformats.org/officeDocument/2006/relationships/hyperlink" Target="https://unctad.org/page/data-protection-and-privacy-legislation-worldwide" TargetMode="External" Id="rId412" /><Relationship Type="http://schemas.openxmlformats.org/officeDocument/2006/relationships/hyperlink" Target="https://unctad.org/page/data-protection-and-privacy-legislation-worldwide;%20https:/www.unicef.org/democratic-republic-of-the-congo/" TargetMode="External" Id="rId413" /><Relationship Type="http://schemas.openxmlformats.org/officeDocument/2006/relationships/hyperlink" Target="https://www.unicef.org/democratic-republic-of-the-congo/" TargetMode="External" Id="rId414" /><Relationship Type="http://schemas.openxmlformats.org/officeDocument/2006/relationships/hyperlink" Target="https://unctad.org/page/data-protection-and-privacy-legislation-worldwide" TargetMode="External" Id="rId415" /><Relationship Type="http://schemas.openxmlformats.org/officeDocument/2006/relationships/hyperlink" Target="https://www.humandignitytrust.org/country-profile/democratic-republic-of-the-congo/;%20https:/ilga.org/ilga-world-maps/" TargetMode="External" Id="rId416" /><Relationship Type="http://schemas.openxmlformats.org/officeDocument/2006/relationships/hyperlink" Target="https://ilga.org/ilga-world-maps/" TargetMode="External" Id="rId417" /><Relationship Type="http://schemas.openxmlformats.org/officeDocument/2006/relationships/hyperlink" Target="https://www.unesco.org/ethics-ai/en/global-hub" TargetMode="External" Id="rId418" /><Relationship Type="http://schemas.openxmlformats.org/officeDocument/2006/relationships/hyperlink" Target="https://unctad.org/page/data-protection-and-privacy-legislation-worldwide" TargetMode="External" Id="rId41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420" /><Relationship Type="http://schemas.openxmlformats.org/officeDocument/2006/relationships/hyperlink" Target="https://unctad.org/page/data-protection-and-privacy-legislation-worldwide" TargetMode="External" Id="rId421" /><Relationship Type="http://schemas.openxmlformats.org/officeDocument/2006/relationships/hyperlink" Target="https://unctad.org/page/data-protection-and-privacy-legislation-worldwide" TargetMode="External" Id="rId422" /><Relationship Type="http://schemas.openxmlformats.org/officeDocument/2006/relationships/hyperlink" Target="https://www.unicef.org/eswatini/" TargetMode="External" Id="rId423" /><Relationship Type="http://schemas.openxmlformats.org/officeDocument/2006/relationships/hyperlink" Target="https://www.unicef.org/eswatini/" TargetMode="External" Id="rId424" /><Relationship Type="http://schemas.openxmlformats.org/officeDocument/2006/relationships/hyperlink" Target="https://unctad.org/page/data-protection-and-privacy-legislation-worldwide" TargetMode="External" Id="rId425" /><Relationship Type="http://schemas.openxmlformats.org/officeDocument/2006/relationships/hyperlink" Target="https://www.humandignitytrust.org/country-profile/eswatini/;%20https:/ilga.org/ilga-world-maps/" TargetMode="External" Id="rId426" /><Relationship Type="http://schemas.openxmlformats.org/officeDocument/2006/relationships/hyperlink" Target="https://ilga.org/ilga-world-maps/" TargetMode="External" Id="rId427" /><Relationship Type="http://schemas.openxmlformats.org/officeDocument/2006/relationships/hyperlink" Target="https://en.unesco.org/artificial-intelligence/observatory/policies?country=SZ;%20https://www.unesco.org/ethics-ai/en/global-hub" TargetMode="External" Id="rId428" /><Relationship Type="http://schemas.openxmlformats.org/officeDocument/2006/relationships/hyperlink" Target="https://unctad.org/page/data-protection-and-privacy-legislation-worldwide" TargetMode="External" Id="rId42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430" /><Relationship Type="http://schemas.openxmlformats.org/officeDocument/2006/relationships/hyperlink" Target="https://unctad.org/page/data-protection-and-privacy-legislation-worldwide" TargetMode="External" Id="rId431" /><Relationship Type="http://schemas.openxmlformats.org/officeDocument/2006/relationships/hyperlink" Target="https://unctad.org/page/data-protection-and-privacy-legislation-worldwide" TargetMode="External" Id="rId432" /><Relationship Type="http://schemas.openxmlformats.org/officeDocument/2006/relationships/hyperlink" Target="https://unctad.org/page/data-protection-and-privacy-legislation-worldwide;%20https:/www.unicef.org/lesotho/" TargetMode="External" Id="rId433" /><Relationship Type="http://schemas.openxmlformats.org/officeDocument/2006/relationships/hyperlink" Target="https://www.unicef.org/lesotho/" TargetMode="External" Id="rId434" /><Relationship Type="http://schemas.openxmlformats.org/officeDocument/2006/relationships/hyperlink" Target="https://unctad.org/page/data-protection-and-privacy-legislation-worldwide" TargetMode="External" Id="rId435" /><Relationship Type="http://schemas.openxmlformats.org/officeDocument/2006/relationships/hyperlink" Target="https://www.humandignitytrust.org/country-profile/lesotho/;%20https:/ilga.org/ilga-world-maps/" TargetMode="External" Id="rId436" /><Relationship Type="http://schemas.openxmlformats.org/officeDocument/2006/relationships/hyperlink" Target="https://ilga.org/ilga-world-maps/" TargetMode="External" Id="rId437" /><Relationship Type="http://schemas.openxmlformats.org/officeDocument/2006/relationships/hyperlink" Target="https://en.unesco.org/artificial-intelligence/observatory/policies?country=LS;%20https://www.unesco.org/ethics-ai/en/global-hub" TargetMode="External" Id="rId438" /><Relationship Type="http://schemas.openxmlformats.org/officeDocument/2006/relationships/hyperlink" Target="https://unctad.org/page/data-protection-and-privacy-legislation-worldwide" TargetMode="External" Id="rId439" /><Relationship Type="http://schemas.openxmlformats.org/officeDocument/2006/relationships/hyperlink" Target="https://www.gsma.com/solutions-and-impact/connectivity-for-good/public-policy/mobile-policy-handbook/consumer-protection/mandatory-registration-of-prepaid-sims/" TargetMode="External" Id="rId440" /><Relationship Type="http://schemas.openxmlformats.org/officeDocument/2006/relationships/hyperlink" Target="https://unctad.org/page/data-protection-and-privacy-legislation-worldwide" TargetMode="External" Id="rId441" /><Relationship Type="http://schemas.openxmlformats.org/officeDocument/2006/relationships/hyperlink" Target="https://unctad.org/page/data-protection-and-privacy-legislation-worldwide" TargetMode="External" Id="rId442" /><Relationship Type="http://schemas.openxmlformats.org/officeDocument/2006/relationships/hyperlink" Target="https://www.unicef.org/madagascar/" TargetMode="External" Id="rId443" /><Relationship Type="http://schemas.openxmlformats.org/officeDocument/2006/relationships/hyperlink" Target="https://www.unicef.org/madagascar/" TargetMode="External" Id="rId444" /><Relationship Type="http://schemas.openxmlformats.org/officeDocument/2006/relationships/hyperlink" Target="https://unctad.org/page/data-protection-and-privacy-legislation-worldwide" TargetMode="External" Id="rId445" /><Relationship Type="http://schemas.openxmlformats.org/officeDocument/2006/relationships/hyperlink" Target="https://www.humandignitytrust.org/country-profile/madagascar/;%20https:/ilga.org/ilga-world-maps/" TargetMode="External" Id="rId446" /><Relationship Type="http://schemas.openxmlformats.org/officeDocument/2006/relationships/hyperlink" Target="https://ilga.org/ilga-world-maps/" TargetMode="External" Id="rId447" /><Relationship Type="http://schemas.openxmlformats.org/officeDocument/2006/relationships/hyperlink" Target="https://en.unesco.org/artificial-intelligence/observatory/policies?country=MG;%20https://www.unesco.org/ethics-ai/en/global-hub" TargetMode="External" Id="rId448" /><Relationship Type="http://schemas.openxmlformats.org/officeDocument/2006/relationships/hyperlink" Target="https://unctad.org/page/data-protection-and-privacy-legislation-worldwide" TargetMode="External" Id="rId449" /><Relationship Type="http://schemas.openxmlformats.org/officeDocument/2006/relationships/hyperlink" Target="https://www.gsma.com/solutions-and-impact/connectivity-for-good/public-policy/mobile-policy-handbook/consumer-protection/mandatory-registration-of-prepaid-sims/" TargetMode="External" Id="rId450" /><Relationship Type="http://schemas.openxmlformats.org/officeDocument/2006/relationships/hyperlink" Target="https://unctad.org/page/data-protection-and-privacy-legislation-worldwide" TargetMode="External" Id="rId451" /><Relationship Type="http://schemas.openxmlformats.org/officeDocument/2006/relationships/hyperlink" Target="https://unctad.org/page/data-protection-and-privacy-legislation-worldwide" TargetMode="External" Id="rId452" /><Relationship Type="http://schemas.openxmlformats.org/officeDocument/2006/relationships/hyperlink" Target="https://unctad.org/page/data-protection-and-privacy-legislation-worldwide;%20https:/www.unicef.org/malawi/" TargetMode="External" Id="rId453" /><Relationship Type="http://schemas.openxmlformats.org/officeDocument/2006/relationships/hyperlink" Target="https://www.unicef.org/malawi/" TargetMode="External" Id="rId454" /><Relationship Type="http://schemas.openxmlformats.org/officeDocument/2006/relationships/hyperlink" Target="https://unctad.org/page/data-protection-and-privacy-legislation-worldwide" TargetMode="External" Id="rId455" /><Relationship Type="http://schemas.openxmlformats.org/officeDocument/2006/relationships/hyperlink" Target="https://www.humandignitytrust.org/country-profile/malawi/;%20https:/ilga.org/ilga-world-maps/" TargetMode="External" Id="rId456" /><Relationship Type="http://schemas.openxmlformats.org/officeDocument/2006/relationships/hyperlink" Target="https://ilga.org/ilga-world-maps/" TargetMode="External" Id="rId457" /><Relationship Type="http://schemas.openxmlformats.org/officeDocument/2006/relationships/hyperlink" Target="https://en.unesco.org/artificial-intelligence/observatory/policies?country=MW;%20https://www.unesco.org/ethics-ai/en/global-hub" TargetMode="External" Id="rId458" /><Relationship Type="http://schemas.openxmlformats.org/officeDocument/2006/relationships/hyperlink" Target="https://unctad.org/page/data-protection-and-privacy-legislation-worldwide" TargetMode="External" Id="rId45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460" /><Relationship Type="http://schemas.openxmlformats.org/officeDocument/2006/relationships/hyperlink" Target="https://unctad.org/page/data-protection-and-privacy-legislation-worldwide" TargetMode="External" Id="rId461" /><Relationship Type="http://schemas.openxmlformats.org/officeDocument/2006/relationships/hyperlink" Target="https://unctad.org/page/data-protection-and-privacy-legislation-worldwide" TargetMode="External" Id="rId462" /><Relationship Type="http://schemas.openxmlformats.org/officeDocument/2006/relationships/hyperlink" Target="https://unctad.org/page/data-protection-and-privacy-legislation-worldwide;%20https:/www.unicef.org/mauritius/" TargetMode="External" Id="rId463" /><Relationship Type="http://schemas.openxmlformats.org/officeDocument/2006/relationships/hyperlink" Target="https://www.unicef.org/mauritius/" TargetMode="External" Id="rId464" /><Relationship Type="http://schemas.openxmlformats.org/officeDocument/2006/relationships/hyperlink" Target="https://unctad.org/page/data-protection-and-privacy-legislation-worldwide" TargetMode="External" Id="rId465" /><Relationship Type="http://schemas.openxmlformats.org/officeDocument/2006/relationships/hyperlink" Target="https://www.humandignitytrust.org/country-profile/mauritius/;%20https:/ilga.org/ilga-world-maps/" TargetMode="External" Id="rId466" /><Relationship Type="http://schemas.openxmlformats.org/officeDocument/2006/relationships/hyperlink" Target="https://ilga.org/ilga-world-maps/" TargetMode="External" Id="rId467" /><Relationship Type="http://schemas.openxmlformats.org/officeDocument/2006/relationships/hyperlink" Target="https://en.unesco.org/artificial-intelligence/observatory/policies?country=MU;%20https://www.unesco.org/ethics-ai/en/global-hub" TargetMode="External" Id="rId468" /><Relationship Type="http://schemas.openxmlformats.org/officeDocument/2006/relationships/hyperlink" Target="https://unctad.org/page/data-protection-and-privacy-legislation-worldwide" TargetMode="External" Id="rId469" /><Relationship Type="http://schemas.openxmlformats.org/officeDocument/2006/relationships/hyperlink" Target="https://www.gsma.com/solutions-and-impact/connectivity-for-good/public-policy/mobile-policy-handbook/consumer-protection/mandatory-registration-of-prepaid-sims/" TargetMode="External" Id="rId470" /><Relationship Type="http://schemas.openxmlformats.org/officeDocument/2006/relationships/hyperlink" Target="https://unctad.org/page/data-protection-and-privacy-legislation-worldwide" TargetMode="External" Id="rId471" /><Relationship Type="http://schemas.openxmlformats.org/officeDocument/2006/relationships/hyperlink" Target="https://unctad.org/page/data-protection-and-privacy-legislation-worldwide" TargetMode="External" Id="rId472" /><Relationship Type="http://schemas.openxmlformats.org/officeDocument/2006/relationships/hyperlink" Target="https://www.unicef.org/mozambique/" TargetMode="External" Id="rId473" /><Relationship Type="http://schemas.openxmlformats.org/officeDocument/2006/relationships/hyperlink" Target="https://www.unicef.org/mozambique/" TargetMode="External" Id="rId474" /><Relationship Type="http://schemas.openxmlformats.org/officeDocument/2006/relationships/hyperlink" Target="https://unctad.org/page/data-protection-and-privacy-legislation-worldwide" TargetMode="External" Id="rId475" /><Relationship Type="http://schemas.openxmlformats.org/officeDocument/2006/relationships/hyperlink" Target="https://www.humandignitytrust.org/country-profile/mozambique/;%20https:/ilga.org/ilga-world-maps/" TargetMode="External" Id="rId476" /><Relationship Type="http://schemas.openxmlformats.org/officeDocument/2006/relationships/hyperlink" Target="https://ilga.org/ilga-world-maps/" TargetMode="External" Id="rId477" /><Relationship Type="http://schemas.openxmlformats.org/officeDocument/2006/relationships/hyperlink" Target="https://en.unesco.org/artificial-intelligence/observatory/policies?country=MZ;%20https://www.unesco.org/ethics-ai/en/global-hub" TargetMode="External" Id="rId478" /><Relationship Type="http://schemas.openxmlformats.org/officeDocument/2006/relationships/hyperlink" Target="https://unctad.org/page/data-protection-and-privacy-legislation-worldwide" TargetMode="External" Id="rId47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480" /><Relationship Type="http://schemas.openxmlformats.org/officeDocument/2006/relationships/hyperlink" Target="https://unctad.org/page/data-protection-and-privacy-legislation-worldwide" TargetMode="External" Id="rId481" /><Relationship Type="http://schemas.openxmlformats.org/officeDocument/2006/relationships/hyperlink" Target="https://unctad.org/page/data-protection-and-privacy-legislation-worldwide" TargetMode="External" Id="rId482" /><Relationship Type="http://schemas.openxmlformats.org/officeDocument/2006/relationships/hyperlink" Target="https://www.unicef.org/namibia/" TargetMode="External" Id="rId483" /><Relationship Type="http://schemas.openxmlformats.org/officeDocument/2006/relationships/hyperlink" Target="https://www.unicef.org/namibia/" TargetMode="External" Id="rId484" /><Relationship Type="http://schemas.openxmlformats.org/officeDocument/2006/relationships/hyperlink" Target="https://unctad.org/page/data-protection-and-privacy-legislation-worldwide" TargetMode="External" Id="rId485" /><Relationship Type="http://schemas.openxmlformats.org/officeDocument/2006/relationships/hyperlink" Target="https://www.humandignitytrust.org/country-profile/namibia/;%20https:/ilga.org/ilga-world-maps/" TargetMode="External" Id="rId486" /><Relationship Type="http://schemas.openxmlformats.org/officeDocument/2006/relationships/hyperlink" Target="https://ilga.org/ilga-world-maps/" TargetMode="External" Id="rId487" /><Relationship Type="http://schemas.openxmlformats.org/officeDocument/2006/relationships/hyperlink" Target="https://en.unesco.org/artificial-intelligence/observatory/policies?country=NA;%20https://www.unesco.org/ethics-ai/en/global-hub" TargetMode="External" Id="rId488" /><Relationship Type="http://schemas.openxmlformats.org/officeDocument/2006/relationships/hyperlink" Target="https://unctad.org/page/data-protection-and-privacy-legislation-worldwide" TargetMode="External" Id="rId489" /><Relationship Type="http://schemas.openxmlformats.org/officeDocument/2006/relationships/hyperlink" Target="https://www.gsma.com/solutions-and-impact/connectivity-for-good/public-policy/mobile-policy-handbook/consumer-protection/mandatory-registration-of-prepaid-sims/" TargetMode="External" Id="rId490" /><Relationship Type="http://schemas.openxmlformats.org/officeDocument/2006/relationships/hyperlink" Target="https://unctad.org/page/data-protection-and-privacy-legislation-worldwide" TargetMode="External" Id="rId491" /><Relationship Type="http://schemas.openxmlformats.org/officeDocument/2006/relationships/hyperlink" Target="https://unctad.org/page/data-protection-and-privacy-legislation-worldwide" TargetMode="External" Id="rId492" /><Relationship Type="http://schemas.openxmlformats.org/officeDocument/2006/relationships/hyperlink" Target="https://www.unicef.org/seychelles/" TargetMode="External" Id="rId493" /><Relationship Type="http://schemas.openxmlformats.org/officeDocument/2006/relationships/hyperlink" Target="https://www.unicef.org/seychelles/" TargetMode="External" Id="rId494" /><Relationship Type="http://schemas.openxmlformats.org/officeDocument/2006/relationships/hyperlink" Target="https://unctad.org/page/data-protection-and-privacy-legislation-worldwide" TargetMode="External" Id="rId495" /><Relationship Type="http://schemas.openxmlformats.org/officeDocument/2006/relationships/hyperlink" Target="https://www.humandignitytrust.org/country-profile/seychelles/;%20https:/ilga.org/ilga-world-maps/" TargetMode="External" Id="rId496" /><Relationship Type="http://schemas.openxmlformats.org/officeDocument/2006/relationships/hyperlink" Target="https://ilga.org/ilga-world-maps/" TargetMode="External" Id="rId497" /><Relationship Type="http://schemas.openxmlformats.org/officeDocument/2006/relationships/hyperlink" Target="https://en.unesco.org/artificial-intelligence/observatory/policies?country=SC;%20https://www.unesco.org/ethics-ai/en/global-hub" TargetMode="External" Id="rId498" /><Relationship Type="http://schemas.openxmlformats.org/officeDocument/2006/relationships/hyperlink" Target="https://unctad.org/page/data-protection-and-privacy-legislation-worldwide" TargetMode="External" Id="rId499" /><Relationship Type="http://schemas.openxmlformats.org/officeDocument/2006/relationships/hyperlink" Target="https://www.gsma.com/solutions-and-impact/connectivity-for-good/public-policy/mobile-policy-handbook/consumer-protection/mandatory-registration-of-prepaid-sims/" TargetMode="External" Id="rId500" /><Relationship Type="http://schemas.openxmlformats.org/officeDocument/2006/relationships/hyperlink" Target="https://unctad.org/page/data-protection-and-privacy-legislation-worldwide" TargetMode="External" Id="rId501" /><Relationship Type="http://schemas.openxmlformats.org/officeDocument/2006/relationships/hyperlink" Target="https://unctad.org/page/data-protection-and-privacy-legislation-worldwide" TargetMode="External" Id="rId502" /><Relationship Type="http://schemas.openxmlformats.org/officeDocument/2006/relationships/hyperlink" Target="https://unctad.org/page/data-protection-and-privacy-legislation-worldwide;%20https:/www.unicef.org/south-africa/" TargetMode="External" Id="rId503" /><Relationship Type="http://schemas.openxmlformats.org/officeDocument/2006/relationships/hyperlink" Target="https://www.unicef.org/south-africa/" TargetMode="External" Id="rId504" /><Relationship Type="http://schemas.openxmlformats.org/officeDocument/2006/relationships/hyperlink" Target="https://unctad.org/page/data-protection-and-privacy-legislation-worldwide" TargetMode="External" Id="rId505" /><Relationship Type="http://schemas.openxmlformats.org/officeDocument/2006/relationships/hyperlink" Target="https://www.humandignitytrust.org/country-profile/south-africa/;%20https:/ilga.org/ilga-world-maps/" TargetMode="External" Id="rId506" /><Relationship Type="http://schemas.openxmlformats.org/officeDocument/2006/relationships/hyperlink" Target="https://ilga.org/ilga-world-maps/" TargetMode="External" Id="rId507" /><Relationship Type="http://schemas.openxmlformats.org/officeDocument/2006/relationships/hyperlink" Target="https://en.unesco.org/artificial-intelligence/observatory/policies?country=ZA;%20https://www.unesco.org/ethics-ai/en/global-hub" TargetMode="External" Id="rId508" /><Relationship Type="http://schemas.openxmlformats.org/officeDocument/2006/relationships/hyperlink" Target="https://unctad.org/page/data-protection-and-privacy-legislation-worldwide" TargetMode="External" Id="rId509" /><Relationship Type="http://schemas.openxmlformats.org/officeDocument/2006/relationships/hyperlink" Target="https://www.gsma.com/solutions-and-impact/connectivity-for-good/public-policy/mobile-policy-handbook/consumer-protection/mandatory-registration-of-prepaid-sims/" TargetMode="External" Id="rId510" /><Relationship Type="http://schemas.openxmlformats.org/officeDocument/2006/relationships/hyperlink" Target="https://unctad.org/page/data-protection-and-privacy-legislation-worldwide" TargetMode="External" Id="rId511" /><Relationship Type="http://schemas.openxmlformats.org/officeDocument/2006/relationships/hyperlink" Target="https://unctad.org/page/data-protection-and-privacy-legislation-worldwide" TargetMode="External" Id="rId512" /><Relationship Type="http://schemas.openxmlformats.org/officeDocument/2006/relationships/hyperlink" Target="https://www.unicef.org/tanzania/" TargetMode="External" Id="rId513" /><Relationship Type="http://schemas.openxmlformats.org/officeDocument/2006/relationships/hyperlink" Target="https://www.unicef.org/tanzania/" TargetMode="External" Id="rId514" /><Relationship Type="http://schemas.openxmlformats.org/officeDocument/2006/relationships/hyperlink" Target="https://unctad.org/page/data-protection-and-privacy-legislation-worldwide" TargetMode="External" Id="rId515" /><Relationship Type="http://schemas.openxmlformats.org/officeDocument/2006/relationships/hyperlink" Target="https://www.humandignitytrust.org/country-profile/tanzania/;%20https:/ilga.org/ilga-world-maps/" TargetMode="External" Id="rId516" /><Relationship Type="http://schemas.openxmlformats.org/officeDocument/2006/relationships/hyperlink" Target="https://ilga.org/ilga-world-maps/" TargetMode="External" Id="rId517" /><Relationship Type="http://schemas.openxmlformats.org/officeDocument/2006/relationships/hyperlink" Target="https://en.unesco.org/artificial-intelligence/observatory/policies?country=TZ;%20https://www.unesco.org/ethics-ai/en/global-hub" TargetMode="External" Id="rId518" /><Relationship Type="http://schemas.openxmlformats.org/officeDocument/2006/relationships/hyperlink" Target="https://unctad.org/page/data-protection-and-privacy-legislation-worldwide" TargetMode="External" Id="rId51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520" /><Relationship Type="http://schemas.openxmlformats.org/officeDocument/2006/relationships/hyperlink" Target="https://unctad.org/page/data-protection-and-privacy-legislation-worldwide" TargetMode="External" Id="rId521" /><Relationship Type="http://schemas.openxmlformats.org/officeDocument/2006/relationships/hyperlink" Target="https://unctad.org/page/data-protection-and-privacy-legislation-worldwide" TargetMode="External" Id="rId522" /><Relationship Type="http://schemas.openxmlformats.org/officeDocument/2006/relationships/hyperlink" Target="https://unctad.org/page/data-protection-and-privacy-legislation-worldwide;%20https:/www.unicef.org/zambia/" TargetMode="External" Id="rId523" /><Relationship Type="http://schemas.openxmlformats.org/officeDocument/2006/relationships/hyperlink" Target="https://www.unicef.org/zambia/" TargetMode="External" Id="rId524" /><Relationship Type="http://schemas.openxmlformats.org/officeDocument/2006/relationships/hyperlink" Target="https://unctad.org/page/data-protection-and-privacy-legislation-worldwide" TargetMode="External" Id="rId525" /><Relationship Type="http://schemas.openxmlformats.org/officeDocument/2006/relationships/hyperlink" Target="https://www.humandignitytrust.org/country-profile/zambia/;%20https:/ilga.org/ilga-world-maps/" TargetMode="External" Id="rId526" /><Relationship Type="http://schemas.openxmlformats.org/officeDocument/2006/relationships/hyperlink" Target="https://ilga.org/ilga-world-maps/" TargetMode="External" Id="rId527" /><Relationship Type="http://schemas.openxmlformats.org/officeDocument/2006/relationships/hyperlink" Target="https://en.unesco.org/artificial-intelligence/observatory/policies?country=ZM;%20https://www.unesco.org/ethics-ai/en/global-hub" TargetMode="External" Id="rId528" /><Relationship Type="http://schemas.openxmlformats.org/officeDocument/2006/relationships/hyperlink" Target="https://unctad.org/page/data-protection-and-privacy-legislation-worldwide" TargetMode="External" Id="rId529" /><Relationship Type="http://schemas.openxmlformats.org/officeDocument/2006/relationships/hyperlink" Target="https://www.gsma.com/solutions-and-impact/connectivity-for-good/public-policy/mobile-policy-handbook/consumer-protection/mandatory-registration-of-prepaid-sims/" TargetMode="External" Id="rId530" /><Relationship Type="http://schemas.openxmlformats.org/officeDocument/2006/relationships/hyperlink" Target="https://unctad.org/page/data-protection-and-privacy-legislation-worldwide" TargetMode="External" Id="rId531" /><Relationship Type="http://schemas.openxmlformats.org/officeDocument/2006/relationships/hyperlink" Target="https://unctad.org/page/data-protection-and-privacy-legislation-worldwide" TargetMode="External" Id="rId532" /><Relationship Type="http://schemas.openxmlformats.org/officeDocument/2006/relationships/hyperlink" Target="https://www.unicef.org/zimbabwe/" TargetMode="External" Id="rId533" /><Relationship Type="http://schemas.openxmlformats.org/officeDocument/2006/relationships/hyperlink" Target="https://www.unicef.org/zimbabwe/" TargetMode="External" Id="rId534" /><Relationship Type="http://schemas.openxmlformats.org/officeDocument/2006/relationships/hyperlink" Target="https://unctad.org/page/data-protection-and-privacy-legislation-worldwide" TargetMode="External" Id="rId535" /><Relationship Type="http://schemas.openxmlformats.org/officeDocument/2006/relationships/hyperlink" Target="https://www.humandignitytrust.org/country-profile/zimbabwe/;%20https:/ilga.org/ilga-world-maps/" TargetMode="External" Id="rId536" /><Relationship Type="http://schemas.openxmlformats.org/officeDocument/2006/relationships/hyperlink" Target="https://ilga.org/ilga-world-maps/" TargetMode="External" Id="rId537" /><Relationship Type="http://schemas.openxmlformats.org/officeDocument/2006/relationships/hyperlink" Target="https://en.unesco.org/artificial-intelligence/observatory/policies?country=ZW;%20https://www.unesco.org/ethics-ai/en/global-hub" TargetMode="External" Id="rId538" /><Relationship Type="http://schemas.openxmlformats.org/officeDocument/2006/relationships/hyperlink" Target="https://unctad.org/page/data-protection-and-privacy-legislation-worldwide" TargetMode="External" Id="rId539" /><Relationship Type="http://schemas.openxmlformats.org/officeDocument/2006/relationships/hyperlink" Target="https://www.gsma.com/solutions-and-impact/connectivity-for-good/public-policy/mobile-policy-handbook/consumer-protection/mandatory-registration-of-prepaid-sims/" TargetMode="External" Id="rId540" /><Relationship Type="http://schemas.openxmlformats.org/officeDocument/2006/relationships/hyperlink" Target="https://unctad.org/page/data-protection-and-privacy-legislation-worldwide" TargetMode="External" Id="rId541" /><Relationship Type="http://schemas.openxmlformats.org/officeDocument/2006/relationships/hyperlink" Target="https://unctad.org/page/data-protection-and-privacy-legislation-worldwide" TargetMode="External" Id="rId542" /><Relationship Type="http://schemas.openxmlformats.org/officeDocument/2006/relationships/hyperlink" Target="https://unctad.org/page/data-protection-and-privacy-legislation-worldwide;%20https:/www.unicef.org/bolivia-plurinational-state-of/" TargetMode="External" Id="rId543" /><Relationship Type="http://schemas.openxmlformats.org/officeDocument/2006/relationships/hyperlink" Target="https://www.unicef.org/bolivia-plurinational-state-of/" TargetMode="External" Id="rId544" /><Relationship Type="http://schemas.openxmlformats.org/officeDocument/2006/relationships/hyperlink" Target="https://unctad.org/page/data-protection-and-privacy-legislation-worldwide" TargetMode="External" Id="rId545" /><Relationship Type="http://schemas.openxmlformats.org/officeDocument/2006/relationships/hyperlink" Target="https://www.humandignitytrust.org/country-profile/bolivia-plurinational-state-of/;%20https:/ilga.org/ilga-world-maps/" TargetMode="External" Id="rId546" /><Relationship Type="http://schemas.openxmlformats.org/officeDocument/2006/relationships/hyperlink" Target="https://ilga.org/ilga-world-maps/" TargetMode="External" Id="rId547" /><Relationship Type="http://schemas.openxmlformats.org/officeDocument/2006/relationships/hyperlink" Target="https://www.unesco.org/ethics-ai/en/global-hub" TargetMode="External" Id="rId548" /><Relationship Type="http://schemas.openxmlformats.org/officeDocument/2006/relationships/hyperlink" Target="https://unctad.org/page/data-protection-and-privacy-legislation-worldwide" TargetMode="External" Id="rId54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550" /><Relationship Type="http://schemas.openxmlformats.org/officeDocument/2006/relationships/hyperlink" Target="https://unctad.org/page/data-protection-and-privacy-legislation-worldwide" TargetMode="External" Id="rId551" /><Relationship Type="http://schemas.openxmlformats.org/officeDocument/2006/relationships/hyperlink" Target="https://unctad.org/page/data-protection-and-privacy-legislation-worldwide" TargetMode="External" Id="rId552" /><Relationship Type="http://schemas.openxmlformats.org/officeDocument/2006/relationships/hyperlink" Target="https://unctad.org/page/data-protection-and-privacy-legislation-worldwide;%20https:/www.unicef.org/ecuador/" TargetMode="External" Id="rId553" /><Relationship Type="http://schemas.openxmlformats.org/officeDocument/2006/relationships/hyperlink" Target="https://www.unicef.org/ecuador/" TargetMode="External" Id="rId554" /><Relationship Type="http://schemas.openxmlformats.org/officeDocument/2006/relationships/hyperlink" Target="https://unctad.org/page/data-protection-and-privacy-legislation-worldwide" TargetMode="External" Id="rId555" /><Relationship Type="http://schemas.openxmlformats.org/officeDocument/2006/relationships/hyperlink" Target="https://www.humandignitytrust.org/country-profile/ecuador/;%20https:/ilga.org/ilga-world-maps/" TargetMode="External" Id="rId556" /><Relationship Type="http://schemas.openxmlformats.org/officeDocument/2006/relationships/hyperlink" Target="https://ilga.org/ilga-world-maps/" TargetMode="External" Id="rId557" /><Relationship Type="http://schemas.openxmlformats.org/officeDocument/2006/relationships/hyperlink" Target="https://en.unesco.org/artificial-intelligence/observatory/policies?country=EC;%20https://www.unesco.org/ethics-ai/en/global-hub" TargetMode="External" Id="rId558" /><Relationship Type="http://schemas.openxmlformats.org/officeDocument/2006/relationships/hyperlink" Target="https://unctad.org/page/data-protection-and-privacy-legislation-worldwide" TargetMode="External" Id="rId559" /><Relationship Type="http://schemas.openxmlformats.org/officeDocument/2006/relationships/hyperlink" Target="https://www.gsma.com/solutions-and-impact/connectivity-for-good/public-policy/mobile-policy-handbook/consumer-protection/mandatory-registration-of-prepaid-sims/" TargetMode="External" Id="rId560" /><Relationship Type="http://schemas.openxmlformats.org/officeDocument/2006/relationships/hyperlink" Target="https://unctad.org/page/data-protection-and-privacy-legislation-worldwide" TargetMode="External" Id="rId561" /><Relationship Type="http://schemas.openxmlformats.org/officeDocument/2006/relationships/hyperlink" Target="https://unctad.org/page/data-protection-and-privacy-legislation-worldwide" TargetMode="External" Id="rId562" /><Relationship Type="http://schemas.openxmlformats.org/officeDocument/2006/relationships/hyperlink" Target="https://unctad.org/page/data-protection-and-privacy-legislation-worldwide;%20https:/www.unicef.org/peru/" TargetMode="External" Id="rId563" /><Relationship Type="http://schemas.openxmlformats.org/officeDocument/2006/relationships/hyperlink" Target="https://www.unicef.org/peru/" TargetMode="External" Id="rId564" /><Relationship Type="http://schemas.openxmlformats.org/officeDocument/2006/relationships/hyperlink" Target="https://unctad.org/page/data-protection-and-privacy-legislation-worldwide" TargetMode="External" Id="rId565" /><Relationship Type="http://schemas.openxmlformats.org/officeDocument/2006/relationships/hyperlink" Target="https://www.humandignitytrust.org/country-profile/peru/;%20https:/ilga.org/ilga-world-maps/" TargetMode="External" Id="rId566" /><Relationship Type="http://schemas.openxmlformats.org/officeDocument/2006/relationships/hyperlink" Target="https://ilga.org/ilga-world-maps/" TargetMode="External" Id="rId567" /><Relationship Type="http://schemas.openxmlformats.org/officeDocument/2006/relationships/hyperlink" Target="https://en.unesco.org/artificial-intelligence/observatory/policies?country=PE;%20https://www.unesco.org/ethics-ai/en/global-hub" TargetMode="External" Id="rId568" /><Relationship Type="http://schemas.openxmlformats.org/officeDocument/2006/relationships/hyperlink" Target="https://unctad.org/page/data-protection-and-privacy-legislation-worldwide" TargetMode="External" Id="rId569" /><Relationship Type="http://schemas.openxmlformats.org/officeDocument/2006/relationships/hyperlink" Target="https://www.gsma.com/solutions-and-impact/connectivity-for-good/public-policy/mobile-policy-handbook/consumer-protection/mandatory-registration-of-prepaid-sims/" TargetMode="External" Id="rId570" /><Relationship Type="http://schemas.openxmlformats.org/officeDocument/2006/relationships/hyperlink" Target="https://unctad.org/page/data-protection-and-privacy-legislation-worldwide" TargetMode="External" Id="rId571" /><Relationship Type="http://schemas.openxmlformats.org/officeDocument/2006/relationships/hyperlink" Target="https://unctad.org/page/data-protection-and-privacy-legislation-worldwide" TargetMode="External" Id="rId572" /><Relationship Type="http://schemas.openxmlformats.org/officeDocument/2006/relationships/hyperlink" Target="https://www.unicef.org/venezuela-bolivarian-republic-of/" TargetMode="External" Id="rId573" /><Relationship Type="http://schemas.openxmlformats.org/officeDocument/2006/relationships/hyperlink" Target="https://www.unicef.org/venezuela-bolivarian-republic-of/" TargetMode="External" Id="rId574" /><Relationship Type="http://schemas.openxmlformats.org/officeDocument/2006/relationships/hyperlink" Target="https://unctad.org/page/data-protection-and-privacy-legislation-worldwide" TargetMode="External" Id="rId575" /><Relationship Type="http://schemas.openxmlformats.org/officeDocument/2006/relationships/hyperlink" Target="https://www.humandignitytrust.org/country-profile/venezuela-bolivarian-republic-of/;%20https:/ilga.org/ilga-world-maps/" TargetMode="External" Id="rId576" /><Relationship Type="http://schemas.openxmlformats.org/officeDocument/2006/relationships/hyperlink" Target="https://ilga.org/ilga-world-maps/" TargetMode="External" Id="rId577" /><Relationship Type="http://schemas.openxmlformats.org/officeDocument/2006/relationships/hyperlink" Target="https://www.unesco.org/ethics-ai/en/global-hub" TargetMode="External" Id="rId578" /><Relationship Type="http://schemas.openxmlformats.org/officeDocument/2006/relationships/hyperlink" Target="https://unctad.org/page/data-protection-and-privacy-legislation-worldwide" TargetMode="External" Id="rId579" /><Relationship Type="http://schemas.openxmlformats.org/officeDocument/2006/relationships/hyperlink" Target="https://www.gsma.com/solutions-and-impact/connectivity-for-good/public-policy/mobile-policy-handbook/consumer-protection/mandatory-registration-of-prepaid-sims/" TargetMode="External" Id="rId580" /><Relationship Type="http://schemas.openxmlformats.org/officeDocument/2006/relationships/hyperlink" Target="https://unctad.org/page/data-protection-and-privacy-legislation-worldwide" TargetMode="External" Id="rId581" /><Relationship Type="http://schemas.openxmlformats.org/officeDocument/2006/relationships/hyperlink" Target="https://unctad.org/page/data-protection-and-privacy-legislation-worldwide" TargetMode="External" Id="rId582" /><Relationship Type="http://schemas.openxmlformats.org/officeDocument/2006/relationships/hyperlink" Target="https://unctad.org/page/data-protection-and-privacy-legislation-worldwide;%20https:/www.unicef.org/antigua-and-barbuda/" TargetMode="External" Id="rId583" /><Relationship Type="http://schemas.openxmlformats.org/officeDocument/2006/relationships/hyperlink" Target="https://www.unicef.org/antigua-and-barbuda/" TargetMode="External" Id="rId584" /><Relationship Type="http://schemas.openxmlformats.org/officeDocument/2006/relationships/hyperlink" Target="https://unctad.org/page/data-protection-and-privacy-legislation-worldwide" TargetMode="External" Id="rId585" /><Relationship Type="http://schemas.openxmlformats.org/officeDocument/2006/relationships/hyperlink" Target="https://www.humandignitytrust.org/country-profile/antigua-and-barbuda/;%20https:/ilga.org/ilga-world-maps/" TargetMode="External" Id="rId586" /><Relationship Type="http://schemas.openxmlformats.org/officeDocument/2006/relationships/hyperlink" Target="https://ilga.org/ilga-world-maps/" TargetMode="External" Id="rId587" /><Relationship Type="http://schemas.openxmlformats.org/officeDocument/2006/relationships/hyperlink" Target="https://en.unesco.org/artificial-intelligence/observatory/policies?country=AG;%20https://www.unesco.org/ethics-ai/en/global-hub" TargetMode="External" Id="rId588" /><Relationship Type="http://schemas.openxmlformats.org/officeDocument/2006/relationships/hyperlink" Target="https://unctad.org/page/data-protection-and-privacy-legislation-worldwide" TargetMode="External" Id="rId58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590" /><Relationship Type="http://schemas.openxmlformats.org/officeDocument/2006/relationships/hyperlink" Target="https://unctad.org/page/data-protection-and-privacy-legislation-worldwide" TargetMode="External" Id="rId591" /><Relationship Type="http://schemas.openxmlformats.org/officeDocument/2006/relationships/hyperlink" Target="https://unctad.org/page/data-protection-and-privacy-legislation-worldwide" TargetMode="External" Id="rId592" /><Relationship Type="http://schemas.openxmlformats.org/officeDocument/2006/relationships/hyperlink" Target="https://unctad.org/page/data-protection-and-privacy-legislation-worldwide;%20https:/www.unicef.org/bahamas/" TargetMode="External" Id="rId593" /><Relationship Type="http://schemas.openxmlformats.org/officeDocument/2006/relationships/hyperlink" Target="https://www.unicef.org/bahamas/" TargetMode="External" Id="rId594" /><Relationship Type="http://schemas.openxmlformats.org/officeDocument/2006/relationships/hyperlink" Target="https://unctad.org/page/data-protection-and-privacy-legislation-worldwide" TargetMode="External" Id="rId595" /><Relationship Type="http://schemas.openxmlformats.org/officeDocument/2006/relationships/hyperlink" Target="https://www.humandignitytrust.org/country-profile/bahamas/;%20https:/ilga.org/ilga-world-maps/" TargetMode="External" Id="rId596" /><Relationship Type="http://schemas.openxmlformats.org/officeDocument/2006/relationships/hyperlink" Target="https://ilga.org/ilga-world-maps/" TargetMode="External" Id="rId597" /><Relationship Type="http://schemas.openxmlformats.org/officeDocument/2006/relationships/hyperlink" Target="https://en.unesco.org/artificial-intelligence/observatory/policies?country=BS;%20https://www.unesco.org/ethics-ai/en/global-hub" TargetMode="External" Id="rId598" /><Relationship Type="http://schemas.openxmlformats.org/officeDocument/2006/relationships/hyperlink" Target="https://unctad.org/page/data-protection-and-privacy-legislation-worldwide" TargetMode="External" Id="rId59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600" /><Relationship Type="http://schemas.openxmlformats.org/officeDocument/2006/relationships/hyperlink" Target="https://unctad.org/page/data-protection-and-privacy-legislation-worldwide" TargetMode="External" Id="rId601" /><Relationship Type="http://schemas.openxmlformats.org/officeDocument/2006/relationships/hyperlink" Target="https://unctad.org/page/data-protection-and-privacy-legislation-worldwide" TargetMode="External" Id="rId602" /><Relationship Type="http://schemas.openxmlformats.org/officeDocument/2006/relationships/hyperlink" Target="https://unctad.org/page/data-protection-and-privacy-legislation-worldwide;%20https:/www.unicef.org/barbados/" TargetMode="External" Id="rId603" /><Relationship Type="http://schemas.openxmlformats.org/officeDocument/2006/relationships/hyperlink" Target="https://www.unicef.org/barbados/" TargetMode="External" Id="rId604" /><Relationship Type="http://schemas.openxmlformats.org/officeDocument/2006/relationships/hyperlink" Target="https://unctad.org/page/data-protection-and-privacy-legislation-worldwide" TargetMode="External" Id="rId605" /><Relationship Type="http://schemas.openxmlformats.org/officeDocument/2006/relationships/hyperlink" Target="https://www.humandignitytrust.org/country-profile/barbados/;%20https:/ilga.org/ilga-world-maps/" TargetMode="External" Id="rId606" /><Relationship Type="http://schemas.openxmlformats.org/officeDocument/2006/relationships/hyperlink" Target="https://ilga.org/ilga-world-maps/" TargetMode="External" Id="rId607" /><Relationship Type="http://schemas.openxmlformats.org/officeDocument/2006/relationships/hyperlink" Target="https://en.unesco.org/artificial-intelligence/observatory/policies?country=BB;%20https://www.unesco.org/ethics-ai/en/global-hub" TargetMode="External" Id="rId608" /><Relationship Type="http://schemas.openxmlformats.org/officeDocument/2006/relationships/hyperlink" Target="https://unctad.org/page/data-protection-and-privacy-legislation-worldwide" TargetMode="External" Id="rId60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610" /><Relationship Type="http://schemas.openxmlformats.org/officeDocument/2006/relationships/hyperlink" Target="https://unctad.org/page/data-protection-and-privacy-legislation-worldwide" TargetMode="External" Id="rId611" /><Relationship Type="http://schemas.openxmlformats.org/officeDocument/2006/relationships/hyperlink" Target="https://unctad.org/page/data-protection-and-privacy-legislation-worldwide" TargetMode="External" Id="rId612" /><Relationship Type="http://schemas.openxmlformats.org/officeDocument/2006/relationships/hyperlink" Target="https://unctad.org/page/data-protection-and-privacy-legislation-worldwide;%20https:/www.unicef.org/belize/" TargetMode="External" Id="rId613" /><Relationship Type="http://schemas.openxmlformats.org/officeDocument/2006/relationships/hyperlink" Target="https://www.unicef.org/belize/" TargetMode="External" Id="rId614" /><Relationship Type="http://schemas.openxmlformats.org/officeDocument/2006/relationships/hyperlink" Target="https://unctad.org/page/data-protection-and-privacy-legislation-worldwide" TargetMode="External" Id="rId615" /><Relationship Type="http://schemas.openxmlformats.org/officeDocument/2006/relationships/hyperlink" Target="https://www.humandignitytrust.org/country-profile/belize/;%20https:/ilga.org/ilga-world-maps/" TargetMode="External" Id="rId616" /><Relationship Type="http://schemas.openxmlformats.org/officeDocument/2006/relationships/hyperlink" Target="https://ilga.org/ilga-world-maps/" TargetMode="External" Id="rId617" /><Relationship Type="http://schemas.openxmlformats.org/officeDocument/2006/relationships/hyperlink" Target="https://en.unesco.org/artificial-intelligence/observatory/policies?country=BZ;%20https://www.unesco.org/ethics-ai/en/global-hub" TargetMode="External" Id="rId618" /><Relationship Type="http://schemas.openxmlformats.org/officeDocument/2006/relationships/hyperlink" Target="https://unctad.org/page/data-protection-and-privacy-legislation-worldwide" TargetMode="External" Id="rId61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620" /><Relationship Type="http://schemas.openxmlformats.org/officeDocument/2006/relationships/hyperlink" Target="https://unctad.org/page/data-protection-and-privacy-legislation-worldwide" TargetMode="External" Id="rId621" /><Relationship Type="http://schemas.openxmlformats.org/officeDocument/2006/relationships/hyperlink" Target="https://unctad.org/page/data-protection-and-privacy-legislation-worldwide" TargetMode="External" Id="rId622" /><Relationship Type="http://schemas.openxmlformats.org/officeDocument/2006/relationships/hyperlink" Target="https://unctad.org/page/data-protection-and-privacy-legislation-worldwide;%20https:/www.unicef.org/cuba/" TargetMode="External" Id="rId623" /><Relationship Type="http://schemas.openxmlformats.org/officeDocument/2006/relationships/hyperlink" Target="https://www.unicef.org/cuba/" TargetMode="External" Id="rId624" /><Relationship Type="http://schemas.openxmlformats.org/officeDocument/2006/relationships/hyperlink" Target="https://unctad.org/page/data-protection-and-privacy-legislation-worldwide" TargetMode="External" Id="rId625" /><Relationship Type="http://schemas.openxmlformats.org/officeDocument/2006/relationships/hyperlink" Target="https://www.humandignitytrust.org/country-profile/cuba/;%20https:/ilga.org/ilga-world-maps/" TargetMode="External" Id="rId626" /><Relationship Type="http://schemas.openxmlformats.org/officeDocument/2006/relationships/hyperlink" Target="https://ilga.org/ilga-world-maps/" TargetMode="External" Id="rId627" /><Relationship Type="http://schemas.openxmlformats.org/officeDocument/2006/relationships/hyperlink" Target="https://en.unesco.org/artificial-intelligence/observatory/policies?country=CU;%20https://www.unesco.org/ethics-ai/en/global-hub" TargetMode="External" Id="rId628" /><Relationship Type="http://schemas.openxmlformats.org/officeDocument/2006/relationships/hyperlink" Target="https://unctad.org/page/data-protection-and-privacy-legislation-worldwide" TargetMode="External" Id="rId62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630" /><Relationship Type="http://schemas.openxmlformats.org/officeDocument/2006/relationships/hyperlink" Target="https://unctad.org/page/data-protection-and-privacy-legislation-worldwide" TargetMode="External" Id="rId631" /><Relationship Type="http://schemas.openxmlformats.org/officeDocument/2006/relationships/hyperlink" Target="https://unctad.org/page/data-protection-and-privacy-legislation-worldwide" TargetMode="External" Id="rId632" /><Relationship Type="http://schemas.openxmlformats.org/officeDocument/2006/relationships/hyperlink" Target="https://unctad.org/page/data-protection-and-privacy-legislation-worldwide;%20https:/www.unicef.org/dominica/" TargetMode="External" Id="rId633" /><Relationship Type="http://schemas.openxmlformats.org/officeDocument/2006/relationships/hyperlink" Target="https://www.unicef.org/dominica/" TargetMode="External" Id="rId634" /><Relationship Type="http://schemas.openxmlformats.org/officeDocument/2006/relationships/hyperlink" Target="https://unctad.org/page/data-protection-and-privacy-legislation-worldwide" TargetMode="External" Id="rId635" /><Relationship Type="http://schemas.openxmlformats.org/officeDocument/2006/relationships/hyperlink" Target="https://www.humandignitytrust.org/country-profile/dominica/;%20https:/ilga.org/ilga-world-maps/" TargetMode="External" Id="rId636" /><Relationship Type="http://schemas.openxmlformats.org/officeDocument/2006/relationships/hyperlink" Target="https://ilga.org/ilga-world-maps/" TargetMode="External" Id="rId637" /><Relationship Type="http://schemas.openxmlformats.org/officeDocument/2006/relationships/hyperlink" Target="https://en.unesco.org/artificial-intelligence/observatory/policies?country=DM;%20https://www.unesco.org/ethics-ai/en/global-hub" TargetMode="External" Id="rId638" /><Relationship Type="http://schemas.openxmlformats.org/officeDocument/2006/relationships/hyperlink" Target="https://unctad.org/page/data-protection-and-privacy-legislation-worldwide" TargetMode="External" Id="rId639" /><Relationship Type="http://schemas.openxmlformats.org/officeDocument/2006/relationships/hyperlink" Target="https://www.gsma.com/solutions-and-impact/connectivity-for-good/public-policy/mobile-policy-handbook/consumer-protection/mandatory-registration-of-prepaid-sims/" TargetMode="External" Id="rId640" /><Relationship Type="http://schemas.openxmlformats.org/officeDocument/2006/relationships/hyperlink" Target="https://unctad.org/page/data-protection-and-privacy-legislation-worldwide" TargetMode="External" Id="rId641" /><Relationship Type="http://schemas.openxmlformats.org/officeDocument/2006/relationships/hyperlink" Target="https://unctad.org/page/data-protection-and-privacy-legislation-worldwide" TargetMode="External" Id="rId642" /><Relationship Type="http://schemas.openxmlformats.org/officeDocument/2006/relationships/hyperlink" Target="https://unctad.org/page/data-protection-and-privacy-legislation-worldwide;%20https:/www.unicef.org/dominican-republic/" TargetMode="External" Id="rId643" /><Relationship Type="http://schemas.openxmlformats.org/officeDocument/2006/relationships/hyperlink" Target="https://www.unicef.org/dominican-republic/" TargetMode="External" Id="rId644" /><Relationship Type="http://schemas.openxmlformats.org/officeDocument/2006/relationships/hyperlink" Target="https://unctad.org/page/data-protection-and-privacy-legislation-worldwide" TargetMode="External" Id="rId645" /><Relationship Type="http://schemas.openxmlformats.org/officeDocument/2006/relationships/hyperlink" Target="https://www.humandignitytrust.org/country-profile/dominican-republic/;%20https:/ilga.org/ilga-world-maps/" TargetMode="External" Id="rId646" /><Relationship Type="http://schemas.openxmlformats.org/officeDocument/2006/relationships/hyperlink" Target="https://ilga.org/ilga-world-maps/" TargetMode="External" Id="rId647" /><Relationship Type="http://schemas.openxmlformats.org/officeDocument/2006/relationships/hyperlink" Target="https://en.unesco.org/artificial-intelligence/observatory/policies?country=DO;%20https://www.unesco.org/ethics-ai/en/global-hub" TargetMode="External" Id="rId648" /><Relationship Type="http://schemas.openxmlformats.org/officeDocument/2006/relationships/hyperlink" Target="https://unctad.org/page/data-protection-and-privacy-legislation-worldwide" TargetMode="External" Id="rId64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650" /><Relationship Type="http://schemas.openxmlformats.org/officeDocument/2006/relationships/hyperlink" Target="https://unctad.org/page/data-protection-and-privacy-legislation-worldwide" TargetMode="External" Id="rId651" /><Relationship Type="http://schemas.openxmlformats.org/officeDocument/2006/relationships/hyperlink" Target="https://unctad.org/page/data-protection-and-privacy-legislation-worldwide" TargetMode="External" Id="rId652" /><Relationship Type="http://schemas.openxmlformats.org/officeDocument/2006/relationships/hyperlink" Target="https://www.unicef.org/grenada/" TargetMode="External" Id="rId653" /><Relationship Type="http://schemas.openxmlformats.org/officeDocument/2006/relationships/hyperlink" Target="https://www.unicef.org/grenada/" TargetMode="External" Id="rId654" /><Relationship Type="http://schemas.openxmlformats.org/officeDocument/2006/relationships/hyperlink" Target="https://unctad.org/page/data-protection-and-privacy-legislation-worldwide" TargetMode="External" Id="rId655" /><Relationship Type="http://schemas.openxmlformats.org/officeDocument/2006/relationships/hyperlink" Target="https://www.humandignitytrust.org/country-profile/grenada/;%20https:/ilga.org/ilga-world-maps/" TargetMode="External" Id="rId656" /><Relationship Type="http://schemas.openxmlformats.org/officeDocument/2006/relationships/hyperlink" Target="https://ilga.org/ilga-world-maps/" TargetMode="External" Id="rId657" /><Relationship Type="http://schemas.openxmlformats.org/officeDocument/2006/relationships/hyperlink" Target="https://en.unesco.org/artificial-intelligence/observatory/policies?country=GD;%20https://www.unesco.org/ethics-ai/en/global-hub" TargetMode="External" Id="rId658" /><Relationship Type="http://schemas.openxmlformats.org/officeDocument/2006/relationships/hyperlink" Target="https://unctad.org/page/data-protection-and-privacy-legislation-worldwide" TargetMode="External" Id="rId659" /><Relationship Type="http://schemas.openxmlformats.org/officeDocument/2006/relationships/hyperlink" Target="https://www.gsma.com/solutions-and-impact/connectivity-for-good/public-policy/mobile-policy-handbook/consumer-protection/mandatory-registration-of-prepaid-sims/" TargetMode="External" Id="rId660" /><Relationship Type="http://schemas.openxmlformats.org/officeDocument/2006/relationships/hyperlink" Target="https://unctad.org/page/data-protection-and-privacy-legislation-worldwide" TargetMode="External" Id="rId661" /><Relationship Type="http://schemas.openxmlformats.org/officeDocument/2006/relationships/hyperlink" Target="https://unctad.org/page/data-protection-and-privacy-legislation-worldwide" TargetMode="External" Id="rId662" /><Relationship Type="http://schemas.openxmlformats.org/officeDocument/2006/relationships/hyperlink" Target="https://unctad.org/page/data-protection-and-privacy-legislation-worldwide;%20https:/www.unicef.org/guyana/" TargetMode="External" Id="rId663" /><Relationship Type="http://schemas.openxmlformats.org/officeDocument/2006/relationships/hyperlink" Target="https://www.unicef.org/guyana/" TargetMode="External" Id="rId664" /><Relationship Type="http://schemas.openxmlformats.org/officeDocument/2006/relationships/hyperlink" Target="https://unctad.org/page/data-protection-and-privacy-legislation-worldwide" TargetMode="External" Id="rId665" /><Relationship Type="http://schemas.openxmlformats.org/officeDocument/2006/relationships/hyperlink" Target="https://www.humandignitytrust.org/country-profile/guyana/;%20https:/ilga.org/ilga-world-maps/" TargetMode="External" Id="rId666" /><Relationship Type="http://schemas.openxmlformats.org/officeDocument/2006/relationships/hyperlink" Target="https://ilga.org/ilga-world-maps/" TargetMode="External" Id="rId667" /><Relationship Type="http://schemas.openxmlformats.org/officeDocument/2006/relationships/hyperlink" Target="https://en.unesco.org/artificial-intelligence/observatory/policies?country=GY;%20https://www.unesco.org/ethics-ai/en/global-hub" TargetMode="External" Id="rId668" /><Relationship Type="http://schemas.openxmlformats.org/officeDocument/2006/relationships/hyperlink" Target="https://unctad.org/page/data-protection-and-privacy-legislation-worldwide" TargetMode="External" Id="rId669" /><Relationship Type="http://schemas.openxmlformats.org/officeDocument/2006/relationships/hyperlink" Target="https://www.gsma.com/solutions-and-impact/connectivity-for-good/public-policy/mobile-policy-handbook/consumer-protection/mandatory-registration-of-prepaid-sims/" TargetMode="External" Id="rId670" /><Relationship Type="http://schemas.openxmlformats.org/officeDocument/2006/relationships/hyperlink" Target="https://unctad.org/page/data-protection-and-privacy-legislation-worldwide" TargetMode="External" Id="rId671" /><Relationship Type="http://schemas.openxmlformats.org/officeDocument/2006/relationships/hyperlink" Target="https://unctad.org/page/data-protection-and-privacy-legislation-worldwide" TargetMode="External" Id="rId672" /><Relationship Type="http://schemas.openxmlformats.org/officeDocument/2006/relationships/hyperlink" Target="https://www.unicef.org/haiti/" TargetMode="External" Id="rId673" /><Relationship Type="http://schemas.openxmlformats.org/officeDocument/2006/relationships/hyperlink" Target="https://www.unicef.org/haiti/" TargetMode="External" Id="rId674" /><Relationship Type="http://schemas.openxmlformats.org/officeDocument/2006/relationships/hyperlink" Target="https://unctad.org/page/data-protection-and-privacy-legislation-worldwide" TargetMode="External" Id="rId675" /><Relationship Type="http://schemas.openxmlformats.org/officeDocument/2006/relationships/hyperlink" Target="https://www.humandignitytrust.org/country-profile/haiti/;%20https:/ilga.org/ilga-world-maps/" TargetMode="External" Id="rId676" /><Relationship Type="http://schemas.openxmlformats.org/officeDocument/2006/relationships/hyperlink" Target="https://ilga.org/ilga-world-maps/" TargetMode="External" Id="rId677" /><Relationship Type="http://schemas.openxmlformats.org/officeDocument/2006/relationships/hyperlink" Target="https://en.unesco.org/artificial-intelligence/observatory/policies?country=HT;%20https://www.unesco.org/ethics-ai/en/global-hub" TargetMode="External" Id="rId678" /><Relationship Type="http://schemas.openxmlformats.org/officeDocument/2006/relationships/hyperlink" Target="https://unctad.org/page/data-protection-and-privacy-legislation-worldwide" TargetMode="External" Id="rId679" /><Relationship Type="http://schemas.openxmlformats.org/officeDocument/2006/relationships/hyperlink" Target="https://www.gsma.com/solutions-and-impact/connectivity-for-good/public-policy/mobile-policy-handbook/consumer-protection/mandatory-registration-of-prepaid-sims/" TargetMode="External" Id="rId680" /><Relationship Type="http://schemas.openxmlformats.org/officeDocument/2006/relationships/hyperlink" Target="https://unctad.org/page/data-protection-and-privacy-legislation-worldwide" TargetMode="External" Id="rId681" /><Relationship Type="http://schemas.openxmlformats.org/officeDocument/2006/relationships/hyperlink" Target="https://unctad.org/page/data-protection-and-privacy-legislation-worldwide" TargetMode="External" Id="rId682" /><Relationship Type="http://schemas.openxmlformats.org/officeDocument/2006/relationships/hyperlink" Target="https://unctad.org/page/data-protection-and-privacy-legislation-worldwide;%20https:/www.unicef.org/jamaica/" TargetMode="External" Id="rId683" /><Relationship Type="http://schemas.openxmlformats.org/officeDocument/2006/relationships/hyperlink" Target="https://www.unicef.org/jamaica/" TargetMode="External" Id="rId684" /><Relationship Type="http://schemas.openxmlformats.org/officeDocument/2006/relationships/hyperlink" Target="https://unctad.org/page/data-protection-and-privacy-legislation-worldwide" TargetMode="External" Id="rId685" /><Relationship Type="http://schemas.openxmlformats.org/officeDocument/2006/relationships/hyperlink" Target="https://www.humandignitytrust.org/country-profile/jamaica/;%20https:/ilga.org/ilga-world-maps/" TargetMode="External" Id="rId686" /><Relationship Type="http://schemas.openxmlformats.org/officeDocument/2006/relationships/hyperlink" Target="https://ilga.org/ilga-world-maps/" TargetMode="External" Id="rId687" /><Relationship Type="http://schemas.openxmlformats.org/officeDocument/2006/relationships/hyperlink" Target="https://en.unesco.org/artificial-intelligence/observatory/policies?country=JM;%20https://www.unesco.org/ethics-ai/en/global-hub" TargetMode="External" Id="rId688" /><Relationship Type="http://schemas.openxmlformats.org/officeDocument/2006/relationships/hyperlink" Target="https://unctad.org/page/data-protection-and-privacy-legislation-worldwide" TargetMode="External" Id="rId689" /><Relationship Type="http://schemas.openxmlformats.org/officeDocument/2006/relationships/hyperlink" Target="https://www.gsma.com/solutions-and-impact/connectivity-for-good/public-policy/mobile-policy-handbook/consumer-protection/mandatory-registration-of-prepaid-sims/" TargetMode="External" Id="rId690" /><Relationship Type="http://schemas.openxmlformats.org/officeDocument/2006/relationships/hyperlink" Target="https://unctad.org/page/data-protection-and-privacy-legislation-worldwide" TargetMode="External" Id="rId691" /><Relationship Type="http://schemas.openxmlformats.org/officeDocument/2006/relationships/hyperlink" Target="https://unctad.org/page/data-protection-and-privacy-legislation-worldwide" TargetMode="External" Id="rId692" /><Relationship Type="http://schemas.openxmlformats.org/officeDocument/2006/relationships/hyperlink" Target="https://www.unicef.org/saint-kitts-and-nevis/" TargetMode="External" Id="rId693" /><Relationship Type="http://schemas.openxmlformats.org/officeDocument/2006/relationships/hyperlink" Target="https://www.unicef.org/saint-kitts-and-nevis/" TargetMode="External" Id="rId694" /><Relationship Type="http://schemas.openxmlformats.org/officeDocument/2006/relationships/hyperlink" Target="https://unctad.org/page/data-protection-and-privacy-legislation-worldwide" TargetMode="External" Id="rId695" /><Relationship Type="http://schemas.openxmlformats.org/officeDocument/2006/relationships/hyperlink" Target="https://www.humandignitytrust.org/country-profile/saint-kitts-and-nevis/;%20https:/ilga.org/ilga-world-maps/" TargetMode="External" Id="rId696" /><Relationship Type="http://schemas.openxmlformats.org/officeDocument/2006/relationships/hyperlink" Target="https://ilga.org/ilga-world-maps/" TargetMode="External" Id="rId697" /><Relationship Type="http://schemas.openxmlformats.org/officeDocument/2006/relationships/hyperlink" Target="https://en.unesco.org/artificial-intelligence/observatory/policies?country=KN;%20https://www.unesco.org/ethics-ai/en/global-hub" TargetMode="External" Id="rId698" /><Relationship Type="http://schemas.openxmlformats.org/officeDocument/2006/relationships/hyperlink" Target="https://unctad.org/page/data-protection-and-privacy-legislation-worldwide" TargetMode="External" Id="rId699" /><Relationship Type="http://schemas.openxmlformats.org/officeDocument/2006/relationships/hyperlink" Target="https://www.gsma.com/solutions-and-impact/connectivity-for-good/public-policy/mobile-policy-handbook/consumer-protection/mandatory-registration-of-prepaid-sims/" TargetMode="External" Id="rId700" /><Relationship Type="http://schemas.openxmlformats.org/officeDocument/2006/relationships/hyperlink" Target="https://unctad.org/page/data-protection-and-privacy-legislation-worldwide" TargetMode="External" Id="rId701" /><Relationship Type="http://schemas.openxmlformats.org/officeDocument/2006/relationships/hyperlink" Target="https://unctad.org/page/data-protection-and-privacy-legislation-worldwide" TargetMode="External" Id="rId702" /><Relationship Type="http://schemas.openxmlformats.org/officeDocument/2006/relationships/hyperlink" Target="https://www.unicef.org/saint-lucia/" TargetMode="External" Id="rId703" /><Relationship Type="http://schemas.openxmlformats.org/officeDocument/2006/relationships/hyperlink" Target="https://www.unicef.org/saint-lucia/" TargetMode="External" Id="rId704" /><Relationship Type="http://schemas.openxmlformats.org/officeDocument/2006/relationships/hyperlink" Target="https://unctad.org/page/data-protection-and-privacy-legislation-worldwide" TargetMode="External" Id="rId705" /><Relationship Type="http://schemas.openxmlformats.org/officeDocument/2006/relationships/hyperlink" Target="https://www.humandignitytrust.org/country-profile/saint-lucia/;%20https:/ilga.org/ilga-world-maps/" TargetMode="External" Id="rId706" /><Relationship Type="http://schemas.openxmlformats.org/officeDocument/2006/relationships/hyperlink" Target="https://ilga.org/ilga-world-maps/" TargetMode="External" Id="rId707" /><Relationship Type="http://schemas.openxmlformats.org/officeDocument/2006/relationships/hyperlink" Target="https://en.unesco.org/artificial-intelligence/observatory/policies?country=LC;%20https://www.unesco.org/ethics-ai/en/global-hub" TargetMode="External" Id="rId708" /><Relationship Type="http://schemas.openxmlformats.org/officeDocument/2006/relationships/hyperlink" Target="https://unctad.org/page/data-protection-and-privacy-legislation-worldwide" TargetMode="External" Id="rId709" /><Relationship Type="http://schemas.openxmlformats.org/officeDocument/2006/relationships/hyperlink" Target="https://www.gsma.com/solutions-and-impact/connectivity-for-good/public-policy/mobile-policy-handbook/consumer-protection/mandatory-registration-of-prepaid-sims/" TargetMode="External" Id="rId710" /><Relationship Type="http://schemas.openxmlformats.org/officeDocument/2006/relationships/hyperlink" Target="https://unctad.org/page/data-protection-and-privacy-legislation-worldwide" TargetMode="External" Id="rId711" /><Relationship Type="http://schemas.openxmlformats.org/officeDocument/2006/relationships/hyperlink" Target="https://unctad.org/page/data-protection-and-privacy-legislation-worldwide" TargetMode="External" Id="rId712" /><Relationship Type="http://schemas.openxmlformats.org/officeDocument/2006/relationships/hyperlink" Target="https://www.unicef.org/saint-vincent-and-the-grenadines/" TargetMode="External" Id="rId713" /><Relationship Type="http://schemas.openxmlformats.org/officeDocument/2006/relationships/hyperlink" Target="https://www.unicef.org/saint-vincent-and-the-grenadines/" TargetMode="External" Id="rId714" /><Relationship Type="http://schemas.openxmlformats.org/officeDocument/2006/relationships/hyperlink" Target="https://unctad.org/page/data-protection-and-privacy-legislation-worldwide" TargetMode="External" Id="rId715" /><Relationship Type="http://schemas.openxmlformats.org/officeDocument/2006/relationships/hyperlink" Target="https://www.humandignitytrust.org/country-profile/saint-vincent-and-the-grenadines/;%20https:/ilga.org/ilga-world-maps/" TargetMode="External" Id="rId716" /><Relationship Type="http://schemas.openxmlformats.org/officeDocument/2006/relationships/hyperlink" Target="https://ilga.org/ilga-world-maps/" TargetMode="External" Id="rId717" /><Relationship Type="http://schemas.openxmlformats.org/officeDocument/2006/relationships/hyperlink" Target="https://en.unesco.org/artificial-intelligence/observatory/policies?country=VC;%20https://www.unesco.org/ethics-ai/en/global-hub" TargetMode="External" Id="rId718" /><Relationship Type="http://schemas.openxmlformats.org/officeDocument/2006/relationships/hyperlink" Target="https://unctad.org/page/data-protection-and-privacy-legislation-worldwide" TargetMode="External" Id="rId719" /><Relationship Type="http://schemas.openxmlformats.org/officeDocument/2006/relationships/hyperlink" Target="https://www.gsma.com/solutions-and-impact/connectivity-for-good/public-policy/mobile-policy-handbook/consumer-protection/mandatory-registration-of-prepaid-sims/" TargetMode="External" Id="rId720" /><Relationship Type="http://schemas.openxmlformats.org/officeDocument/2006/relationships/hyperlink" Target="https://unctad.org/page/data-protection-and-privacy-legislation-worldwide" TargetMode="External" Id="rId721" /><Relationship Type="http://schemas.openxmlformats.org/officeDocument/2006/relationships/hyperlink" Target="https://unctad.org/page/data-protection-and-privacy-legislation-worldwide" TargetMode="External" Id="rId722" /><Relationship Type="http://schemas.openxmlformats.org/officeDocument/2006/relationships/hyperlink" Target="https://www.unicef.org/suriname/" TargetMode="External" Id="rId723" /><Relationship Type="http://schemas.openxmlformats.org/officeDocument/2006/relationships/hyperlink" Target="https://www.unicef.org/suriname/" TargetMode="External" Id="rId724" /><Relationship Type="http://schemas.openxmlformats.org/officeDocument/2006/relationships/hyperlink" Target="https://unctad.org/page/data-protection-and-privacy-legislation-worldwide" TargetMode="External" Id="rId725" /><Relationship Type="http://schemas.openxmlformats.org/officeDocument/2006/relationships/hyperlink" Target="https://www.humandignitytrust.org/country-profile/suriname/;%20https:/ilga.org/ilga-world-maps/" TargetMode="External" Id="rId726" /><Relationship Type="http://schemas.openxmlformats.org/officeDocument/2006/relationships/hyperlink" Target="https://ilga.org/ilga-world-maps/" TargetMode="External" Id="rId727" /><Relationship Type="http://schemas.openxmlformats.org/officeDocument/2006/relationships/hyperlink" Target="https://en.unesco.org/artificial-intelligence/observatory/policies?country=SR;%20https://www.unesco.org/ethics-ai/en/global-hub" TargetMode="External" Id="rId728" /><Relationship Type="http://schemas.openxmlformats.org/officeDocument/2006/relationships/hyperlink" Target="https://unctad.org/page/data-protection-and-privacy-legislation-worldwide" TargetMode="External" Id="rId729" /><Relationship Type="http://schemas.openxmlformats.org/officeDocument/2006/relationships/hyperlink" Target="https://www.gsma.com/solutions-and-impact/connectivity-for-good/public-policy/mobile-policy-handbook/consumer-protection/mandatory-registration-of-prepaid-sims/" TargetMode="External" Id="rId730" /><Relationship Type="http://schemas.openxmlformats.org/officeDocument/2006/relationships/hyperlink" Target="https://unctad.org/page/data-protection-and-privacy-legislation-worldwide" TargetMode="External" Id="rId731" /><Relationship Type="http://schemas.openxmlformats.org/officeDocument/2006/relationships/hyperlink" Target="https://unctad.org/page/data-protection-and-privacy-legislation-worldwide" TargetMode="External" Id="rId732" /><Relationship Type="http://schemas.openxmlformats.org/officeDocument/2006/relationships/hyperlink" Target="https://unctad.org/page/data-protection-and-privacy-legislation-worldwide;%20https:/www.unicef.org/trinidad-and-tobago/" TargetMode="External" Id="rId733" /><Relationship Type="http://schemas.openxmlformats.org/officeDocument/2006/relationships/hyperlink" Target="https://www.unicef.org/trinidad-and-tobago/" TargetMode="External" Id="rId734" /><Relationship Type="http://schemas.openxmlformats.org/officeDocument/2006/relationships/hyperlink" Target="https://unctad.org/page/data-protection-and-privacy-legislation-worldwide" TargetMode="External" Id="rId735" /><Relationship Type="http://schemas.openxmlformats.org/officeDocument/2006/relationships/hyperlink" Target="https://www.humandignitytrust.org/country-profile/trinidad-and-tobago/;%20https:/ilga.org/ilga-world-maps/" TargetMode="External" Id="rId736" /><Relationship Type="http://schemas.openxmlformats.org/officeDocument/2006/relationships/hyperlink" Target="https://ilga.org/ilga-world-maps/" TargetMode="External" Id="rId737" /><Relationship Type="http://schemas.openxmlformats.org/officeDocument/2006/relationships/hyperlink" Target="https://en.unesco.org/artificial-intelligence/observatory/policies?country=TT;%20https://www.unesco.org/ethics-ai/en/global-hub" TargetMode="External" Id="rId738" /><Relationship Type="http://schemas.openxmlformats.org/officeDocument/2006/relationships/hyperlink" Target="https://unctad.org/page/data-protection-and-privacy-legislation-worldwide" TargetMode="External" Id="rId739" /><Relationship Type="http://schemas.openxmlformats.org/officeDocument/2006/relationships/hyperlink" Target="https://www.gsma.com/solutions-and-impact/connectivity-for-good/public-policy/mobile-policy-handbook/consumer-protection/mandatory-registration-of-prepaid-sims/" TargetMode="External" Id="rId740" /><Relationship Type="http://schemas.openxmlformats.org/officeDocument/2006/relationships/hyperlink" Target="https://unctad.org/page/data-protection-and-privacy-legislation-worldwide" TargetMode="External" Id="rId741" /><Relationship Type="http://schemas.openxmlformats.org/officeDocument/2006/relationships/hyperlink" Target="https://unctad.org/page/data-protection-and-privacy-legislation-worldwide" TargetMode="External" Id="rId742" /><Relationship Type="http://schemas.openxmlformats.org/officeDocument/2006/relationships/hyperlink" Target="https://unctad.org/page/data-protection-and-privacy-legislation-worldwide;%20https:/www.unicef.org/argentina/" TargetMode="External" Id="rId743" /><Relationship Type="http://schemas.openxmlformats.org/officeDocument/2006/relationships/hyperlink" Target="https://www.unicef.org/argentina/" TargetMode="External" Id="rId744" /><Relationship Type="http://schemas.openxmlformats.org/officeDocument/2006/relationships/hyperlink" Target="https://unctad.org/page/data-protection-and-privacy-legislation-worldwide" TargetMode="External" Id="rId745" /><Relationship Type="http://schemas.openxmlformats.org/officeDocument/2006/relationships/hyperlink" Target="https://www.humandignitytrust.org/country-profile/argentina/;%20https:/ilga.org/ilga-world-maps/" TargetMode="External" Id="rId746" /><Relationship Type="http://schemas.openxmlformats.org/officeDocument/2006/relationships/hyperlink" Target="https://ilga.org/ilga-world-maps/" TargetMode="External" Id="rId747" /><Relationship Type="http://schemas.openxmlformats.org/officeDocument/2006/relationships/hyperlink" Target="https://en.unesco.org/artificial-intelligence/observatory/policies?country=AR;%20https://www.unesco.org/ethics-ai/en/global-hub" TargetMode="External" Id="rId748" /><Relationship Type="http://schemas.openxmlformats.org/officeDocument/2006/relationships/hyperlink" Target="https://unctad.org/page/data-protection-and-privacy-legislation-worldwide" TargetMode="External" Id="rId74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750" /><Relationship Type="http://schemas.openxmlformats.org/officeDocument/2006/relationships/hyperlink" Target="https://unctad.org/page/data-protection-and-privacy-legislation-worldwide" TargetMode="External" Id="rId751" /><Relationship Type="http://schemas.openxmlformats.org/officeDocument/2006/relationships/hyperlink" Target="https://unctad.org/page/data-protection-and-privacy-legislation-worldwide" TargetMode="External" Id="rId752" /><Relationship Type="http://schemas.openxmlformats.org/officeDocument/2006/relationships/hyperlink" Target="https://unctad.org/page/data-protection-and-privacy-legislation-worldwide;%20https:/www.unicef.org/brazil/" TargetMode="External" Id="rId753" /><Relationship Type="http://schemas.openxmlformats.org/officeDocument/2006/relationships/hyperlink" Target="https://www.unicef.org/brazil/" TargetMode="External" Id="rId754" /><Relationship Type="http://schemas.openxmlformats.org/officeDocument/2006/relationships/hyperlink" Target="https://unctad.org/page/data-protection-and-privacy-legislation-worldwide" TargetMode="External" Id="rId755" /><Relationship Type="http://schemas.openxmlformats.org/officeDocument/2006/relationships/hyperlink" Target="https://www.humandignitytrust.org/country-profile/brazil/;%20https:/ilga.org/ilga-world-maps/" TargetMode="External" Id="rId756" /><Relationship Type="http://schemas.openxmlformats.org/officeDocument/2006/relationships/hyperlink" Target="https://ilga.org/ilga-world-maps/" TargetMode="External" Id="rId757" /><Relationship Type="http://schemas.openxmlformats.org/officeDocument/2006/relationships/hyperlink" Target="https://en.unesco.org/artificial-intelligence/observatory/policies?country=BR;%20https://www.unesco.org/ethics-ai/en/global-hub" TargetMode="External" Id="rId758" /><Relationship Type="http://schemas.openxmlformats.org/officeDocument/2006/relationships/hyperlink" Target="https://unctad.org/page/data-protection-and-privacy-legislation-worldwide" TargetMode="External" Id="rId75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760" /><Relationship Type="http://schemas.openxmlformats.org/officeDocument/2006/relationships/hyperlink" Target="https://unctad.org/page/data-protection-and-privacy-legislation-worldwide" TargetMode="External" Id="rId761" /><Relationship Type="http://schemas.openxmlformats.org/officeDocument/2006/relationships/hyperlink" Target="https://unctad.org/page/data-protection-and-privacy-legislation-worldwide" TargetMode="External" Id="rId762" /><Relationship Type="http://schemas.openxmlformats.org/officeDocument/2006/relationships/hyperlink" Target="https://www.unicef.org/paraguay/" TargetMode="External" Id="rId763" /><Relationship Type="http://schemas.openxmlformats.org/officeDocument/2006/relationships/hyperlink" Target="https://www.unicef.org/paraguay/" TargetMode="External" Id="rId764" /><Relationship Type="http://schemas.openxmlformats.org/officeDocument/2006/relationships/hyperlink" Target="https://unctad.org/page/data-protection-and-privacy-legislation-worldwide" TargetMode="External" Id="rId765" /><Relationship Type="http://schemas.openxmlformats.org/officeDocument/2006/relationships/hyperlink" Target="https://www.humandignitytrust.org/country-profile/paraguay/;%20https:/ilga.org/ilga-world-maps/" TargetMode="External" Id="rId766" /><Relationship Type="http://schemas.openxmlformats.org/officeDocument/2006/relationships/hyperlink" Target="https://ilga.org/ilga-world-maps/" TargetMode="External" Id="rId767" /><Relationship Type="http://schemas.openxmlformats.org/officeDocument/2006/relationships/hyperlink" Target="https://en.unesco.org/artificial-intelligence/observatory/policies?country=PY;%20https://www.unesco.org/ethics-ai/en/global-hub" TargetMode="External" Id="rId768" /><Relationship Type="http://schemas.openxmlformats.org/officeDocument/2006/relationships/hyperlink" Target="https://unctad.org/page/data-protection-and-privacy-legislation-worldwide" TargetMode="External" Id="rId769" /><Relationship Type="http://schemas.openxmlformats.org/officeDocument/2006/relationships/hyperlink" Target="https://www.gsma.com/solutions-and-impact/connectivity-for-good/public-policy/mobile-policy-handbook/consumer-protection/mandatory-registration-of-prepaid-sims/" TargetMode="External" Id="rId770" /><Relationship Type="http://schemas.openxmlformats.org/officeDocument/2006/relationships/hyperlink" Target="https://unctad.org/page/data-protection-and-privacy-legislation-worldwide" TargetMode="External" Id="rId771" /><Relationship Type="http://schemas.openxmlformats.org/officeDocument/2006/relationships/hyperlink" Target="https://unctad.org/page/data-protection-and-privacy-legislation-worldwide" TargetMode="External" Id="rId772" /><Relationship Type="http://schemas.openxmlformats.org/officeDocument/2006/relationships/hyperlink" Target="https://unctad.org/page/data-protection-and-privacy-legislation-worldwide;%20https:/www.unicef.org/uruguay/" TargetMode="External" Id="rId773" /><Relationship Type="http://schemas.openxmlformats.org/officeDocument/2006/relationships/hyperlink" Target="https://www.unicef.org/uruguay/" TargetMode="External" Id="rId774" /><Relationship Type="http://schemas.openxmlformats.org/officeDocument/2006/relationships/hyperlink" Target="https://unctad.org/page/data-protection-and-privacy-legislation-worldwide" TargetMode="External" Id="rId775" /><Relationship Type="http://schemas.openxmlformats.org/officeDocument/2006/relationships/hyperlink" Target="https://www.humandignitytrust.org/country-profile/uruguay/;%20https:/ilga.org/ilga-world-maps/" TargetMode="External" Id="rId776" /><Relationship Type="http://schemas.openxmlformats.org/officeDocument/2006/relationships/hyperlink" Target="https://ilga.org/ilga-world-maps/" TargetMode="External" Id="rId777" /><Relationship Type="http://schemas.openxmlformats.org/officeDocument/2006/relationships/hyperlink" Target="https://en.unesco.org/artificial-intelligence/observatory/policies?country=UY;%20https://www.unesco.org/ethics-ai/en/global-hub" TargetMode="External" Id="rId778" /><Relationship Type="http://schemas.openxmlformats.org/officeDocument/2006/relationships/hyperlink" Target="https://unctad.org/page/data-protection-and-privacy-legislation-worldwide" TargetMode="External" Id="rId779" /><Relationship Type="http://schemas.openxmlformats.org/officeDocument/2006/relationships/hyperlink" Target="https://www.gsma.com/solutions-and-impact/connectivity-for-good/public-policy/mobile-policy-handbook/consumer-protection/mandatory-registration-of-prepaid-sims/" TargetMode="External" Id="rId780" /><Relationship Type="http://schemas.openxmlformats.org/officeDocument/2006/relationships/hyperlink" Target="https://unctad.org/page/data-protection-and-privacy-legislation-worldwide" TargetMode="External" Id="rId781" /><Relationship Type="http://schemas.openxmlformats.org/officeDocument/2006/relationships/hyperlink" Target="https://unctad.org/page/data-protection-and-privacy-legislation-worldwide" TargetMode="External" Id="rId782" /><Relationship Type="http://schemas.openxmlformats.org/officeDocument/2006/relationships/hyperlink" Target="https://unctad.org/page/data-protection-and-privacy-legislation-worldwide;%20https:/www.unicef.org/chile/" TargetMode="External" Id="rId783" /><Relationship Type="http://schemas.openxmlformats.org/officeDocument/2006/relationships/hyperlink" Target="https://www.unicef.org/chile/" TargetMode="External" Id="rId784" /><Relationship Type="http://schemas.openxmlformats.org/officeDocument/2006/relationships/hyperlink" Target="https://unctad.org/page/data-protection-and-privacy-legislation-worldwide" TargetMode="External" Id="rId785" /><Relationship Type="http://schemas.openxmlformats.org/officeDocument/2006/relationships/hyperlink" Target="https://www.humandignitytrust.org/country-profile/chile/;%20https:/ilga.org/ilga-world-maps/" TargetMode="External" Id="rId786" /><Relationship Type="http://schemas.openxmlformats.org/officeDocument/2006/relationships/hyperlink" Target="https://ilga.org/ilga-world-maps/" TargetMode="External" Id="rId787" /><Relationship Type="http://schemas.openxmlformats.org/officeDocument/2006/relationships/hyperlink" Target="https://en.unesco.org/artificial-intelligence/observatory/policies?country=CL;%20https://www.unesco.org/ethics-ai/en/global-hub" TargetMode="External" Id="rId788" /><Relationship Type="http://schemas.openxmlformats.org/officeDocument/2006/relationships/hyperlink" Target="https://unctad.org/page/data-protection-and-privacy-legislation-worldwide" TargetMode="External" Id="rId78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790" /><Relationship Type="http://schemas.openxmlformats.org/officeDocument/2006/relationships/hyperlink" Target="https://unctad.org/page/data-protection-and-privacy-legislation-worldwide" TargetMode="External" Id="rId791" /><Relationship Type="http://schemas.openxmlformats.org/officeDocument/2006/relationships/hyperlink" Target="https://unctad.org/page/data-protection-and-privacy-legislation-worldwide" TargetMode="External" Id="rId792" /><Relationship Type="http://schemas.openxmlformats.org/officeDocument/2006/relationships/hyperlink" Target="https://unctad.org/page/data-protection-and-privacy-legislation-worldwide;%20https:/www.unicef.org/colombia/" TargetMode="External" Id="rId793" /><Relationship Type="http://schemas.openxmlformats.org/officeDocument/2006/relationships/hyperlink" Target="https://www.unicef.org/colombia/" TargetMode="External" Id="rId794" /><Relationship Type="http://schemas.openxmlformats.org/officeDocument/2006/relationships/hyperlink" Target="https://unctad.org/page/data-protection-and-privacy-legislation-worldwide" TargetMode="External" Id="rId795" /><Relationship Type="http://schemas.openxmlformats.org/officeDocument/2006/relationships/hyperlink" Target="https://www.humandignitytrust.org/country-profile/colombia/;%20https:/ilga.org/ilga-world-maps/" TargetMode="External" Id="rId796" /><Relationship Type="http://schemas.openxmlformats.org/officeDocument/2006/relationships/hyperlink" Target="https://ilga.org/ilga-world-maps/" TargetMode="External" Id="rId797" /><Relationship Type="http://schemas.openxmlformats.org/officeDocument/2006/relationships/hyperlink" Target="https://en.unesco.org/artificial-intelligence/observatory/policies?country=CO;%20https://www.unesco.org/ethics-ai/en/global-hub" TargetMode="External" Id="rId798" /><Relationship Type="http://schemas.openxmlformats.org/officeDocument/2006/relationships/hyperlink" Target="https://unctad.org/page/data-protection-and-privacy-legislation-worldwide" TargetMode="External" Id="rId79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800" /><Relationship Type="http://schemas.openxmlformats.org/officeDocument/2006/relationships/hyperlink" Target="https://unctad.org/page/data-protection-and-privacy-legislation-worldwide" TargetMode="External" Id="rId801" /><Relationship Type="http://schemas.openxmlformats.org/officeDocument/2006/relationships/hyperlink" Target="https://unctad.org/page/data-protection-and-privacy-legislation-worldwide" TargetMode="External" Id="rId802" /><Relationship Type="http://schemas.openxmlformats.org/officeDocument/2006/relationships/hyperlink" Target="https://unctad.org/page/data-protection-and-privacy-legislation-worldwide;%20https:/www.unicef.org/costa-rica/" TargetMode="External" Id="rId803" /><Relationship Type="http://schemas.openxmlformats.org/officeDocument/2006/relationships/hyperlink" Target="https://www.unicef.org/costa-rica/" TargetMode="External" Id="rId804" /><Relationship Type="http://schemas.openxmlformats.org/officeDocument/2006/relationships/hyperlink" Target="https://unctad.org/page/data-protection-and-privacy-legislation-worldwide" TargetMode="External" Id="rId805" /><Relationship Type="http://schemas.openxmlformats.org/officeDocument/2006/relationships/hyperlink" Target="https://www.humandignitytrust.org/country-profile/costa-rica/;%20https:/ilga.org/ilga-world-maps/" TargetMode="External" Id="rId806" /><Relationship Type="http://schemas.openxmlformats.org/officeDocument/2006/relationships/hyperlink" Target="https://ilga.org/ilga-world-maps/" TargetMode="External" Id="rId807" /><Relationship Type="http://schemas.openxmlformats.org/officeDocument/2006/relationships/hyperlink" Target="https://en.unesco.org/artificial-intelligence/observatory/policies?country=CR;%20https://www.unesco.org/ethics-ai/en/global-hub" TargetMode="External" Id="rId808" /><Relationship Type="http://schemas.openxmlformats.org/officeDocument/2006/relationships/hyperlink" Target="https://unctad.org/page/data-protection-and-privacy-legislation-worldwide" TargetMode="External" Id="rId80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810" /><Relationship Type="http://schemas.openxmlformats.org/officeDocument/2006/relationships/hyperlink" Target="https://unctad.org/page/data-protection-and-privacy-legislation-worldwide" TargetMode="External" Id="rId811" /><Relationship Type="http://schemas.openxmlformats.org/officeDocument/2006/relationships/hyperlink" Target="https://unctad.org/page/data-protection-and-privacy-legislation-worldwide" TargetMode="External" Id="rId812" /><Relationship Type="http://schemas.openxmlformats.org/officeDocument/2006/relationships/hyperlink" Target="https://unctad.org/page/data-protection-and-privacy-legislation-worldwide;%20https:/www.unicef.org/el-salvador/" TargetMode="External" Id="rId813" /><Relationship Type="http://schemas.openxmlformats.org/officeDocument/2006/relationships/hyperlink" Target="https://www.unicef.org/el-salvador/" TargetMode="External" Id="rId814" /><Relationship Type="http://schemas.openxmlformats.org/officeDocument/2006/relationships/hyperlink" Target="https://unctad.org/page/data-protection-and-privacy-legislation-worldwide" TargetMode="External" Id="rId815" /><Relationship Type="http://schemas.openxmlformats.org/officeDocument/2006/relationships/hyperlink" Target="https://www.humandignitytrust.org/country-profile/el-salvador/;%20https:/ilga.org/ilga-world-maps/" TargetMode="External" Id="rId816" /><Relationship Type="http://schemas.openxmlformats.org/officeDocument/2006/relationships/hyperlink" Target="https://ilga.org/ilga-world-maps/" TargetMode="External" Id="rId817" /><Relationship Type="http://schemas.openxmlformats.org/officeDocument/2006/relationships/hyperlink" Target="https://en.unesco.org/artificial-intelligence/observatory/policies?country=SV;%20https://www.unesco.org/ethics-ai/en/global-hub" TargetMode="External" Id="rId818" /><Relationship Type="http://schemas.openxmlformats.org/officeDocument/2006/relationships/hyperlink" Target="https://unctad.org/page/data-protection-and-privacy-legislation-worldwide" TargetMode="External" Id="rId819" /><Relationship Type="http://schemas.openxmlformats.org/officeDocument/2006/relationships/hyperlink" Target="https://www.gsma.com/solutions-and-impact/connectivity-for-good/public-policy/mobile-policy-handbook/consumer-protection/mandatory-registration-of-prepaid-sims/" TargetMode="External" Id="rId820" /><Relationship Type="http://schemas.openxmlformats.org/officeDocument/2006/relationships/hyperlink" Target="https://unctad.org/page/data-protection-and-privacy-legislation-worldwide" TargetMode="External" Id="rId821" /><Relationship Type="http://schemas.openxmlformats.org/officeDocument/2006/relationships/hyperlink" Target="https://unctad.org/page/data-protection-and-privacy-legislation-worldwide" TargetMode="External" Id="rId822" /><Relationship Type="http://schemas.openxmlformats.org/officeDocument/2006/relationships/hyperlink" Target="https://www.unicef.org/guatemala/" TargetMode="External" Id="rId823" /><Relationship Type="http://schemas.openxmlformats.org/officeDocument/2006/relationships/hyperlink" Target="https://www.unicef.org/guatemala/" TargetMode="External" Id="rId824" /><Relationship Type="http://schemas.openxmlformats.org/officeDocument/2006/relationships/hyperlink" Target="https://unctad.org/page/data-protection-and-privacy-legislation-worldwide" TargetMode="External" Id="rId825" /><Relationship Type="http://schemas.openxmlformats.org/officeDocument/2006/relationships/hyperlink" Target="https://www.humandignitytrust.org/country-profile/guatemala/;%20https:/ilga.org/ilga-world-maps/" TargetMode="External" Id="rId826" /><Relationship Type="http://schemas.openxmlformats.org/officeDocument/2006/relationships/hyperlink" Target="https://ilga.org/ilga-world-maps/" TargetMode="External" Id="rId827" /><Relationship Type="http://schemas.openxmlformats.org/officeDocument/2006/relationships/hyperlink" Target="https://en.unesco.org/artificial-intelligence/observatory/policies?country=GT;%20https://www.unesco.org/ethics-ai/en/global-hub" TargetMode="External" Id="rId828" /><Relationship Type="http://schemas.openxmlformats.org/officeDocument/2006/relationships/hyperlink" Target="https://unctad.org/page/data-protection-and-privacy-legislation-worldwide" TargetMode="External" Id="rId829" /><Relationship Type="http://schemas.openxmlformats.org/officeDocument/2006/relationships/hyperlink" Target="https://www.gsma.com/solutions-and-impact/connectivity-for-good/public-policy/mobile-policy-handbook/consumer-protection/mandatory-registration-of-prepaid-sims/" TargetMode="External" Id="rId830" /><Relationship Type="http://schemas.openxmlformats.org/officeDocument/2006/relationships/hyperlink" Target="https://unctad.org/page/data-protection-and-privacy-legislation-worldwide" TargetMode="External" Id="rId831" /><Relationship Type="http://schemas.openxmlformats.org/officeDocument/2006/relationships/hyperlink" Target="https://unctad.org/page/data-protection-and-privacy-legislation-worldwide" TargetMode="External" Id="rId832" /><Relationship Type="http://schemas.openxmlformats.org/officeDocument/2006/relationships/hyperlink" Target="https://www.unicef.org/honduras/" TargetMode="External" Id="rId833" /><Relationship Type="http://schemas.openxmlformats.org/officeDocument/2006/relationships/hyperlink" Target="https://www.unicef.org/honduras/" TargetMode="External" Id="rId834" /><Relationship Type="http://schemas.openxmlformats.org/officeDocument/2006/relationships/hyperlink" Target="https://unctad.org/page/data-protection-and-privacy-legislation-worldwide" TargetMode="External" Id="rId835" /><Relationship Type="http://schemas.openxmlformats.org/officeDocument/2006/relationships/hyperlink" Target="https://www.humandignitytrust.org/country-profile/honduras/;%20https:/ilga.org/ilga-world-maps/" TargetMode="External" Id="rId836" /><Relationship Type="http://schemas.openxmlformats.org/officeDocument/2006/relationships/hyperlink" Target="https://ilga.org/ilga-world-maps/" TargetMode="External" Id="rId837" /><Relationship Type="http://schemas.openxmlformats.org/officeDocument/2006/relationships/hyperlink" Target="https://en.unesco.org/artificial-intelligence/observatory/policies?country=HN;%20https://www.unesco.org/ethics-ai/en/global-hub" TargetMode="External" Id="rId838" /><Relationship Type="http://schemas.openxmlformats.org/officeDocument/2006/relationships/hyperlink" Target="https://unctad.org/page/data-protection-and-privacy-legislation-worldwide" TargetMode="External" Id="rId839" /><Relationship Type="http://schemas.openxmlformats.org/officeDocument/2006/relationships/hyperlink" Target="https://www.gsma.com/solutions-and-impact/connectivity-for-good/public-policy/mobile-policy-handbook/consumer-protection/mandatory-registration-of-prepaid-sims/" TargetMode="External" Id="rId840" /><Relationship Type="http://schemas.openxmlformats.org/officeDocument/2006/relationships/hyperlink" Target="https://unctad.org/page/data-protection-and-privacy-legislation-worldwide" TargetMode="External" Id="rId841" /><Relationship Type="http://schemas.openxmlformats.org/officeDocument/2006/relationships/hyperlink" Target="https://unctad.org/page/data-protection-and-privacy-legislation-worldwide" TargetMode="External" Id="rId842" /><Relationship Type="http://schemas.openxmlformats.org/officeDocument/2006/relationships/hyperlink" Target="https://www.unicef.org/nicaragua/" TargetMode="External" Id="rId843" /><Relationship Type="http://schemas.openxmlformats.org/officeDocument/2006/relationships/hyperlink" Target="https://www.unicef.org/nicaragua/" TargetMode="External" Id="rId844" /><Relationship Type="http://schemas.openxmlformats.org/officeDocument/2006/relationships/hyperlink" Target="https://unctad.org/page/data-protection-and-privacy-legislation-worldwide" TargetMode="External" Id="rId845" /><Relationship Type="http://schemas.openxmlformats.org/officeDocument/2006/relationships/hyperlink" Target="https://www.humandignitytrust.org/country-profile/nicaragua/;%20https:/ilga.org/ilga-world-maps/" TargetMode="External" Id="rId846" /><Relationship Type="http://schemas.openxmlformats.org/officeDocument/2006/relationships/hyperlink" Target="https://ilga.org/ilga-world-maps/" TargetMode="External" Id="rId847" /><Relationship Type="http://schemas.openxmlformats.org/officeDocument/2006/relationships/hyperlink" Target="https://en.unesco.org/artificial-intelligence/observatory/policies?country=NI;%20https://www.unesco.org/ethics-ai/en/global-hub" TargetMode="External" Id="rId848" /><Relationship Type="http://schemas.openxmlformats.org/officeDocument/2006/relationships/hyperlink" Target="https://unctad.org/page/data-protection-and-privacy-legislation-worldwide" TargetMode="External" Id="rId849" /><Relationship Type="http://schemas.openxmlformats.org/officeDocument/2006/relationships/hyperlink" Target="https://www.gsma.com/solutions-and-impact/connectivity-for-good/public-policy/mobile-policy-handbook/consumer-protection/mandatory-registration-of-prepaid-sims/" TargetMode="External" Id="rId850" /><Relationship Type="http://schemas.openxmlformats.org/officeDocument/2006/relationships/hyperlink" Target="https://unctad.org/page/data-protection-and-privacy-legislation-worldwide" TargetMode="External" Id="rId851" /><Relationship Type="http://schemas.openxmlformats.org/officeDocument/2006/relationships/hyperlink" Target="https://unctad.org/page/data-protection-and-privacy-legislation-worldwide" TargetMode="External" Id="rId852" /><Relationship Type="http://schemas.openxmlformats.org/officeDocument/2006/relationships/hyperlink" Target="https://unctad.org/page/data-protection-and-privacy-legislation-worldwide;%20https:/www.unicef.org/panama/" TargetMode="External" Id="rId853" /><Relationship Type="http://schemas.openxmlformats.org/officeDocument/2006/relationships/hyperlink" Target="https://www.unicef.org/panama/" TargetMode="External" Id="rId854" /><Relationship Type="http://schemas.openxmlformats.org/officeDocument/2006/relationships/hyperlink" Target="https://unctad.org/page/data-protection-and-privacy-legislation-worldwide" TargetMode="External" Id="rId855" /><Relationship Type="http://schemas.openxmlformats.org/officeDocument/2006/relationships/hyperlink" Target="https://www.humandignitytrust.org/country-profile/panama/;%20https:/ilga.org/ilga-world-maps/" TargetMode="External" Id="rId856" /><Relationship Type="http://schemas.openxmlformats.org/officeDocument/2006/relationships/hyperlink" Target="https://ilga.org/ilga-world-maps/" TargetMode="External" Id="rId857" /><Relationship Type="http://schemas.openxmlformats.org/officeDocument/2006/relationships/hyperlink" Target="https://en.unesco.org/artificial-intelligence/observatory/policies?country=PA;%20https://www.unesco.org/ethics-ai/en/global-hub" TargetMode="External" Id="rId858" /><Relationship Type="http://schemas.openxmlformats.org/officeDocument/2006/relationships/hyperlink" Target="https://unctad.org/page/data-protection-and-privacy-legislation-worldwide" TargetMode="External" Id="rId859" /><Relationship Type="http://schemas.openxmlformats.org/officeDocument/2006/relationships/hyperlink" Target="https://www.gsma.com/solutions-and-impact/connectivity-for-good/public-policy/mobile-policy-handbook/consumer-protection/mandatory-registration-of-prepaid-sims/" TargetMode="External" Id="rId860" /><Relationship Type="http://schemas.openxmlformats.org/officeDocument/2006/relationships/hyperlink" Target="https://unctad.org/page/data-protection-and-privacy-legislation-worldwide" TargetMode="External" Id="rId861" /><Relationship Type="http://schemas.openxmlformats.org/officeDocument/2006/relationships/hyperlink" Target="https://unctad.org/page/data-protection-and-privacy-legislation-worldwide" TargetMode="External" Id="rId862" /><Relationship Type="http://schemas.openxmlformats.org/officeDocument/2006/relationships/hyperlink" Target="https://unctad.org/page/data-protection-and-privacy-legislation-worldwide;%20https:/www.unicef.org/canada/" TargetMode="External" Id="rId863" /><Relationship Type="http://schemas.openxmlformats.org/officeDocument/2006/relationships/hyperlink" Target="https://www.unicef.org/canada/" TargetMode="External" Id="rId864" /><Relationship Type="http://schemas.openxmlformats.org/officeDocument/2006/relationships/hyperlink" Target="https://unctad.org/page/data-protection-and-privacy-legislation-worldwide" TargetMode="External" Id="rId865" /><Relationship Type="http://schemas.openxmlformats.org/officeDocument/2006/relationships/hyperlink" Target="https://www.humandignitytrust.org/country-profile/canada/;%20https:/ilga.org/ilga-world-maps/" TargetMode="External" Id="rId866" /><Relationship Type="http://schemas.openxmlformats.org/officeDocument/2006/relationships/hyperlink" Target="https://ilga.org/ilga-world-maps/" TargetMode="External" Id="rId867" /><Relationship Type="http://schemas.openxmlformats.org/officeDocument/2006/relationships/hyperlink" Target="https://en.unesco.org/artificial-intelligence/observatory/policies?country=CA;%20https://www.unesco.org/ethics-ai/en/global-hub" TargetMode="External" Id="rId868" /><Relationship Type="http://schemas.openxmlformats.org/officeDocument/2006/relationships/hyperlink" Target="https://unctad.org/page/data-protection-and-privacy-legislation-worldwide" TargetMode="External" Id="rId86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870" /><Relationship Type="http://schemas.openxmlformats.org/officeDocument/2006/relationships/hyperlink" Target="https://unctad.org/page/data-protection-and-privacy-legislation-worldwide" TargetMode="External" Id="rId871" /><Relationship Type="http://schemas.openxmlformats.org/officeDocument/2006/relationships/hyperlink" Target="https://unctad.org/page/data-protection-and-privacy-legislation-worldwide" TargetMode="External" Id="rId872" /><Relationship Type="http://schemas.openxmlformats.org/officeDocument/2006/relationships/hyperlink" Target="https://unctad.org/page/data-protection-and-privacy-legislation-worldwide;%20https:/www.unicef.org/mexico/" TargetMode="External" Id="rId873" /><Relationship Type="http://schemas.openxmlformats.org/officeDocument/2006/relationships/hyperlink" Target="https://www.unicef.org/mexico/" TargetMode="External" Id="rId874" /><Relationship Type="http://schemas.openxmlformats.org/officeDocument/2006/relationships/hyperlink" Target="https://unctad.org/page/data-protection-and-privacy-legislation-worldwide" TargetMode="External" Id="rId875" /><Relationship Type="http://schemas.openxmlformats.org/officeDocument/2006/relationships/hyperlink" Target="https://www.humandignitytrust.org/country-profile/mexico/;%20https:/ilga.org/ilga-world-maps/" TargetMode="External" Id="rId876" /><Relationship Type="http://schemas.openxmlformats.org/officeDocument/2006/relationships/hyperlink" Target="https://ilga.org/ilga-world-maps/" TargetMode="External" Id="rId877" /><Relationship Type="http://schemas.openxmlformats.org/officeDocument/2006/relationships/hyperlink" Target="https://en.unesco.org/artificial-intelligence/observatory/policies?country=MX;%20https://www.unesco.org/ethics-ai/en/global-hub" TargetMode="External" Id="rId878" /><Relationship Type="http://schemas.openxmlformats.org/officeDocument/2006/relationships/hyperlink" Target="https://unctad.org/page/data-protection-and-privacy-legislation-worldwide" TargetMode="External" Id="rId879" /><Relationship Type="http://schemas.openxmlformats.org/officeDocument/2006/relationships/hyperlink" Target="https://www.gsma.com/solutions-and-impact/connectivity-for-good/public-policy/mobile-policy-handbook/consumer-protection/mandatory-registration-of-prepaid-sims/" TargetMode="External" Id="rId880" /><Relationship Type="http://schemas.openxmlformats.org/officeDocument/2006/relationships/hyperlink" Target="https://unctad.org/page/data-protection-and-privacy-legislation-worldwide" TargetMode="External" Id="rId881" /><Relationship Type="http://schemas.openxmlformats.org/officeDocument/2006/relationships/hyperlink" Target="https://unctad.org/page/data-protection-and-privacy-legislation-worldwide" TargetMode="External" Id="rId882" /><Relationship Type="http://schemas.openxmlformats.org/officeDocument/2006/relationships/hyperlink" Target="https://unctad.org/page/data-protection-and-privacy-legislation-worldwide;%20https:/www.unicef.org/united-states-of-america/" TargetMode="External" Id="rId883" /><Relationship Type="http://schemas.openxmlformats.org/officeDocument/2006/relationships/hyperlink" Target="https://www.unicef.org/united-states-of-america/" TargetMode="External" Id="rId884" /><Relationship Type="http://schemas.openxmlformats.org/officeDocument/2006/relationships/hyperlink" Target="https://unctad.org/page/data-protection-and-privacy-legislation-worldwide" TargetMode="External" Id="rId885" /><Relationship Type="http://schemas.openxmlformats.org/officeDocument/2006/relationships/hyperlink" Target="https://www.humandignitytrust.org/country-profile/united-states-of-america/;%20https:/ilga.org/ilga-world-maps/" TargetMode="External" Id="rId886" /><Relationship Type="http://schemas.openxmlformats.org/officeDocument/2006/relationships/hyperlink" Target="https://ilga.org/ilga-world-maps/" TargetMode="External" Id="rId887" /><Relationship Type="http://schemas.openxmlformats.org/officeDocument/2006/relationships/hyperlink" Target="https://en.unesco.org/artificial-intelligence/observatory/policies?country=US;%20https://www.unesco.org/ethics-ai/en/global-hub" TargetMode="External" Id="rId888" /><Relationship Type="http://schemas.openxmlformats.org/officeDocument/2006/relationships/hyperlink" Target="https://unctad.org/page/data-protection-and-privacy-legislation-worldwide" TargetMode="External" Id="rId889" /><Relationship Type="http://schemas.openxmlformats.org/officeDocument/2006/relationships/hyperlink" Target="https://www.gsma.com/solutions-and-impact/connectivity-for-good/public-policy/mobile-policy-handbook/consumer-protection/mandatory-registration-of-prepaid-sims/" TargetMode="External" Id="rId890" /><Relationship Type="http://schemas.openxmlformats.org/officeDocument/2006/relationships/hyperlink" Target="https://unctad.org/page/data-protection-and-privacy-legislation-worldwide" TargetMode="External" Id="rId891" /><Relationship Type="http://schemas.openxmlformats.org/officeDocument/2006/relationships/hyperlink" Target="https://unctad.org/page/data-protection-and-privacy-legislation-worldwide" TargetMode="External" Id="rId892" /><Relationship Type="http://schemas.openxmlformats.org/officeDocument/2006/relationships/hyperlink" Target="https://www.unicef.org/iraq/" TargetMode="External" Id="rId893" /><Relationship Type="http://schemas.openxmlformats.org/officeDocument/2006/relationships/hyperlink" Target="https://www.unicef.org/iraq/" TargetMode="External" Id="rId894" /><Relationship Type="http://schemas.openxmlformats.org/officeDocument/2006/relationships/hyperlink" Target="https://unctad.org/page/data-protection-and-privacy-legislation-worldwide" TargetMode="External" Id="rId895" /><Relationship Type="http://schemas.openxmlformats.org/officeDocument/2006/relationships/hyperlink" Target="https://www.humandignitytrust.org/country-profile/iraq/;%20https:/ilga.org/ilga-world-maps/" TargetMode="External" Id="rId896" /><Relationship Type="http://schemas.openxmlformats.org/officeDocument/2006/relationships/hyperlink" Target="https://ilga.org/ilga-world-maps/" TargetMode="External" Id="rId897" /><Relationship Type="http://schemas.openxmlformats.org/officeDocument/2006/relationships/hyperlink" Target="https://en.unesco.org/artificial-intelligence/observatory/policies?country=IQ;%20https://www.unesco.org/ethics-ai/en/global-hub" TargetMode="External" Id="rId898" /><Relationship Type="http://schemas.openxmlformats.org/officeDocument/2006/relationships/hyperlink" Target="https://unctad.org/page/data-protection-and-privacy-legislation-worldwide" TargetMode="External" Id="rId89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900" /><Relationship Type="http://schemas.openxmlformats.org/officeDocument/2006/relationships/hyperlink" Target="https://unctad.org/page/data-protection-and-privacy-legislation-worldwide" TargetMode="External" Id="rId901" /><Relationship Type="http://schemas.openxmlformats.org/officeDocument/2006/relationships/hyperlink" Target="https://unctad.org/page/data-protection-and-privacy-legislation-worldwide" TargetMode="External" Id="rId902" /><Relationship Type="http://schemas.openxmlformats.org/officeDocument/2006/relationships/hyperlink" Target="https://unctad.org/page/data-protection-and-privacy-legislation-worldwide;%20https:/www.unicef.org/jordan/" TargetMode="External" Id="rId903" /><Relationship Type="http://schemas.openxmlformats.org/officeDocument/2006/relationships/hyperlink" Target="https://www.unicef.org/jordan/" TargetMode="External" Id="rId904" /><Relationship Type="http://schemas.openxmlformats.org/officeDocument/2006/relationships/hyperlink" Target="https://unctad.org/page/data-protection-and-privacy-legislation-worldwide" TargetMode="External" Id="rId905" /><Relationship Type="http://schemas.openxmlformats.org/officeDocument/2006/relationships/hyperlink" Target="https://www.humandignitytrust.org/country-profile/jordan/;%20https:/ilga.org/ilga-world-maps/" TargetMode="External" Id="rId906" /><Relationship Type="http://schemas.openxmlformats.org/officeDocument/2006/relationships/hyperlink" Target="https://ilga.org/ilga-world-maps/" TargetMode="External" Id="rId907" /><Relationship Type="http://schemas.openxmlformats.org/officeDocument/2006/relationships/hyperlink" Target="https://en.unesco.org/artificial-intelligence/observatory/policies?country=JO;%20https://www.unesco.org/ethics-ai/en/global-hub" TargetMode="External" Id="rId908" /><Relationship Type="http://schemas.openxmlformats.org/officeDocument/2006/relationships/hyperlink" Target="https://unctad.org/page/data-protection-and-privacy-legislation-worldwide" TargetMode="External" Id="rId909" /><Relationship Type="http://schemas.openxmlformats.org/officeDocument/2006/relationships/hyperlink" Target="https://www.gsma.com/solutions-and-impact/connectivity-for-good/public-policy/mobile-policy-handbook/consumer-protection/mandatory-registration-of-prepaid-sims/" TargetMode="External" Id="rId910" /><Relationship Type="http://schemas.openxmlformats.org/officeDocument/2006/relationships/hyperlink" Target="https://unctad.org/page/data-protection-and-privacy-legislation-worldwide" TargetMode="External" Id="rId911" /><Relationship Type="http://schemas.openxmlformats.org/officeDocument/2006/relationships/hyperlink" Target="https://unctad.org/page/data-protection-and-privacy-legislation-worldwide" TargetMode="External" Id="rId912" /><Relationship Type="http://schemas.openxmlformats.org/officeDocument/2006/relationships/hyperlink" Target="https://www.unicef.org/lebanon/" TargetMode="External" Id="rId913" /><Relationship Type="http://schemas.openxmlformats.org/officeDocument/2006/relationships/hyperlink" Target="https://www.unicef.org/lebanon/" TargetMode="External" Id="rId914" /><Relationship Type="http://schemas.openxmlformats.org/officeDocument/2006/relationships/hyperlink" Target="https://unctad.org/page/data-protection-and-privacy-legislation-worldwide" TargetMode="External" Id="rId915" /><Relationship Type="http://schemas.openxmlformats.org/officeDocument/2006/relationships/hyperlink" Target="https://www.humandignitytrust.org/country-profile/lebanon/;%20https:/ilga.org/ilga-world-maps/" TargetMode="External" Id="rId916" /><Relationship Type="http://schemas.openxmlformats.org/officeDocument/2006/relationships/hyperlink" Target="https://ilga.org/ilga-world-maps/" TargetMode="External" Id="rId917" /><Relationship Type="http://schemas.openxmlformats.org/officeDocument/2006/relationships/hyperlink" Target="https://en.unesco.org/artificial-intelligence/observatory/policies?country=LB;%20https://www.unesco.org/ethics-ai/en/global-hub" TargetMode="External" Id="rId918" /><Relationship Type="http://schemas.openxmlformats.org/officeDocument/2006/relationships/hyperlink" Target="https://unctad.org/page/data-protection-and-privacy-legislation-worldwide" TargetMode="External" Id="rId919" /><Relationship Type="http://schemas.openxmlformats.org/officeDocument/2006/relationships/hyperlink" Target="https://www.gsma.com/solutions-and-impact/connectivity-for-good/public-policy/mobile-policy-handbook/consumer-protection/mandatory-registration-of-prepaid-sims/" TargetMode="External" Id="rId920" /><Relationship Type="http://schemas.openxmlformats.org/officeDocument/2006/relationships/hyperlink" Target="https://unctad.org/page/data-protection-and-privacy-legislation-worldwide" TargetMode="External" Id="rId921" /><Relationship Type="http://schemas.openxmlformats.org/officeDocument/2006/relationships/hyperlink" Target="https://unctad.org/page/data-protection-and-privacy-legislation-worldwide" TargetMode="External" Id="rId922" /><Relationship Type="http://schemas.openxmlformats.org/officeDocument/2006/relationships/hyperlink" Target="https://www.unicef.org/state-of-palestine/" TargetMode="External" Id="rId923" /><Relationship Type="http://schemas.openxmlformats.org/officeDocument/2006/relationships/hyperlink" Target="https://www.unicef.org/state-of-palestine/" TargetMode="External" Id="rId924" /><Relationship Type="http://schemas.openxmlformats.org/officeDocument/2006/relationships/hyperlink" Target="https://unctad.org/page/data-protection-and-privacy-legislation-worldwide" TargetMode="External" Id="rId925" /><Relationship Type="http://schemas.openxmlformats.org/officeDocument/2006/relationships/hyperlink" Target="https://www.humandignitytrust.org/country-profile/state-of-palestine/;%20https:/ilga.org/ilga-world-maps/" TargetMode="External" Id="rId926" /><Relationship Type="http://schemas.openxmlformats.org/officeDocument/2006/relationships/hyperlink" Target="https://ilga.org/ilga-world-maps/" TargetMode="External" Id="rId927" /><Relationship Type="http://schemas.openxmlformats.org/officeDocument/2006/relationships/hyperlink" Target="https://www.unesco.org/ethics-ai/en/global-hub" TargetMode="External" Id="rId928" /><Relationship Type="http://schemas.openxmlformats.org/officeDocument/2006/relationships/hyperlink" Target="https://unctad.org/page/data-protection-and-privacy-legislation-worldwide" TargetMode="External" Id="rId929" /><Relationship Type="http://schemas.openxmlformats.org/officeDocument/2006/relationships/hyperlink" Target="https://www.gsma.com/solutions-and-impact/connectivity-for-good/public-policy/mobile-policy-handbook/consumer-protection/mandatory-registration-of-prepaid-sims/" TargetMode="External" Id="rId930" /><Relationship Type="http://schemas.openxmlformats.org/officeDocument/2006/relationships/hyperlink" Target="https://unctad.org/page/data-protection-and-privacy-legislation-worldwide" TargetMode="External" Id="rId931" /><Relationship Type="http://schemas.openxmlformats.org/officeDocument/2006/relationships/hyperlink" Target="https://unctad.org/page/data-protection-and-privacy-legislation-worldwide" TargetMode="External" Id="rId932" /><Relationship Type="http://schemas.openxmlformats.org/officeDocument/2006/relationships/hyperlink" Target="https://www.unicef.org/syrian-arab-republic/" TargetMode="External" Id="rId933" /><Relationship Type="http://schemas.openxmlformats.org/officeDocument/2006/relationships/hyperlink" Target="https://www.unicef.org/syrian-arab-republic/" TargetMode="External" Id="rId934" /><Relationship Type="http://schemas.openxmlformats.org/officeDocument/2006/relationships/hyperlink" Target="https://unctad.org/page/data-protection-and-privacy-legislation-worldwide" TargetMode="External" Id="rId935" /><Relationship Type="http://schemas.openxmlformats.org/officeDocument/2006/relationships/hyperlink" Target="https://www.humandignitytrust.org/country-profile/syrian-arab-republic/;%20https:/ilga.org/ilga-world-maps/" TargetMode="External" Id="rId936" /><Relationship Type="http://schemas.openxmlformats.org/officeDocument/2006/relationships/hyperlink" Target="https://ilga.org/ilga-world-maps/" TargetMode="External" Id="rId937" /><Relationship Type="http://schemas.openxmlformats.org/officeDocument/2006/relationships/hyperlink" Target="https://en.unesco.org/artificial-intelligence/observatory/policies?country=SY;%20https://www.unesco.org/ethics-ai/en/global-hub" TargetMode="External" Id="rId938" /><Relationship Type="http://schemas.openxmlformats.org/officeDocument/2006/relationships/hyperlink" Target="https://unctad.org/page/data-protection-and-privacy-legislation-worldwide" TargetMode="External" Id="rId939" /><Relationship Type="http://schemas.openxmlformats.org/officeDocument/2006/relationships/hyperlink" Target="https://www.gsma.com/solutions-and-impact/connectivity-for-good/public-policy/mobile-policy-handbook/consumer-protection/mandatory-registration-of-prepaid-sims/" TargetMode="External" Id="rId940" /><Relationship Type="http://schemas.openxmlformats.org/officeDocument/2006/relationships/hyperlink" Target="https://unctad.org/page/data-protection-and-privacy-legislation-worldwide" TargetMode="External" Id="rId941" /><Relationship Type="http://schemas.openxmlformats.org/officeDocument/2006/relationships/hyperlink" Target="https://unctad.org/page/data-protection-and-privacy-legislation-worldwide" TargetMode="External" Id="rId942" /><Relationship Type="http://schemas.openxmlformats.org/officeDocument/2006/relationships/hyperlink" Target="https://www.unicef.org/yemen/" TargetMode="External" Id="rId943" /><Relationship Type="http://schemas.openxmlformats.org/officeDocument/2006/relationships/hyperlink" Target="https://www.unicef.org/yemen/" TargetMode="External" Id="rId944" /><Relationship Type="http://schemas.openxmlformats.org/officeDocument/2006/relationships/hyperlink" Target="https://unctad.org/page/data-protection-and-privacy-legislation-worldwide" TargetMode="External" Id="rId945" /><Relationship Type="http://schemas.openxmlformats.org/officeDocument/2006/relationships/hyperlink" Target="https://www.humandignitytrust.org/country-profile/yemen/;%20https:/ilga.org/ilga-world-maps/" TargetMode="External" Id="rId946" /><Relationship Type="http://schemas.openxmlformats.org/officeDocument/2006/relationships/hyperlink" Target="https://ilga.org/ilga-world-maps/" TargetMode="External" Id="rId947" /><Relationship Type="http://schemas.openxmlformats.org/officeDocument/2006/relationships/hyperlink" Target="https://en.unesco.org/artificial-intelligence/observatory/policies?country=YE;%20https://www.unesco.org/ethics-ai/en/global-hub" TargetMode="External" Id="rId948" /><Relationship Type="http://schemas.openxmlformats.org/officeDocument/2006/relationships/hyperlink" Target="https://unctad.org/page/data-protection-and-privacy-legislation-worldwide" TargetMode="External" Id="rId949" /><Relationship Type="http://schemas.openxmlformats.org/officeDocument/2006/relationships/hyperlink" Target="https://www.gsma.com/solutions-and-impact/connectivity-for-good/public-policy/mobile-policy-handbook/consumer-protection/mandatory-registration-of-prepaid-sims/" TargetMode="External" Id="rId950" /><Relationship Type="http://schemas.openxmlformats.org/officeDocument/2006/relationships/hyperlink" Target="https://unctad.org/page/data-protection-and-privacy-legislation-worldwide" TargetMode="External" Id="rId951" /><Relationship Type="http://schemas.openxmlformats.org/officeDocument/2006/relationships/hyperlink" Target="https://unctad.org/page/data-protection-and-privacy-legislation-worldwide" TargetMode="External" Id="rId952" /><Relationship Type="http://schemas.openxmlformats.org/officeDocument/2006/relationships/hyperlink" Target="https://unctad.org/page/data-protection-and-privacy-legislation-worldwide;%20https:/www.unicef.org/brunei-darussalam/" TargetMode="External" Id="rId953" /><Relationship Type="http://schemas.openxmlformats.org/officeDocument/2006/relationships/hyperlink" Target="https://www.unicef.org/brunei-darussalam/" TargetMode="External" Id="rId954" /><Relationship Type="http://schemas.openxmlformats.org/officeDocument/2006/relationships/hyperlink" Target="https://unctad.org/page/data-protection-and-privacy-legislation-worldwide" TargetMode="External" Id="rId955" /><Relationship Type="http://schemas.openxmlformats.org/officeDocument/2006/relationships/hyperlink" Target="https://www.humandignitytrust.org/country-profile/brunei-darussalam/;%20https:/ilga.org/ilga-world-maps/" TargetMode="External" Id="rId956" /><Relationship Type="http://schemas.openxmlformats.org/officeDocument/2006/relationships/hyperlink" Target="https://ilga.org/ilga-world-maps/" TargetMode="External" Id="rId957" /><Relationship Type="http://schemas.openxmlformats.org/officeDocument/2006/relationships/hyperlink" Target="https://en.unesco.org/artificial-intelligence/observatory/policies?country=BN;%20https://www.unesco.org/ethics-ai/en/global-hub" TargetMode="External" Id="rId958" /><Relationship Type="http://schemas.openxmlformats.org/officeDocument/2006/relationships/hyperlink" Target="https://unctad.org/page/data-protection-and-privacy-legislation-worldwide" TargetMode="External" Id="rId95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960" /><Relationship Type="http://schemas.openxmlformats.org/officeDocument/2006/relationships/hyperlink" Target="https://unctad.org/page/data-protection-and-privacy-legislation-worldwide" TargetMode="External" Id="rId961" /><Relationship Type="http://schemas.openxmlformats.org/officeDocument/2006/relationships/hyperlink" Target="https://unctad.org/page/data-protection-and-privacy-legislation-worldwide" TargetMode="External" Id="rId962" /><Relationship Type="http://schemas.openxmlformats.org/officeDocument/2006/relationships/hyperlink" Target="https://unctad.org/page/data-protection-and-privacy-legislation-worldwide;%20https:/www.unicef.org/cambodia/" TargetMode="External" Id="rId963" /><Relationship Type="http://schemas.openxmlformats.org/officeDocument/2006/relationships/hyperlink" Target="https://www.unicef.org/cambodia/" TargetMode="External" Id="rId964" /><Relationship Type="http://schemas.openxmlformats.org/officeDocument/2006/relationships/hyperlink" Target="https://unctad.org/page/data-protection-and-privacy-legislation-worldwide" TargetMode="External" Id="rId965" /><Relationship Type="http://schemas.openxmlformats.org/officeDocument/2006/relationships/hyperlink" Target="https://www.humandignitytrust.org/country-profile/cambodia/;%20https:/ilga.org/ilga-world-maps/" TargetMode="External" Id="rId966" /><Relationship Type="http://schemas.openxmlformats.org/officeDocument/2006/relationships/hyperlink" Target="https://ilga.org/ilga-world-maps/" TargetMode="External" Id="rId967" /><Relationship Type="http://schemas.openxmlformats.org/officeDocument/2006/relationships/hyperlink" Target="https://en.unesco.org/artificial-intelligence/observatory/policies?country=KH;%20https://www.unesco.org/ethics-ai/en/global-hub" TargetMode="External" Id="rId968" /><Relationship Type="http://schemas.openxmlformats.org/officeDocument/2006/relationships/hyperlink" Target="https://unctad.org/page/data-protection-and-privacy-legislation-worldwide" TargetMode="External" Id="rId96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970" /><Relationship Type="http://schemas.openxmlformats.org/officeDocument/2006/relationships/hyperlink" Target="https://unctad.org/page/data-protection-and-privacy-legislation-worldwide" TargetMode="External" Id="rId971" /><Relationship Type="http://schemas.openxmlformats.org/officeDocument/2006/relationships/hyperlink" Target="https://unctad.org/page/data-protection-and-privacy-legislation-worldwide" TargetMode="External" Id="rId972" /><Relationship Type="http://schemas.openxmlformats.org/officeDocument/2006/relationships/hyperlink" Target="https://unctad.org/page/data-protection-and-privacy-legislation-worldwide;%20https:/www.unicef.org/indonesia/" TargetMode="External" Id="rId973" /><Relationship Type="http://schemas.openxmlformats.org/officeDocument/2006/relationships/hyperlink" Target="https://www.unicef.org/indonesia/" TargetMode="External" Id="rId974" /><Relationship Type="http://schemas.openxmlformats.org/officeDocument/2006/relationships/hyperlink" Target="https://unctad.org/page/data-protection-and-privacy-legislation-worldwide" TargetMode="External" Id="rId975" /><Relationship Type="http://schemas.openxmlformats.org/officeDocument/2006/relationships/hyperlink" Target="https://www.humandignitytrust.org/country-profile/indonesia/;%20https:/ilga.org/ilga-world-maps/" TargetMode="External" Id="rId976" /><Relationship Type="http://schemas.openxmlformats.org/officeDocument/2006/relationships/hyperlink" Target="https://ilga.org/ilga-world-maps/" TargetMode="External" Id="rId977" /><Relationship Type="http://schemas.openxmlformats.org/officeDocument/2006/relationships/hyperlink" Target="https://en.unesco.org/artificial-intelligence/observatory/policies?country=ID;%20https://www.unesco.org/ethics-ai/en/global-hub" TargetMode="External" Id="rId978" /><Relationship Type="http://schemas.openxmlformats.org/officeDocument/2006/relationships/hyperlink" Target="https://unctad.org/page/data-protection-and-privacy-legislation-worldwide" TargetMode="External" Id="rId979" /><Relationship Type="http://schemas.openxmlformats.org/officeDocument/2006/relationships/hyperlink" Target="https://www.gsma.com/solutions-and-impact/connectivity-for-good/public-policy/mobile-policy-handbook/consumer-protection/mandatory-registration-of-prepaid-sims/" TargetMode="External" Id="rId980" /><Relationship Type="http://schemas.openxmlformats.org/officeDocument/2006/relationships/hyperlink" Target="https://unctad.org/page/data-protection-and-privacy-legislation-worldwide" TargetMode="External" Id="rId981" /><Relationship Type="http://schemas.openxmlformats.org/officeDocument/2006/relationships/hyperlink" Target="https://unctad.org/page/data-protection-and-privacy-legislation-worldwide" TargetMode="External" Id="rId982" /><Relationship Type="http://schemas.openxmlformats.org/officeDocument/2006/relationships/hyperlink" Target="https://www.unicef.org/lao-peoples-democratic-republic/" TargetMode="External" Id="rId983" /><Relationship Type="http://schemas.openxmlformats.org/officeDocument/2006/relationships/hyperlink" Target="https://www.unicef.org/lao-peoples-democratic-republic/" TargetMode="External" Id="rId984" /><Relationship Type="http://schemas.openxmlformats.org/officeDocument/2006/relationships/hyperlink" Target="https://unctad.org/page/data-protection-and-privacy-legislation-worldwide" TargetMode="External" Id="rId985" /><Relationship Type="http://schemas.openxmlformats.org/officeDocument/2006/relationships/hyperlink" Target="https://www.humandignitytrust.org/country-profile/lao-peoples-democratic-republic/;%20https:/ilga.org/ilga-world-maps/" TargetMode="External" Id="rId986" /><Relationship Type="http://schemas.openxmlformats.org/officeDocument/2006/relationships/hyperlink" Target="https://ilga.org/ilga-world-maps/" TargetMode="External" Id="rId987" /><Relationship Type="http://schemas.openxmlformats.org/officeDocument/2006/relationships/hyperlink" Target="https://en.unesco.org/artificial-intelligence/observatory/policies?country=LA;%20https://www.unesco.org/ethics-ai/en/global-hub" TargetMode="External" Id="rId988" /><Relationship Type="http://schemas.openxmlformats.org/officeDocument/2006/relationships/hyperlink" Target="https://unctad.org/page/data-protection-and-privacy-legislation-worldwide" TargetMode="External" Id="rId989" /><Relationship Type="http://schemas.openxmlformats.org/officeDocument/2006/relationships/hyperlink" Target="https://www.gsma.com/solutions-and-impact/connectivity-for-good/public-policy/mobile-policy-handbook/consumer-protection/mandatory-registration-of-prepaid-sims/" TargetMode="External" Id="rId990" /><Relationship Type="http://schemas.openxmlformats.org/officeDocument/2006/relationships/hyperlink" Target="https://unctad.org/page/data-protection-and-privacy-legislation-worldwide" TargetMode="External" Id="rId991" /><Relationship Type="http://schemas.openxmlformats.org/officeDocument/2006/relationships/hyperlink" Target="https://unctad.org/page/data-protection-and-privacy-legislation-worldwide" TargetMode="External" Id="rId992" /><Relationship Type="http://schemas.openxmlformats.org/officeDocument/2006/relationships/hyperlink" Target="https://unctad.org/page/data-protection-and-privacy-legislation-worldwide;%20https:/www.unicef.org/malaysia/" TargetMode="External" Id="rId993" /><Relationship Type="http://schemas.openxmlformats.org/officeDocument/2006/relationships/hyperlink" Target="https://www.unicef.org/malaysia/" TargetMode="External" Id="rId994" /><Relationship Type="http://schemas.openxmlformats.org/officeDocument/2006/relationships/hyperlink" Target="https://unctad.org/page/data-protection-and-privacy-legislation-worldwide" TargetMode="External" Id="rId995" /><Relationship Type="http://schemas.openxmlformats.org/officeDocument/2006/relationships/hyperlink" Target="https://www.humandignitytrust.org/country-profile/malaysia/;%20https:/ilga.org/ilga-world-maps/" TargetMode="External" Id="rId996" /><Relationship Type="http://schemas.openxmlformats.org/officeDocument/2006/relationships/hyperlink" Target="https://ilga.org/ilga-world-maps/" TargetMode="External" Id="rId997" /><Relationship Type="http://schemas.openxmlformats.org/officeDocument/2006/relationships/hyperlink" Target="https://en.unesco.org/artificial-intelligence/observatory/policies?country=MY;%20https://www.unesco.org/ethics-ai/en/global-hub" TargetMode="External" Id="rId998" /><Relationship Type="http://schemas.openxmlformats.org/officeDocument/2006/relationships/hyperlink" Target="https://unctad.org/page/data-protection-and-privacy-legislation-worldwide" TargetMode="External" Id="rId99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000" /><Relationship Type="http://schemas.openxmlformats.org/officeDocument/2006/relationships/hyperlink" Target="https://unctad.org/page/data-protection-and-privacy-legislation-worldwide" TargetMode="External" Id="rId1001" /><Relationship Type="http://schemas.openxmlformats.org/officeDocument/2006/relationships/hyperlink" Target="https://unctad.org/page/data-protection-and-privacy-legislation-worldwide" TargetMode="External" Id="rId1002" /><Relationship Type="http://schemas.openxmlformats.org/officeDocument/2006/relationships/hyperlink" Target="https://www.unicef.org/myanmar/" TargetMode="External" Id="rId1003" /><Relationship Type="http://schemas.openxmlformats.org/officeDocument/2006/relationships/hyperlink" Target="https://www.unicef.org/myanmar/" TargetMode="External" Id="rId1004" /><Relationship Type="http://schemas.openxmlformats.org/officeDocument/2006/relationships/hyperlink" Target="https://unctad.org/page/data-protection-and-privacy-legislation-worldwide" TargetMode="External" Id="rId1005" /><Relationship Type="http://schemas.openxmlformats.org/officeDocument/2006/relationships/hyperlink" Target="https://www.humandignitytrust.org/country-profile/myanmar/;%20https:/ilga.org/ilga-world-maps/" TargetMode="External" Id="rId1006" /><Relationship Type="http://schemas.openxmlformats.org/officeDocument/2006/relationships/hyperlink" Target="https://ilga.org/ilga-world-maps/" TargetMode="External" Id="rId1007" /><Relationship Type="http://schemas.openxmlformats.org/officeDocument/2006/relationships/hyperlink" Target="https://en.unesco.org/artificial-intelligence/observatory/policies?country=MM;%20https://www.unesco.org/ethics-ai/en/global-hub" TargetMode="External" Id="rId1008" /><Relationship Type="http://schemas.openxmlformats.org/officeDocument/2006/relationships/hyperlink" Target="https://unctad.org/page/data-protection-and-privacy-legislation-worldwide" TargetMode="External" Id="rId100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010" /><Relationship Type="http://schemas.openxmlformats.org/officeDocument/2006/relationships/hyperlink" Target="https://unctad.org/page/data-protection-and-privacy-legislation-worldwide" TargetMode="External" Id="rId1011" /><Relationship Type="http://schemas.openxmlformats.org/officeDocument/2006/relationships/hyperlink" Target="https://unctad.org/page/data-protection-and-privacy-legislation-worldwide" TargetMode="External" Id="rId1012" /><Relationship Type="http://schemas.openxmlformats.org/officeDocument/2006/relationships/hyperlink" Target="https://unctad.org/page/data-protection-and-privacy-legislation-worldwide;%20https:/www.unicef.org/philippines/" TargetMode="External" Id="rId1013" /><Relationship Type="http://schemas.openxmlformats.org/officeDocument/2006/relationships/hyperlink" Target="https://www.unicef.org/philippines/" TargetMode="External" Id="rId1014" /><Relationship Type="http://schemas.openxmlformats.org/officeDocument/2006/relationships/hyperlink" Target="https://unctad.org/page/data-protection-and-privacy-legislation-worldwide" TargetMode="External" Id="rId1015" /><Relationship Type="http://schemas.openxmlformats.org/officeDocument/2006/relationships/hyperlink" Target="https://www.humandignitytrust.org/country-profile/philippines/;%20https:/ilga.org/ilga-world-maps/" TargetMode="External" Id="rId1016" /><Relationship Type="http://schemas.openxmlformats.org/officeDocument/2006/relationships/hyperlink" Target="https://ilga.org/ilga-world-maps/" TargetMode="External" Id="rId1017" /><Relationship Type="http://schemas.openxmlformats.org/officeDocument/2006/relationships/hyperlink" Target="https://en.unesco.org/artificial-intelligence/observatory/policies?country=PH;%20https://www.unesco.org/ethics-ai/en/global-hub" TargetMode="External" Id="rId1018" /><Relationship Type="http://schemas.openxmlformats.org/officeDocument/2006/relationships/hyperlink" Target="https://unctad.org/page/data-protection-and-privacy-legislation-worldwide" TargetMode="External" Id="rId1019" /><Relationship Type="http://schemas.openxmlformats.org/officeDocument/2006/relationships/hyperlink" Target="https://www.gsma.com/solutions-and-impact/connectivity-for-good/public-policy/mobile-policy-handbook/consumer-protection/mandatory-registration-of-prepaid-sims/" TargetMode="External" Id="rId1020" /><Relationship Type="http://schemas.openxmlformats.org/officeDocument/2006/relationships/hyperlink" Target="https://unctad.org/page/data-protection-and-privacy-legislation-worldwide" TargetMode="External" Id="rId1021" /><Relationship Type="http://schemas.openxmlformats.org/officeDocument/2006/relationships/hyperlink" Target="https://unctad.org/page/data-protection-and-privacy-legislation-worldwide" TargetMode="External" Id="rId1022" /><Relationship Type="http://schemas.openxmlformats.org/officeDocument/2006/relationships/hyperlink" Target="https://unctad.org/page/data-protection-and-privacy-legislation-worldwide;%20https:/www.unicef.org/singapore/" TargetMode="External" Id="rId1023" /><Relationship Type="http://schemas.openxmlformats.org/officeDocument/2006/relationships/hyperlink" Target="https://www.unicef.org/singapore/" TargetMode="External" Id="rId1024" /><Relationship Type="http://schemas.openxmlformats.org/officeDocument/2006/relationships/hyperlink" Target="https://unctad.org/page/data-protection-and-privacy-legislation-worldwide" TargetMode="External" Id="rId1025" /><Relationship Type="http://schemas.openxmlformats.org/officeDocument/2006/relationships/hyperlink" Target="https://www.humandignitytrust.org/country-profile/singapore/;%20https:/ilga.org/ilga-world-maps/" TargetMode="External" Id="rId1026" /><Relationship Type="http://schemas.openxmlformats.org/officeDocument/2006/relationships/hyperlink" Target="https://ilga.org/ilga-world-maps/" TargetMode="External" Id="rId1027" /><Relationship Type="http://schemas.openxmlformats.org/officeDocument/2006/relationships/hyperlink" Target="https://en.unesco.org/artificial-intelligence/observatory/policies?country=SG;%20https://www.unesco.org/ethics-ai/en/global-hub" TargetMode="External" Id="rId1028" /><Relationship Type="http://schemas.openxmlformats.org/officeDocument/2006/relationships/hyperlink" Target="https://unctad.org/page/data-protection-and-privacy-legislation-worldwide" TargetMode="External" Id="rId1029" /><Relationship Type="http://schemas.openxmlformats.org/officeDocument/2006/relationships/hyperlink" Target="https://www.gsma.com/solutions-and-impact/connectivity-for-good/public-policy/mobile-policy-handbook/consumer-protection/mandatory-registration-of-prepaid-sims/" TargetMode="External" Id="rId1030" /><Relationship Type="http://schemas.openxmlformats.org/officeDocument/2006/relationships/hyperlink" Target="https://unctad.org/page/data-protection-and-privacy-legislation-worldwide" TargetMode="External" Id="rId1031" /><Relationship Type="http://schemas.openxmlformats.org/officeDocument/2006/relationships/hyperlink" Target="https://unctad.org/page/data-protection-and-privacy-legislation-worldwide" TargetMode="External" Id="rId1032" /><Relationship Type="http://schemas.openxmlformats.org/officeDocument/2006/relationships/hyperlink" Target="https://unctad.org/page/data-protection-and-privacy-legislation-worldwide;%20https:/www.unicef.org/thailand/" TargetMode="External" Id="rId1033" /><Relationship Type="http://schemas.openxmlformats.org/officeDocument/2006/relationships/hyperlink" Target="https://www.unicef.org/thailand/" TargetMode="External" Id="rId1034" /><Relationship Type="http://schemas.openxmlformats.org/officeDocument/2006/relationships/hyperlink" Target="https://unctad.org/page/data-protection-and-privacy-legislation-worldwide" TargetMode="External" Id="rId1035" /><Relationship Type="http://schemas.openxmlformats.org/officeDocument/2006/relationships/hyperlink" Target="https://www.humandignitytrust.org/country-profile/thailand/;%20https:/ilga.org/ilga-world-maps/" TargetMode="External" Id="rId1036" /><Relationship Type="http://schemas.openxmlformats.org/officeDocument/2006/relationships/hyperlink" Target="https://ilga.org/ilga-world-maps/" TargetMode="External" Id="rId1037" /><Relationship Type="http://schemas.openxmlformats.org/officeDocument/2006/relationships/hyperlink" Target="https://en.unesco.org/artificial-intelligence/observatory/policies?country=TH;%20https://www.unesco.org/ethics-ai/en/global-hub" TargetMode="External" Id="rId1038" /><Relationship Type="http://schemas.openxmlformats.org/officeDocument/2006/relationships/hyperlink" Target="https://unctad.org/page/data-protection-and-privacy-legislation-worldwide" TargetMode="External" Id="rId1039" /><Relationship Type="http://schemas.openxmlformats.org/officeDocument/2006/relationships/hyperlink" Target="https://www.gsma.com/solutions-and-impact/connectivity-for-good/public-policy/mobile-policy-handbook/consumer-protection/mandatory-registration-of-prepaid-sims/" TargetMode="External" Id="rId1040" /><Relationship Type="http://schemas.openxmlformats.org/officeDocument/2006/relationships/hyperlink" Target="https://unctad.org/page/data-protection-and-privacy-legislation-worldwide" TargetMode="External" Id="rId1041" /><Relationship Type="http://schemas.openxmlformats.org/officeDocument/2006/relationships/hyperlink" Target="https://unctad.org/page/data-protection-and-privacy-legislation-worldwide" TargetMode="External" Id="rId1042" /><Relationship Type="http://schemas.openxmlformats.org/officeDocument/2006/relationships/hyperlink" Target="https://www.unicef.org/timor-leste/" TargetMode="External" Id="rId1043" /><Relationship Type="http://schemas.openxmlformats.org/officeDocument/2006/relationships/hyperlink" Target="https://www.unicef.org/timor-leste/" TargetMode="External" Id="rId1044" /><Relationship Type="http://schemas.openxmlformats.org/officeDocument/2006/relationships/hyperlink" Target="https://unctad.org/page/data-protection-and-privacy-legislation-worldwide" TargetMode="External" Id="rId1045" /><Relationship Type="http://schemas.openxmlformats.org/officeDocument/2006/relationships/hyperlink" Target="https://www.humandignitytrust.org/country-profile/timor-leste/;%20https:/ilga.org/ilga-world-maps/" TargetMode="External" Id="rId1046" /><Relationship Type="http://schemas.openxmlformats.org/officeDocument/2006/relationships/hyperlink" Target="https://ilga.org/ilga-world-maps/" TargetMode="External" Id="rId1047" /><Relationship Type="http://schemas.openxmlformats.org/officeDocument/2006/relationships/hyperlink" Target="https://en.unesco.org/artificial-intelligence/observatory/policies?country=TL;%20https://www.unesco.org/ethics-ai/en/global-hub" TargetMode="External" Id="rId1048" /><Relationship Type="http://schemas.openxmlformats.org/officeDocument/2006/relationships/hyperlink" Target="https://unctad.org/page/data-protection-and-privacy-legislation-worldwide" TargetMode="External" Id="rId1049" /><Relationship Type="http://schemas.openxmlformats.org/officeDocument/2006/relationships/hyperlink" Target="https://www.gsma.com/solutions-and-impact/connectivity-for-good/public-policy/mobile-policy-handbook/consumer-protection/mandatory-registration-of-prepaid-sims/" TargetMode="External" Id="rId1050" /><Relationship Type="http://schemas.openxmlformats.org/officeDocument/2006/relationships/hyperlink" Target="https://unctad.org/page/data-protection-and-privacy-legislation-worldwide" TargetMode="External" Id="rId1051" /><Relationship Type="http://schemas.openxmlformats.org/officeDocument/2006/relationships/hyperlink" Target="https://unctad.org/page/data-protection-and-privacy-legislation-worldwide" TargetMode="External" Id="rId1052" /><Relationship Type="http://schemas.openxmlformats.org/officeDocument/2006/relationships/hyperlink" Target="https://unctad.org/page/data-protection-and-privacy-legislation-worldwide;%20https:/www.unicef.org/viet-nam/" TargetMode="External" Id="rId1053" /><Relationship Type="http://schemas.openxmlformats.org/officeDocument/2006/relationships/hyperlink" Target="https://www.unicef.org/viet-nam/" TargetMode="External" Id="rId1054" /><Relationship Type="http://schemas.openxmlformats.org/officeDocument/2006/relationships/hyperlink" Target="https://unctad.org/page/data-protection-and-privacy-legislation-worldwide" TargetMode="External" Id="rId1055" /><Relationship Type="http://schemas.openxmlformats.org/officeDocument/2006/relationships/hyperlink" Target="https://www.humandignitytrust.org/country-profile/viet-nam/;%20https:/ilga.org/ilga-world-maps/" TargetMode="External" Id="rId1056" /><Relationship Type="http://schemas.openxmlformats.org/officeDocument/2006/relationships/hyperlink" Target="https://ilga.org/ilga-world-maps/" TargetMode="External" Id="rId1057" /><Relationship Type="http://schemas.openxmlformats.org/officeDocument/2006/relationships/hyperlink" Target="https://en.unesco.org/artificial-intelligence/observatory/policies?country=VN;%20https://www.unesco.org/ethics-ai/en/global-hub" TargetMode="External" Id="rId1058" /><Relationship Type="http://schemas.openxmlformats.org/officeDocument/2006/relationships/hyperlink" Target="https://unctad.org/page/data-protection-and-privacy-legislation-worldwide" TargetMode="External" Id="rId1059" /><Relationship Type="http://schemas.openxmlformats.org/officeDocument/2006/relationships/hyperlink" Target="https://www.gsma.com/solutions-and-impact/connectivity-for-good/public-policy/mobile-policy-handbook/consumer-protection/mandatory-registration-of-prepaid-sims/" TargetMode="External" Id="rId1060" /><Relationship Type="http://schemas.openxmlformats.org/officeDocument/2006/relationships/hyperlink" Target="https://unctad.org/page/data-protection-and-privacy-legislation-worldwide" TargetMode="External" Id="rId1061" /><Relationship Type="http://schemas.openxmlformats.org/officeDocument/2006/relationships/hyperlink" Target="https://unctad.org/page/data-protection-and-privacy-legislation-worldwide" TargetMode="External" Id="rId1062" /><Relationship Type="http://schemas.openxmlformats.org/officeDocument/2006/relationships/hyperlink" Target="https://unctad.org/page/data-protection-and-privacy-legislation-worldwide;%20https:/www.unicef.org/armenia/" TargetMode="External" Id="rId1063" /><Relationship Type="http://schemas.openxmlformats.org/officeDocument/2006/relationships/hyperlink" Target="https://www.unicef.org/armenia/" TargetMode="External" Id="rId1064" /><Relationship Type="http://schemas.openxmlformats.org/officeDocument/2006/relationships/hyperlink" Target="https://unctad.org/page/data-protection-and-privacy-legislation-worldwide" TargetMode="External" Id="rId1065" /><Relationship Type="http://schemas.openxmlformats.org/officeDocument/2006/relationships/hyperlink" Target="https://www.humandignitytrust.org/country-profile/armenia/;%20https:/ilga.org/ilga-world-maps/" TargetMode="External" Id="rId1066" /><Relationship Type="http://schemas.openxmlformats.org/officeDocument/2006/relationships/hyperlink" Target="https://ilga.org/ilga-world-maps/" TargetMode="External" Id="rId1067" /><Relationship Type="http://schemas.openxmlformats.org/officeDocument/2006/relationships/hyperlink" Target="https://en.unesco.org/artificial-intelligence/observatory/policies?country=AM;%20https://www.unesco.org/ethics-ai/en/global-hub" TargetMode="External" Id="rId1068" /><Relationship Type="http://schemas.openxmlformats.org/officeDocument/2006/relationships/hyperlink" Target="https://unctad.org/page/data-protection-and-privacy-legislation-worldwide" TargetMode="External" Id="rId106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070" /><Relationship Type="http://schemas.openxmlformats.org/officeDocument/2006/relationships/hyperlink" Target="https://unctad.org/page/data-protection-and-privacy-legislation-worldwide" TargetMode="External" Id="rId1071" /><Relationship Type="http://schemas.openxmlformats.org/officeDocument/2006/relationships/hyperlink" Target="https://unctad.org/page/data-protection-and-privacy-legislation-worldwide" TargetMode="External" Id="rId1072" /><Relationship Type="http://schemas.openxmlformats.org/officeDocument/2006/relationships/hyperlink" Target="https://unctad.org/page/data-protection-and-privacy-legislation-worldwide;%20https:/www.unicef.org/azerbaijan/" TargetMode="External" Id="rId1073" /><Relationship Type="http://schemas.openxmlformats.org/officeDocument/2006/relationships/hyperlink" Target="https://www.unicef.org/azerbaijan/" TargetMode="External" Id="rId1074" /><Relationship Type="http://schemas.openxmlformats.org/officeDocument/2006/relationships/hyperlink" Target="https://unctad.org/page/data-protection-and-privacy-legislation-worldwide" TargetMode="External" Id="rId1075" /><Relationship Type="http://schemas.openxmlformats.org/officeDocument/2006/relationships/hyperlink" Target="https://www.humandignitytrust.org/country-profile/azerbaijan/;%20https:/ilga.org/ilga-world-maps/" TargetMode="External" Id="rId1076" /><Relationship Type="http://schemas.openxmlformats.org/officeDocument/2006/relationships/hyperlink" Target="https://ilga.org/ilga-world-maps/" TargetMode="External" Id="rId1077" /><Relationship Type="http://schemas.openxmlformats.org/officeDocument/2006/relationships/hyperlink" Target="https://en.unesco.org/artificial-intelligence/observatory/policies?country=AZ;%20https://www.unesco.org/ethics-ai/en/global-hub" TargetMode="External" Id="rId1078" /><Relationship Type="http://schemas.openxmlformats.org/officeDocument/2006/relationships/hyperlink" Target="https://unctad.org/page/data-protection-and-privacy-legislation-worldwide" TargetMode="External" Id="rId107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080" /><Relationship Type="http://schemas.openxmlformats.org/officeDocument/2006/relationships/hyperlink" Target="https://unctad.org/page/data-protection-and-privacy-legislation-worldwide" TargetMode="External" Id="rId1081" /><Relationship Type="http://schemas.openxmlformats.org/officeDocument/2006/relationships/hyperlink" Target="https://unctad.org/page/data-protection-and-privacy-legislation-worldwide" TargetMode="External" Id="rId1082" /><Relationship Type="http://schemas.openxmlformats.org/officeDocument/2006/relationships/hyperlink" Target="https://unctad.org/page/data-protection-and-privacy-legislation-worldwide;%20https:/www.unicef.org/georgia/" TargetMode="External" Id="rId1083" /><Relationship Type="http://schemas.openxmlformats.org/officeDocument/2006/relationships/hyperlink" Target="https://www.unicef.org/georgia/" TargetMode="External" Id="rId1084" /><Relationship Type="http://schemas.openxmlformats.org/officeDocument/2006/relationships/hyperlink" Target="https://unctad.org/page/data-protection-and-privacy-legislation-worldwide" TargetMode="External" Id="rId1085" /><Relationship Type="http://schemas.openxmlformats.org/officeDocument/2006/relationships/hyperlink" Target="https://www.humandignitytrust.org/country-profile/georgia/;%20https:/ilga.org/ilga-world-maps/" TargetMode="External" Id="rId1086" /><Relationship Type="http://schemas.openxmlformats.org/officeDocument/2006/relationships/hyperlink" Target="https://ilga.org/ilga-world-maps/" TargetMode="External" Id="rId1087" /><Relationship Type="http://schemas.openxmlformats.org/officeDocument/2006/relationships/hyperlink" Target="https://en.unesco.org/artificial-intelligence/observatory/policies?country=GE;%20https://www.unesco.org/ethics-ai/en/global-hub" TargetMode="External" Id="rId1088" /><Relationship Type="http://schemas.openxmlformats.org/officeDocument/2006/relationships/hyperlink" Target="https://unctad.org/page/data-protection-and-privacy-legislation-worldwide" TargetMode="External" Id="rId108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090" /><Relationship Type="http://schemas.openxmlformats.org/officeDocument/2006/relationships/hyperlink" Target="https://unctad.org/page/data-protection-and-privacy-legislation-worldwide" TargetMode="External" Id="rId1091" /><Relationship Type="http://schemas.openxmlformats.org/officeDocument/2006/relationships/hyperlink" Target="https://unctad.org/page/data-protection-and-privacy-legislation-worldwide" TargetMode="External" Id="rId1092" /><Relationship Type="http://schemas.openxmlformats.org/officeDocument/2006/relationships/hyperlink" Target="https://unctad.org/page/data-protection-and-privacy-legislation-worldwide;%20https:/www.unicef.org/japan/" TargetMode="External" Id="rId1093" /><Relationship Type="http://schemas.openxmlformats.org/officeDocument/2006/relationships/hyperlink" Target="https://www.unicef.org/japan/" TargetMode="External" Id="rId1094" /><Relationship Type="http://schemas.openxmlformats.org/officeDocument/2006/relationships/hyperlink" Target="https://unctad.org/page/data-protection-and-privacy-legislation-worldwide" TargetMode="External" Id="rId1095" /><Relationship Type="http://schemas.openxmlformats.org/officeDocument/2006/relationships/hyperlink" Target="https://www.humandignitytrust.org/country-profile/japan/;%20https:/ilga.org/ilga-world-maps/" TargetMode="External" Id="rId1096" /><Relationship Type="http://schemas.openxmlformats.org/officeDocument/2006/relationships/hyperlink" Target="https://ilga.org/ilga-world-maps/" TargetMode="External" Id="rId1097" /><Relationship Type="http://schemas.openxmlformats.org/officeDocument/2006/relationships/hyperlink" Target="https://en.unesco.org/artificial-intelligence/observatory/policies?country=JP;%20https://www.unesco.org/ethics-ai/en/global-hub" TargetMode="External" Id="rId1098" /><Relationship Type="http://schemas.openxmlformats.org/officeDocument/2006/relationships/hyperlink" Target="https://unctad.org/page/data-protection-and-privacy-legislation-worldwide" TargetMode="External" Id="rId109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100" /><Relationship Type="http://schemas.openxmlformats.org/officeDocument/2006/relationships/hyperlink" Target="https://unctad.org/page/data-protection-and-privacy-legislation-worldwide" TargetMode="External" Id="rId1101" /><Relationship Type="http://schemas.openxmlformats.org/officeDocument/2006/relationships/hyperlink" Target="https://unctad.org/page/data-protection-and-privacy-legislation-worldwide" TargetMode="External" Id="rId1102" /><Relationship Type="http://schemas.openxmlformats.org/officeDocument/2006/relationships/hyperlink" Target="https://unctad.org/page/data-protection-and-privacy-legislation-worldwide;%20https:/www.unicef.org/bahrain/" TargetMode="External" Id="rId1103" /><Relationship Type="http://schemas.openxmlformats.org/officeDocument/2006/relationships/hyperlink" Target="https://www.unicef.org/bahrain/" TargetMode="External" Id="rId1104" /><Relationship Type="http://schemas.openxmlformats.org/officeDocument/2006/relationships/hyperlink" Target="https://unctad.org/page/data-protection-and-privacy-legislation-worldwide" TargetMode="External" Id="rId1105" /><Relationship Type="http://schemas.openxmlformats.org/officeDocument/2006/relationships/hyperlink" Target="https://www.humandignitytrust.org/country-profile/bahrain/;%20https:/ilga.org/ilga-world-maps/" TargetMode="External" Id="rId1106" /><Relationship Type="http://schemas.openxmlformats.org/officeDocument/2006/relationships/hyperlink" Target="https://ilga.org/ilga-world-maps/" TargetMode="External" Id="rId1107" /><Relationship Type="http://schemas.openxmlformats.org/officeDocument/2006/relationships/hyperlink" Target="https://en.unesco.org/artificial-intelligence/observatory/policies?country=BH;%20https://www.unesco.org/ethics-ai/en/global-hub" TargetMode="External" Id="rId1108" /><Relationship Type="http://schemas.openxmlformats.org/officeDocument/2006/relationships/hyperlink" Target="https://unctad.org/page/data-protection-and-privacy-legislation-worldwide" TargetMode="External" Id="rId110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110" /><Relationship Type="http://schemas.openxmlformats.org/officeDocument/2006/relationships/hyperlink" Target="https://unctad.org/page/data-protection-and-privacy-legislation-worldwide" TargetMode="External" Id="rId1111" /><Relationship Type="http://schemas.openxmlformats.org/officeDocument/2006/relationships/hyperlink" Target="https://unctad.org/page/data-protection-and-privacy-legislation-worldwide" TargetMode="External" Id="rId1112" /><Relationship Type="http://schemas.openxmlformats.org/officeDocument/2006/relationships/hyperlink" Target="https://www.unicef.org/kuwait/" TargetMode="External" Id="rId1113" /><Relationship Type="http://schemas.openxmlformats.org/officeDocument/2006/relationships/hyperlink" Target="https://www.unicef.org/kuwait/" TargetMode="External" Id="rId1114" /><Relationship Type="http://schemas.openxmlformats.org/officeDocument/2006/relationships/hyperlink" Target="https://unctad.org/page/data-protection-and-privacy-legislation-worldwide" TargetMode="External" Id="rId1115" /><Relationship Type="http://schemas.openxmlformats.org/officeDocument/2006/relationships/hyperlink" Target="https://www.humandignitytrust.org/country-profile/kuwait/;%20https:/ilga.org/ilga-world-maps/" TargetMode="External" Id="rId1116" /><Relationship Type="http://schemas.openxmlformats.org/officeDocument/2006/relationships/hyperlink" Target="https://ilga.org/ilga-world-maps/" TargetMode="External" Id="rId1117" /><Relationship Type="http://schemas.openxmlformats.org/officeDocument/2006/relationships/hyperlink" Target="https://en.unesco.org/artificial-intelligence/observatory/policies?country=KW;%20https://www.unesco.org/ethics-ai/en/global-hub" TargetMode="External" Id="rId1118" /><Relationship Type="http://schemas.openxmlformats.org/officeDocument/2006/relationships/hyperlink" Target="https://unctad.org/page/data-protection-and-privacy-legislation-worldwide" TargetMode="External" Id="rId111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120" /><Relationship Type="http://schemas.openxmlformats.org/officeDocument/2006/relationships/hyperlink" Target="https://unctad.org/page/data-protection-and-privacy-legislation-worldwide" TargetMode="External" Id="rId1121" /><Relationship Type="http://schemas.openxmlformats.org/officeDocument/2006/relationships/hyperlink" Target="https://unctad.org/page/data-protection-and-privacy-legislation-worldwide" TargetMode="External" Id="rId1122" /><Relationship Type="http://schemas.openxmlformats.org/officeDocument/2006/relationships/hyperlink" Target="https://www.unicef.org/oman/" TargetMode="External" Id="rId1123" /><Relationship Type="http://schemas.openxmlformats.org/officeDocument/2006/relationships/hyperlink" Target="https://www.unicef.org/oman/" TargetMode="External" Id="rId1124" /><Relationship Type="http://schemas.openxmlformats.org/officeDocument/2006/relationships/hyperlink" Target="https://unctad.org/page/data-protection-and-privacy-legislation-worldwide" TargetMode="External" Id="rId1125" /><Relationship Type="http://schemas.openxmlformats.org/officeDocument/2006/relationships/hyperlink" Target="https://www.humandignitytrust.org/country-profile/oman/;%20https:/ilga.org/ilga-world-maps/" TargetMode="External" Id="rId1126" /><Relationship Type="http://schemas.openxmlformats.org/officeDocument/2006/relationships/hyperlink" Target="https://ilga.org/ilga-world-maps/" TargetMode="External" Id="rId1127" /><Relationship Type="http://schemas.openxmlformats.org/officeDocument/2006/relationships/hyperlink" Target="https://en.unesco.org/artificial-intelligence/observatory/policies?country=OM;%20https://www.unesco.org/ethics-ai/en/global-hub" TargetMode="External" Id="rId1128" /><Relationship Type="http://schemas.openxmlformats.org/officeDocument/2006/relationships/hyperlink" Target="https://unctad.org/page/data-protection-and-privacy-legislation-worldwide" TargetMode="External" Id="rId1129" /><Relationship Type="http://schemas.openxmlformats.org/officeDocument/2006/relationships/hyperlink" Target="https://www.gsma.com/solutions-and-impact/connectivity-for-good/public-policy/mobile-policy-handbook/consumer-protection/mandatory-registration-of-prepaid-sims/" TargetMode="External" Id="rId1130" /><Relationship Type="http://schemas.openxmlformats.org/officeDocument/2006/relationships/hyperlink" Target="https://unctad.org/page/data-protection-and-privacy-legislation-worldwide" TargetMode="External" Id="rId1131" /><Relationship Type="http://schemas.openxmlformats.org/officeDocument/2006/relationships/hyperlink" Target="https://unctad.org/page/data-protection-and-privacy-legislation-worldwide" TargetMode="External" Id="rId1132" /><Relationship Type="http://schemas.openxmlformats.org/officeDocument/2006/relationships/hyperlink" Target="https://www.unicef.org/qatar/" TargetMode="External" Id="rId1133" /><Relationship Type="http://schemas.openxmlformats.org/officeDocument/2006/relationships/hyperlink" Target="https://www.unicef.org/qatar/" TargetMode="External" Id="rId1134" /><Relationship Type="http://schemas.openxmlformats.org/officeDocument/2006/relationships/hyperlink" Target="https://unctad.org/page/data-protection-and-privacy-legislation-worldwide" TargetMode="External" Id="rId1135" /><Relationship Type="http://schemas.openxmlformats.org/officeDocument/2006/relationships/hyperlink" Target="https://www.humandignitytrust.org/country-profile/qatar/;%20https:/ilga.org/ilga-world-maps/" TargetMode="External" Id="rId1136" /><Relationship Type="http://schemas.openxmlformats.org/officeDocument/2006/relationships/hyperlink" Target="https://ilga.org/ilga-world-maps/" TargetMode="External" Id="rId1137" /><Relationship Type="http://schemas.openxmlformats.org/officeDocument/2006/relationships/hyperlink" Target="https://en.unesco.org/artificial-intelligence/observatory/policies?country=QA;%20https://www.unesco.org/ethics-ai/en/global-hub" TargetMode="External" Id="rId1138" /><Relationship Type="http://schemas.openxmlformats.org/officeDocument/2006/relationships/hyperlink" Target="https://unctad.org/page/data-protection-and-privacy-legislation-worldwide" TargetMode="External" Id="rId1139" /><Relationship Type="http://schemas.openxmlformats.org/officeDocument/2006/relationships/hyperlink" Target="https://www.gsma.com/solutions-and-impact/connectivity-for-good/public-policy/mobile-policy-handbook/consumer-protection/mandatory-registration-of-prepaid-sims/" TargetMode="External" Id="rId1140" /><Relationship Type="http://schemas.openxmlformats.org/officeDocument/2006/relationships/hyperlink" Target="https://unctad.org/page/data-protection-and-privacy-legislation-worldwide" TargetMode="External" Id="rId1141" /><Relationship Type="http://schemas.openxmlformats.org/officeDocument/2006/relationships/hyperlink" Target="https://unctad.org/page/data-protection-and-privacy-legislation-worldwide" TargetMode="External" Id="rId1142" /><Relationship Type="http://schemas.openxmlformats.org/officeDocument/2006/relationships/hyperlink" Target="https://www.unicef.org/saudi-arabia/" TargetMode="External" Id="rId1143" /><Relationship Type="http://schemas.openxmlformats.org/officeDocument/2006/relationships/hyperlink" Target="https://www.unicef.org/saudi-arabia/" TargetMode="External" Id="rId1144" /><Relationship Type="http://schemas.openxmlformats.org/officeDocument/2006/relationships/hyperlink" Target="https://unctad.org/page/data-protection-and-privacy-legislation-worldwide" TargetMode="External" Id="rId1145" /><Relationship Type="http://schemas.openxmlformats.org/officeDocument/2006/relationships/hyperlink" Target="https://www.humandignitytrust.org/country-profile/saudi-arabia/;%20https:/ilga.org/ilga-world-maps/" TargetMode="External" Id="rId1146" /><Relationship Type="http://schemas.openxmlformats.org/officeDocument/2006/relationships/hyperlink" Target="https://ilga.org/ilga-world-maps/" TargetMode="External" Id="rId1147" /><Relationship Type="http://schemas.openxmlformats.org/officeDocument/2006/relationships/hyperlink" Target="https://en.unesco.org/artificial-intelligence/observatory/policies?country=SA;%20https://www.unesco.org/ethics-ai/en/global-hub" TargetMode="External" Id="rId1148" /><Relationship Type="http://schemas.openxmlformats.org/officeDocument/2006/relationships/hyperlink" Target="https://unctad.org/page/data-protection-and-privacy-legislation-worldwide" TargetMode="External" Id="rId1149" /><Relationship Type="http://schemas.openxmlformats.org/officeDocument/2006/relationships/hyperlink" Target="https://www.gsma.com/solutions-and-impact/connectivity-for-good/public-policy/mobile-policy-handbook/consumer-protection/mandatory-registration-of-prepaid-sims/" TargetMode="External" Id="rId1150" /><Relationship Type="http://schemas.openxmlformats.org/officeDocument/2006/relationships/hyperlink" Target="https://unctad.org/page/data-protection-and-privacy-legislation-worldwide" TargetMode="External" Id="rId1151" /><Relationship Type="http://schemas.openxmlformats.org/officeDocument/2006/relationships/hyperlink" Target="https://unctad.org/page/data-protection-and-privacy-legislation-worldwide" TargetMode="External" Id="rId1152" /><Relationship Type="http://schemas.openxmlformats.org/officeDocument/2006/relationships/hyperlink" Target="https://unctad.org/page/data-protection-and-privacy-legislation-worldwide;%20https:/www.unicef.org/united-arab-emirates/" TargetMode="External" Id="rId1153" /><Relationship Type="http://schemas.openxmlformats.org/officeDocument/2006/relationships/hyperlink" Target="https://www.unicef.org/united-arab-emirates/" TargetMode="External" Id="rId1154" /><Relationship Type="http://schemas.openxmlformats.org/officeDocument/2006/relationships/hyperlink" Target="https://unctad.org/page/data-protection-and-privacy-legislation-worldwide" TargetMode="External" Id="rId1155" /><Relationship Type="http://schemas.openxmlformats.org/officeDocument/2006/relationships/hyperlink" Target="https://www.humandignitytrust.org/country-profile/united-arab-emirates/;%20https:/ilga.org/ilga-world-maps/" TargetMode="External" Id="rId1156" /><Relationship Type="http://schemas.openxmlformats.org/officeDocument/2006/relationships/hyperlink" Target="https://ilga.org/ilga-world-maps/" TargetMode="External" Id="rId1157" /><Relationship Type="http://schemas.openxmlformats.org/officeDocument/2006/relationships/hyperlink" Target="https://en.unesco.org/artificial-intelligence/observatory/policies?country=AE;%20https://www.unesco.org/ethics-ai/en/global-hub" TargetMode="External" Id="rId1158" /><Relationship Type="http://schemas.openxmlformats.org/officeDocument/2006/relationships/hyperlink" Target="https://unctad.org/page/data-protection-and-privacy-legislation-worldwide" TargetMode="External" Id="rId115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160" /><Relationship Type="http://schemas.openxmlformats.org/officeDocument/2006/relationships/hyperlink" Target="https://unctad.org/page/data-protection-and-privacy-legislation-worldwide" TargetMode="External" Id="rId1161" /><Relationship Type="http://schemas.openxmlformats.org/officeDocument/2006/relationships/hyperlink" Target="https://unctad.org/page/data-protection-and-privacy-legislation-worldwide" TargetMode="External" Id="rId1162" /><Relationship Type="http://schemas.openxmlformats.org/officeDocument/2006/relationships/hyperlink" Target="https://unctad.org/page/data-protection-and-privacy-legislation-worldwide;%20https:/www.unicef.org/israel/" TargetMode="External" Id="rId1163" /><Relationship Type="http://schemas.openxmlformats.org/officeDocument/2006/relationships/hyperlink" Target="https://www.unicef.org/israel/" TargetMode="External" Id="rId1164" /><Relationship Type="http://schemas.openxmlformats.org/officeDocument/2006/relationships/hyperlink" Target="https://unctad.org/page/data-protection-and-privacy-legislation-worldwide" TargetMode="External" Id="rId1165" /><Relationship Type="http://schemas.openxmlformats.org/officeDocument/2006/relationships/hyperlink" Target="https://www.humandignitytrust.org/country-profile/israel/;%20https:/ilga.org/ilga-world-maps/" TargetMode="External" Id="rId1166" /><Relationship Type="http://schemas.openxmlformats.org/officeDocument/2006/relationships/hyperlink" Target="https://ilga.org/ilga-world-maps/" TargetMode="External" Id="rId1167" /><Relationship Type="http://schemas.openxmlformats.org/officeDocument/2006/relationships/hyperlink" Target="https://en.unesco.org/artificial-intelligence/observatory/policies?country=IL;%20https://www.unesco.org/ethics-ai/en/global-hub" TargetMode="External" Id="rId1168" /><Relationship Type="http://schemas.openxmlformats.org/officeDocument/2006/relationships/hyperlink" Target="https://unctad.org/page/data-protection-and-privacy-legislation-worldwide" TargetMode="External" Id="rId116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170" /><Relationship Type="http://schemas.openxmlformats.org/officeDocument/2006/relationships/hyperlink" Target="https://unctad.org/page/data-protection-and-privacy-legislation-worldwide" TargetMode="External" Id="rId1171" /><Relationship Type="http://schemas.openxmlformats.org/officeDocument/2006/relationships/hyperlink" Target="https://unctad.org/page/data-protection-and-privacy-legislation-worldwide" TargetMode="External" Id="rId1172" /><Relationship Type="http://schemas.openxmlformats.org/officeDocument/2006/relationships/hyperlink" Target="https://unctad.org/page/data-protection-and-privacy-legislation-worldwide;%20https:/www.unicef.org/republic-of-korea/" TargetMode="External" Id="rId1173" /><Relationship Type="http://schemas.openxmlformats.org/officeDocument/2006/relationships/hyperlink" Target="https://www.unicef.org/republic-of-korea/" TargetMode="External" Id="rId1174" /><Relationship Type="http://schemas.openxmlformats.org/officeDocument/2006/relationships/hyperlink" Target="https://unctad.org/page/data-protection-and-privacy-legislation-worldwide" TargetMode="External" Id="rId1175" /><Relationship Type="http://schemas.openxmlformats.org/officeDocument/2006/relationships/hyperlink" Target="https://www.humandignitytrust.org/country-profile/republic-of-korea/;%20https:/ilga.org/ilga-world-maps/" TargetMode="External" Id="rId1176" /><Relationship Type="http://schemas.openxmlformats.org/officeDocument/2006/relationships/hyperlink" Target="https://ilga.org/ilga-world-maps/" TargetMode="External" Id="rId1177" /><Relationship Type="http://schemas.openxmlformats.org/officeDocument/2006/relationships/hyperlink" Target="https://www.unesco.org/ethics-ai/en/global-hub" TargetMode="External" Id="rId1178" /><Relationship Type="http://schemas.openxmlformats.org/officeDocument/2006/relationships/hyperlink" Target="https://unctad.org/page/data-protection-and-privacy-legislation-worldwide" TargetMode="External" Id="rId117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180" /><Relationship Type="http://schemas.openxmlformats.org/officeDocument/2006/relationships/hyperlink" Target="https://unctad.org/page/data-protection-and-privacy-legislation-worldwide;%20https:/www.refworld.org/legal/legislation/natleglaws/2017/afg-2017-01.html" TargetMode="External" Id="rId1181" /><Relationship Type="http://schemas.openxmlformats.org/officeDocument/2006/relationships/hyperlink" Target="https://unctad.org/page/data-protection-and-privacy-legislation-worldwide" TargetMode="External" Id="rId1182" /><Relationship Type="http://schemas.openxmlformats.org/officeDocument/2006/relationships/hyperlink" Target="https://www.unicef.org/afghanistan/reports/child-protection-afghanistan-2023" TargetMode="External" Id="rId1183" /><Relationship Type="http://schemas.openxmlformats.org/officeDocument/2006/relationships/hyperlink" Target="https://www.unicef.org/afghanistan/reports/child-protection-afghanistan-2023" TargetMode="External" Id="rId1184" /><Relationship Type="http://schemas.openxmlformats.org/officeDocument/2006/relationships/hyperlink" Target="https://www.refworld.org/legal/legislation/natleglaws/2017/afg-2017-01.html;%20https:/unctad.org/page/data-protection-and-privacy-legislation-worldwide" TargetMode="External" Id="rId1185" /><Relationship Type="http://schemas.openxmlformats.org/officeDocument/2006/relationships/hyperlink" Target="https://www.humandignitytrust.org/country-profile/afghanistan/;%20https:/ilga.org/maps-sexual-orientation-laws" TargetMode="External" Id="rId1186" /><Relationship Type="http://schemas.openxmlformats.org/officeDocument/2006/relationships/hyperlink" Target="https://www.hrw.org/news/2023/08/30/afghanistan-lgbt-afghans-face-persecution;%20https:/ilga.org/maps-sexual-orientation-laws" TargetMode="External" Id="rId1187" /><Relationship Type="http://schemas.openxmlformats.org/officeDocument/2006/relationships/hyperlink" Target="https://en.unesco.org/artificial-intelligence/observatory/policies?country=AF" TargetMode="External" Id="rId1188" /><Relationship Type="http://schemas.openxmlformats.org/officeDocument/2006/relationships/hyperlink" Target="https://www.refworld.org/legal/legislation/natleglaws/2017/afg-2017-01.html" TargetMode="External" Id="rId1189" /><Relationship Type="http://schemas.openxmlformats.org/officeDocument/2006/relationships/hyperlink" Target="https://www.gsma.com/mobilefordevelopment/resources/mandatory-sim-registration-in-afghanistan/;%20https:/privacyinternational.org/examples/3208/afghanistan-mandatory-sim-registration" TargetMode="External" Id="rId1190" /><Relationship Type="http://schemas.openxmlformats.org/officeDocument/2006/relationships/hyperlink" Target="https://unctad.org/page/data-protection-and-privacy-legislation-worldwide" TargetMode="External" Id="rId1191" /><Relationship Type="http://schemas.openxmlformats.org/officeDocument/2006/relationships/hyperlink" Target="https://unctad.org/page/data-protection-and-privacy-legislation-worldwide" TargetMode="External" Id="rId1192" /><Relationship Type="http://schemas.openxmlformats.org/officeDocument/2006/relationships/hyperlink" Target="https://unctad.org/page/data-protection-and-privacy-legislation-worldwide;%20https:/www.unicef.org/bangladesh/" TargetMode="External" Id="rId1193" /><Relationship Type="http://schemas.openxmlformats.org/officeDocument/2006/relationships/hyperlink" Target="https://www.unicef.org/bangladesh/" TargetMode="External" Id="rId1194" /><Relationship Type="http://schemas.openxmlformats.org/officeDocument/2006/relationships/hyperlink" Target="https://unctad.org/page/data-protection-and-privacy-legislation-worldwide" TargetMode="External" Id="rId1195" /><Relationship Type="http://schemas.openxmlformats.org/officeDocument/2006/relationships/hyperlink" Target="https://www.humandignitytrust.org/country-profile/bangladesh/;%20https:/ilga.org/ilga-world-maps/" TargetMode="External" Id="rId1196" /><Relationship Type="http://schemas.openxmlformats.org/officeDocument/2006/relationships/hyperlink" Target="https://ilga.org/ilga-world-maps/" TargetMode="External" Id="rId1197" /><Relationship Type="http://schemas.openxmlformats.org/officeDocument/2006/relationships/hyperlink" Target="https://en.unesco.org/artificial-intelligence/observatory/policies?country=BD;%20https://www.unesco.org/ethics-ai/en/global-hub" TargetMode="External" Id="rId1198" /><Relationship Type="http://schemas.openxmlformats.org/officeDocument/2006/relationships/hyperlink" Target="https://unctad.org/page/data-protection-and-privacy-legislation-worldwide" TargetMode="External" Id="rId119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200" /><Relationship Type="http://schemas.openxmlformats.org/officeDocument/2006/relationships/hyperlink" Target="https://unctad.org/page/data-protection-and-privacy-legislation-worldwide" TargetMode="External" Id="rId1201" /><Relationship Type="http://schemas.openxmlformats.org/officeDocument/2006/relationships/hyperlink" Target="https://unctad.org/page/data-protection-and-privacy-legislation-worldwide" TargetMode="External" Id="rId1202" /><Relationship Type="http://schemas.openxmlformats.org/officeDocument/2006/relationships/hyperlink" Target="https://unctad.org/page/data-protection-and-privacy-legislation-worldwide;%20https:/www.unicef.org/bhutan/" TargetMode="External" Id="rId1203" /><Relationship Type="http://schemas.openxmlformats.org/officeDocument/2006/relationships/hyperlink" Target="https://www.unicef.org/bhutan/" TargetMode="External" Id="rId1204" /><Relationship Type="http://schemas.openxmlformats.org/officeDocument/2006/relationships/hyperlink" Target="https://unctad.org/page/data-protection-and-privacy-legislation-worldwide" TargetMode="External" Id="rId1205" /><Relationship Type="http://schemas.openxmlformats.org/officeDocument/2006/relationships/hyperlink" Target="https://www.humandignitytrust.org/country-profile/bhutan/;%20https:/ilga.org/ilga-world-maps/" TargetMode="External" Id="rId1206" /><Relationship Type="http://schemas.openxmlformats.org/officeDocument/2006/relationships/hyperlink" Target="https://ilga.org/ilga-world-maps/" TargetMode="External" Id="rId1207" /><Relationship Type="http://schemas.openxmlformats.org/officeDocument/2006/relationships/hyperlink" Target="https://en.unesco.org/artificial-intelligence/observatory/policies?country=BT;%20https://www.unesco.org/ethics-ai/en/global-hub" TargetMode="External" Id="rId1208" /><Relationship Type="http://schemas.openxmlformats.org/officeDocument/2006/relationships/hyperlink" Target="https://unctad.org/page/data-protection-and-privacy-legislation-worldwide" TargetMode="External" Id="rId120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210" /><Relationship Type="http://schemas.openxmlformats.org/officeDocument/2006/relationships/hyperlink" Target="https://unctad.org/page/data-protection-and-privacy-legislation-worldwide" TargetMode="External" Id="rId1211" /><Relationship Type="http://schemas.openxmlformats.org/officeDocument/2006/relationships/hyperlink" Target="https://unctad.org/page/data-protection-and-privacy-legislation-worldwide" TargetMode="External" Id="rId1212" /><Relationship Type="http://schemas.openxmlformats.org/officeDocument/2006/relationships/hyperlink" Target="https://unctad.org/page/data-protection-and-privacy-legislation-worldwide;%20https:/www.unicef.org/india/" TargetMode="External" Id="rId1213" /><Relationship Type="http://schemas.openxmlformats.org/officeDocument/2006/relationships/hyperlink" Target="https://www.unicef.org/india/" TargetMode="External" Id="rId1214" /><Relationship Type="http://schemas.openxmlformats.org/officeDocument/2006/relationships/hyperlink" Target="https://unctad.org/page/data-protection-and-privacy-legislation-worldwide" TargetMode="External" Id="rId1215" /><Relationship Type="http://schemas.openxmlformats.org/officeDocument/2006/relationships/hyperlink" Target="https://www.humandignitytrust.org/country-profile/india/;%20https:/ilga.org/ilga-world-maps/" TargetMode="External" Id="rId1216" /><Relationship Type="http://schemas.openxmlformats.org/officeDocument/2006/relationships/hyperlink" Target="https://ilga.org/ilga-world-maps/" TargetMode="External" Id="rId1217" /><Relationship Type="http://schemas.openxmlformats.org/officeDocument/2006/relationships/hyperlink" Target="https://en.unesco.org/artificial-intelligence/observatory/policies?country=IN;%20https://www.unesco.org/ethics-ai/en/global-hub" TargetMode="External" Id="rId1218" /><Relationship Type="http://schemas.openxmlformats.org/officeDocument/2006/relationships/hyperlink" Target="https://unctad.org/page/data-protection-and-privacy-legislation-worldwide" TargetMode="External" Id="rId121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220" /><Relationship Type="http://schemas.openxmlformats.org/officeDocument/2006/relationships/hyperlink" Target="https://unctad.org/page/data-protection-and-privacy-legislation-worldwide" TargetMode="External" Id="rId1221" /><Relationship Type="http://schemas.openxmlformats.org/officeDocument/2006/relationships/hyperlink" Target="https://unctad.org/page/data-protection-and-privacy-legislation-worldwide" TargetMode="External" Id="rId1222" /><Relationship Type="http://schemas.openxmlformats.org/officeDocument/2006/relationships/hyperlink" Target="https://www.unicef.org/maldives/" TargetMode="External" Id="rId1223" /><Relationship Type="http://schemas.openxmlformats.org/officeDocument/2006/relationships/hyperlink" Target="https://www.unicef.org/maldives/" TargetMode="External" Id="rId1224" /><Relationship Type="http://schemas.openxmlformats.org/officeDocument/2006/relationships/hyperlink" Target="https://unctad.org/page/data-protection-and-privacy-legislation-worldwide" TargetMode="External" Id="rId1225" /><Relationship Type="http://schemas.openxmlformats.org/officeDocument/2006/relationships/hyperlink" Target="https://www.humandignitytrust.org/country-profile/maldives/;%20https:/ilga.org/ilga-world-maps/" TargetMode="External" Id="rId1226" /><Relationship Type="http://schemas.openxmlformats.org/officeDocument/2006/relationships/hyperlink" Target="https://ilga.org/ilga-world-maps/" TargetMode="External" Id="rId1227" /><Relationship Type="http://schemas.openxmlformats.org/officeDocument/2006/relationships/hyperlink" Target="https://en.unesco.org/artificial-intelligence/observatory/policies?country=MV;%20https://www.unesco.org/ethics-ai/en/global-hub" TargetMode="External" Id="rId1228" /><Relationship Type="http://schemas.openxmlformats.org/officeDocument/2006/relationships/hyperlink" Target="https://unctad.org/page/data-protection-and-privacy-legislation-worldwide" TargetMode="External" Id="rId122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230" /><Relationship Type="http://schemas.openxmlformats.org/officeDocument/2006/relationships/hyperlink" Target="https://unctad.org/page/data-protection-and-privacy-legislation-worldwide" TargetMode="External" Id="rId1231" /><Relationship Type="http://schemas.openxmlformats.org/officeDocument/2006/relationships/hyperlink" Target="https://unctad.org/page/data-protection-and-privacy-legislation-worldwide" TargetMode="External" Id="rId1232" /><Relationship Type="http://schemas.openxmlformats.org/officeDocument/2006/relationships/hyperlink" Target="https://www.unicef.org/nepal/" TargetMode="External" Id="rId1233" /><Relationship Type="http://schemas.openxmlformats.org/officeDocument/2006/relationships/hyperlink" Target="https://www.unicef.org/nepal/" TargetMode="External" Id="rId1234" /><Relationship Type="http://schemas.openxmlformats.org/officeDocument/2006/relationships/hyperlink" Target="https://unctad.org/page/data-protection-and-privacy-legislation-worldwide" TargetMode="External" Id="rId1235" /><Relationship Type="http://schemas.openxmlformats.org/officeDocument/2006/relationships/hyperlink" Target="https://www.humandignitytrust.org/country-profile/nepal/;%20https:/ilga.org/ilga-world-maps/" TargetMode="External" Id="rId1236" /><Relationship Type="http://schemas.openxmlformats.org/officeDocument/2006/relationships/hyperlink" Target="https://ilga.org/ilga-world-maps/" TargetMode="External" Id="rId1237" /><Relationship Type="http://schemas.openxmlformats.org/officeDocument/2006/relationships/hyperlink" Target="https://en.unesco.org/artificial-intelligence/observatory/policies?country=NP;%20https://www.unesco.org/ethics-ai/en/global-hub" TargetMode="External" Id="rId1238" /><Relationship Type="http://schemas.openxmlformats.org/officeDocument/2006/relationships/hyperlink" Target="https://unctad.org/page/data-protection-and-privacy-legislation-worldwide" TargetMode="External" Id="rId123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240" /><Relationship Type="http://schemas.openxmlformats.org/officeDocument/2006/relationships/hyperlink" Target="https://unctad.org/page/data-protection-and-privacy-legislation-worldwide" TargetMode="External" Id="rId1241" /><Relationship Type="http://schemas.openxmlformats.org/officeDocument/2006/relationships/hyperlink" Target="https://unctad.org/page/data-protection-and-privacy-legislation-worldwide" TargetMode="External" Id="rId1242" /><Relationship Type="http://schemas.openxmlformats.org/officeDocument/2006/relationships/hyperlink" Target="https://www.unicef.org/pakistan/" TargetMode="External" Id="rId1243" /><Relationship Type="http://schemas.openxmlformats.org/officeDocument/2006/relationships/hyperlink" Target="https://www.unicef.org/pakistan/" TargetMode="External" Id="rId1244" /><Relationship Type="http://schemas.openxmlformats.org/officeDocument/2006/relationships/hyperlink" Target="https://unctad.org/page/data-protection-and-privacy-legislation-worldwide" TargetMode="External" Id="rId1245" /><Relationship Type="http://schemas.openxmlformats.org/officeDocument/2006/relationships/hyperlink" Target="https://www.humandignitytrust.org/country-profile/pakistan/;%20https:/ilga.org/ilga-world-maps/" TargetMode="External" Id="rId1246" /><Relationship Type="http://schemas.openxmlformats.org/officeDocument/2006/relationships/hyperlink" Target="https://ilga.org/ilga-world-maps/" TargetMode="External" Id="rId1247" /><Relationship Type="http://schemas.openxmlformats.org/officeDocument/2006/relationships/hyperlink" Target="https://en.unesco.org/artificial-intelligence/observatory/policies?country=PK;%20https://www.unesco.org/ethics-ai/en/global-hub" TargetMode="External" Id="rId1248" /><Relationship Type="http://schemas.openxmlformats.org/officeDocument/2006/relationships/hyperlink" Target="https://unctad.org/page/data-protection-and-privacy-legislation-worldwide" TargetMode="External" Id="rId124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250" /><Relationship Type="http://schemas.openxmlformats.org/officeDocument/2006/relationships/hyperlink" Target="https://unctad.org/page/data-protection-and-privacy-legislation-worldwide" TargetMode="External" Id="rId1251" /><Relationship Type="http://schemas.openxmlformats.org/officeDocument/2006/relationships/hyperlink" Target="https://unctad.org/page/data-protection-and-privacy-legislation-worldwide" TargetMode="External" Id="rId1252" /><Relationship Type="http://schemas.openxmlformats.org/officeDocument/2006/relationships/hyperlink" Target="https://unctad.org/page/data-protection-and-privacy-legislation-worldwide;%20https:/www.unicef.org/sri-lanka/" TargetMode="External" Id="rId1253" /><Relationship Type="http://schemas.openxmlformats.org/officeDocument/2006/relationships/hyperlink" Target="https://www.unicef.org/sri-lanka/" TargetMode="External" Id="rId1254" /><Relationship Type="http://schemas.openxmlformats.org/officeDocument/2006/relationships/hyperlink" Target="https://unctad.org/page/data-protection-and-privacy-legislation-worldwide" TargetMode="External" Id="rId1255" /><Relationship Type="http://schemas.openxmlformats.org/officeDocument/2006/relationships/hyperlink" Target="https://www.humandignitytrust.org/country-profile/sri-lanka/;%20https:/ilga.org/ilga-world-maps/" TargetMode="External" Id="rId1256" /><Relationship Type="http://schemas.openxmlformats.org/officeDocument/2006/relationships/hyperlink" Target="https://ilga.org/ilga-world-maps/" TargetMode="External" Id="rId1257" /><Relationship Type="http://schemas.openxmlformats.org/officeDocument/2006/relationships/hyperlink" Target="https://en.unesco.org/artificial-intelligence/observatory/policies?country=LK;%20https://www.unesco.org/ethics-ai/en/global-hub" TargetMode="External" Id="rId1258" /><Relationship Type="http://schemas.openxmlformats.org/officeDocument/2006/relationships/hyperlink" Target="https://unctad.org/page/data-protection-and-privacy-legislation-worldwide" TargetMode="External" Id="rId125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260" /><Relationship Type="http://schemas.openxmlformats.org/officeDocument/2006/relationships/hyperlink" Target="https://unctad.org/page/data-protection-and-privacy-legislation-worldwide" TargetMode="External" Id="rId1261" /><Relationship Type="http://schemas.openxmlformats.org/officeDocument/2006/relationships/hyperlink" Target="https://unctad.org/page/data-protection-and-privacy-legislation-worldwide" TargetMode="External" Id="rId1262" /><Relationship Type="http://schemas.openxmlformats.org/officeDocument/2006/relationships/hyperlink" Target="https://unctad.org/page/data-protection-and-privacy-legislation-worldwide;%20https:/www.unicef.org/china/" TargetMode="External" Id="rId1263" /><Relationship Type="http://schemas.openxmlformats.org/officeDocument/2006/relationships/hyperlink" Target="https://www.unicef.org/china/" TargetMode="External" Id="rId1264" /><Relationship Type="http://schemas.openxmlformats.org/officeDocument/2006/relationships/hyperlink" Target="https://unctad.org/page/data-protection-and-privacy-legislation-worldwide" TargetMode="External" Id="rId1265" /><Relationship Type="http://schemas.openxmlformats.org/officeDocument/2006/relationships/hyperlink" Target="https://www.humandignitytrust.org/country-profile/china/;%20https:/ilga.org/ilga-world-maps/" TargetMode="External" Id="rId1266" /><Relationship Type="http://schemas.openxmlformats.org/officeDocument/2006/relationships/hyperlink" Target="https://ilga.org/ilga-world-maps/" TargetMode="External" Id="rId1267" /><Relationship Type="http://schemas.openxmlformats.org/officeDocument/2006/relationships/hyperlink" Target="https://en.unesco.org/artificial-intelligence/observatory/policies?country=CN;%20https://www.unesco.org/ethics-ai/en/global-hub" TargetMode="External" Id="rId1268" /><Relationship Type="http://schemas.openxmlformats.org/officeDocument/2006/relationships/hyperlink" Target="https://unctad.org/page/data-protection-and-privacy-legislation-worldwide" TargetMode="External" Id="rId126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270" /><Relationship Type="http://schemas.openxmlformats.org/officeDocument/2006/relationships/hyperlink" Target="https://unctad.org/page/data-protection-and-privacy-legislation-worldwide" TargetMode="External" Id="rId1271" /><Relationship Type="http://schemas.openxmlformats.org/officeDocument/2006/relationships/hyperlink" Target="https://unctad.org/page/data-protection-and-privacy-legislation-worldwide" TargetMode="External" Id="rId1272" /><Relationship Type="http://schemas.openxmlformats.org/officeDocument/2006/relationships/hyperlink" Target="https://www.unicef.org/democratic-peoples-republic-of-korea/" TargetMode="External" Id="rId1273" /><Relationship Type="http://schemas.openxmlformats.org/officeDocument/2006/relationships/hyperlink" Target="https://www.unicef.org/democratic-peoples-republic-of-korea/" TargetMode="External" Id="rId1274" /><Relationship Type="http://schemas.openxmlformats.org/officeDocument/2006/relationships/hyperlink" Target="https://unctad.org/page/data-protection-and-privacy-legislation-worldwide" TargetMode="External" Id="rId1275" /><Relationship Type="http://schemas.openxmlformats.org/officeDocument/2006/relationships/hyperlink" Target="https://www.humandignitytrust.org/country-profile/democratic-peoples-republic-of-korea/;%20https:/ilga.org/ilga-world-maps/" TargetMode="External" Id="rId1276" /><Relationship Type="http://schemas.openxmlformats.org/officeDocument/2006/relationships/hyperlink" Target="https://ilga.org/ilga-world-maps/" TargetMode="External" Id="rId1277" /><Relationship Type="http://schemas.openxmlformats.org/officeDocument/2006/relationships/hyperlink" Target="https://en.unesco.org/artificial-intelligence/observatory/policies?country=KP;%20https://www.unesco.org/ethics-ai/en/global-hub" TargetMode="External" Id="rId1278" /><Relationship Type="http://schemas.openxmlformats.org/officeDocument/2006/relationships/hyperlink" Target="https://unctad.org/page/data-protection-and-privacy-legislation-worldwide" TargetMode="External" Id="rId1279" /><Relationship Type="http://schemas.openxmlformats.org/officeDocument/2006/relationships/hyperlink" Target="https://www.gsma.com/solutions-and-impact/connectivity-for-good/public-policy/mobile-policy-handbook/consumer-protection/mandatory-registration-of-prepaid-sims/" TargetMode="External" Id="rId1280" /><Relationship Type="http://schemas.openxmlformats.org/officeDocument/2006/relationships/hyperlink" Target="https://unctad.org/page/data-protection-and-privacy-legislation-worldwide" TargetMode="External" Id="rId1281" /><Relationship Type="http://schemas.openxmlformats.org/officeDocument/2006/relationships/hyperlink" Target="https://unctad.org/page/data-protection-and-privacy-legislation-worldwide" TargetMode="External" Id="rId1282" /><Relationship Type="http://schemas.openxmlformats.org/officeDocument/2006/relationships/hyperlink" Target="https://www.unicef.org/iran-islamic-republic-of/" TargetMode="External" Id="rId1283" /><Relationship Type="http://schemas.openxmlformats.org/officeDocument/2006/relationships/hyperlink" Target="https://www.unicef.org/iran-islamic-republic-of/" TargetMode="External" Id="rId1284" /><Relationship Type="http://schemas.openxmlformats.org/officeDocument/2006/relationships/hyperlink" Target="https://unctad.org/page/data-protection-and-privacy-legislation-worldwide" TargetMode="External" Id="rId1285" /><Relationship Type="http://schemas.openxmlformats.org/officeDocument/2006/relationships/hyperlink" Target="https://www.humandignitytrust.org/country-profile/iran-islamic-republic-of/;%20https:/ilga.org/ilga-world-maps/" TargetMode="External" Id="rId1286" /><Relationship Type="http://schemas.openxmlformats.org/officeDocument/2006/relationships/hyperlink" Target="https://ilga.org/ilga-world-maps/" TargetMode="External" Id="rId1287" /><Relationship Type="http://schemas.openxmlformats.org/officeDocument/2006/relationships/hyperlink" Target="https://www.unesco.org/ethics-ai/en/global-hub" TargetMode="External" Id="rId1288" /><Relationship Type="http://schemas.openxmlformats.org/officeDocument/2006/relationships/hyperlink" Target="https://unctad.org/page/data-protection-and-privacy-legislation-worldwide" TargetMode="External" Id="rId128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290" /><Relationship Type="http://schemas.openxmlformats.org/officeDocument/2006/relationships/hyperlink" Target="https://unctad.org/page/data-protection-and-privacy-legislation-worldwide" TargetMode="External" Id="rId1291" /><Relationship Type="http://schemas.openxmlformats.org/officeDocument/2006/relationships/hyperlink" Target="https://unctad.org/page/data-protection-and-privacy-legislation-worldwide" TargetMode="External" Id="rId1292" /><Relationship Type="http://schemas.openxmlformats.org/officeDocument/2006/relationships/hyperlink" Target="https://unctad.org/page/data-protection-and-privacy-legislation-worldwide;%20https:/www.unicef.org/kazakhstan/" TargetMode="External" Id="rId1293" /><Relationship Type="http://schemas.openxmlformats.org/officeDocument/2006/relationships/hyperlink" Target="https://www.unicef.org/kazakhstan/" TargetMode="External" Id="rId1294" /><Relationship Type="http://schemas.openxmlformats.org/officeDocument/2006/relationships/hyperlink" Target="https://unctad.org/page/data-protection-and-privacy-legislation-worldwide" TargetMode="External" Id="rId1295" /><Relationship Type="http://schemas.openxmlformats.org/officeDocument/2006/relationships/hyperlink" Target="https://www.humandignitytrust.org/country-profile/kazakhstan/;%20https:/ilga.org/ilga-world-maps/" TargetMode="External" Id="rId1296" /><Relationship Type="http://schemas.openxmlformats.org/officeDocument/2006/relationships/hyperlink" Target="https://ilga.org/ilga-world-maps/" TargetMode="External" Id="rId1297" /><Relationship Type="http://schemas.openxmlformats.org/officeDocument/2006/relationships/hyperlink" Target="https://en.unesco.org/artificial-intelligence/observatory/policies?country=KZ;%20https://www.unesco.org/ethics-ai/en/global-hub" TargetMode="External" Id="rId1298" /><Relationship Type="http://schemas.openxmlformats.org/officeDocument/2006/relationships/hyperlink" Target="https://unctad.org/page/data-protection-and-privacy-legislation-worldwide" TargetMode="External" Id="rId129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300" /><Relationship Type="http://schemas.openxmlformats.org/officeDocument/2006/relationships/hyperlink" Target="https://unctad.org/page/data-protection-and-privacy-legislation-worldwide" TargetMode="External" Id="rId1301" /><Relationship Type="http://schemas.openxmlformats.org/officeDocument/2006/relationships/hyperlink" Target="https://unctad.org/page/data-protection-and-privacy-legislation-worldwide" TargetMode="External" Id="rId1302" /><Relationship Type="http://schemas.openxmlformats.org/officeDocument/2006/relationships/hyperlink" Target="https://unctad.org/page/data-protection-and-privacy-legislation-worldwide;%20https:/www.unicef.org/kyrgyzstan/" TargetMode="External" Id="rId1303" /><Relationship Type="http://schemas.openxmlformats.org/officeDocument/2006/relationships/hyperlink" Target="https://www.unicef.org/kyrgyzstan/" TargetMode="External" Id="rId1304" /><Relationship Type="http://schemas.openxmlformats.org/officeDocument/2006/relationships/hyperlink" Target="https://unctad.org/page/data-protection-and-privacy-legislation-worldwide" TargetMode="External" Id="rId1305" /><Relationship Type="http://schemas.openxmlformats.org/officeDocument/2006/relationships/hyperlink" Target="https://www.humandignitytrust.org/country-profile/kyrgyzstan/;%20https:/ilga.org/ilga-world-maps/" TargetMode="External" Id="rId1306" /><Relationship Type="http://schemas.openxmlformats.org/officeDocument/2006/relationships/hyperlink" Target="https://ilga.org/ilga-world-maps/" TargetMode="External" Id="rId1307" /><Relationship Type="http://schemas.openxmlformats.org/officeDocument/2006/relationships/hyperlink" Target="https://en.unesco.org/artificial-intelligence/observatory/policies?country=KG;%20https://www.unesco.org/ethics-ai/en/global-hub" TargetMode="External" Id="rId1308" /><Relationship Type="http://schemas.openxmlformats.org/officeDocument/2006/relationships/hyperlink" Target="https://unctad.org/page/data-protection-and-privacy-legislation-worldwide" TargetMode="External" Id="rId1309" /><Relationship Type="http://schemas.openxmlformats.org/officeDocument/2006/relationships/hyperlink" Target="https://www.gsma.com/solutions-and-impact/connectivity-for-good/public-policy/mobile-policy-handbook/consumer-protection/mandatory-registration-of-prepaid-sims/" TargetMode="External" Id="rId1310" /><Relationship Type="http://schemas.openxmlformats.org/officeDocument/2006/relationships/hyperlink" Target="https://unctad.org/page/data-protection-and-privacy-legislation-worldwide" TargetMode="External" Id="rId1311" /><Relationship Type="http://schemas.openxmlformats.org/officeDocument/2006/relationships/hyperlink" Target="https://unctad.org/page/data-protection-and-privacy-legislation-worldwide" TargetMode="External" Id="rId1312" /><Relationship Type="http://schemas.openxmlformats.org/officeDocument/2006/relationships/hyperlink" Target="https://unctad.org/page/data-protection-and-privacy-legislation-worldwide;%20https:/www.unicef.org/mongolia/" TargetMode="External" Id="rId1313" /><Relationship Type="http://schemas.openxmlformats.org/officeDocument/2006/relationships/hyperlink" Target="https://www.unicef.org/mongolia/" TargetMode="External" Id="rId1314" /><Relationship Type="http://schemas.openxmlformats.org/officeDocument/2006/relationships/hyperlink" Target="https://unctad.org/page/data-protection-and-privacy-legislation-worldwide" TargetMode="External" Id="rId1315" /><Relationship Type="http://schemas.openxmlformats.org/officeDocument/2006/relationships/hyperlink" Target="https://www.humandignitytrust.org/country-profile/mongolia/;%20https:/ilga.org/ilga-world-maps/" TargetMode="External" Id="rId1316" /><Relationship Type="http://schemas.openxmlformats.org/officeDocument/2006/relationships/hyperlink" Target="https://ilga.org/ilga-world-maps/" TargetMode="External" Id="rId1317" /><Relationship Type="http://schemas.openxmlformats.org/officeDocument/2006/relationships/hyperlink" Target="https://en.unesco.org/artificial-intelligence/observatory/policies?country=MN;%20https://www.unesco.org/ethics-ai/en/global-hub" TargetMode="External" Id="rId1318" /><Relationship Type="http://schemas.openxmlformats.org/officeDocument/2006/relationships/hyperlink" Target="https://unctad.org/page/data-protection-and-privacy-legislation-worldwide" TargetMode="External" Id="rId1319" /><Relationship Type="http://schemas.openxmlformats.org/officeDocument/2006/relationships/hyperlink" Target="https://www.gsma.com/solutions-and-impact/connectivity-for-good/public-policy/mobile-policy-handbook/consumer-protection/mandatory-registration-of-prepaid-sims/" TargetMode="External" Id="rId1320" /><Relationship Type="http://schemas.openxmlformats.org/officeDocument/2006/relationships/hyperlink" Target="https://unctad.org/page/data-protection-and-privacy-legislation-worldwide" TargetMode="External" Id="rId1321" /><Relationship Type="http://schemas.openxmlformats.org/officeDocument/2006/relationships/hyperlink" Target="https://unctad.org/page/data-protection-and-privacy-legislation-worldwide" TargetMode="External" Id="rId1322" /><Relationship Type="http://schemas.openxmlformats.org/officeDocument/2006/relationships/hyperlink" Target="https://www.unicef.org/tajikistan/" TargetMode="External" Id="rId1323" /><Relationship Type="http://schemas.openxmlformats.org/officeDocument/2006/relationships/hyperlink" Target="https://www.unicef.org/tajikistan/" TargetMode="External" Id="rId1324" /><Relationship Type="http://schemas.openxmlformats.org/officeDocument/2006/relationships/hyperlink" Target="https://unctad.org/page/data-protection-and-privacy-legislation-worldwide" TargetMode="External" Id="rId1325" /><Relationship Type="http://schemas.openxmlformats.org/officeDocument/2006/relationships/hyperlink" Target="https://www.humandignitytrust.org/country-profile/tajikistan/;%20https:/ilga.org/ilga-world-maps/" TargetMode="External" Id="rId1326" /><Relationship Type="http://schemas.openxmlformats.org/officeDocument/2006/relationships/hyperlink" Target="https://ilga.org/ilga-world-maps/" TargetMode="External" Id="rId1327" /><Relationship Type="http://schemas.openxmlformats.org/officeDocument/2006/relationships/hyperlink" Target="https://en.unesco.org/artificial-intelligence/observatory/policies?country=TJ;%20https://www.unesco.org/ethics-ai/en/global-hub" TargetMode="External" Id="rId1328" /><Relationship Type="http://schemas.openxmlformats.org/officeDocument/2006/relationships/hyperlink" Target="https://unctad.org/page/data-protection-and-privacy-legislation-worldwide" TargetMode="External" Id="rId132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330" /><Relationship Type="http://schemas.openxmlformats.org/officeDocument/2006/relationships/hyperlink" Target="https://unctad.org/page/data-protection-and-privacy-legislation-worldwide" TargetMode="External" Id="rId1331" /><Relationship Type="http://schemas.openxmlformats.org/officeDocument/2006/relationships/hyperlink" Target="https://unctad.org/page/data-protection-and-privacy-legislation-worldwide" TargetMode="External" Id="rId1332" /><Relationship Type="http://schemas.openxmlformats.org/officeDocument/2006/relationships/hyperlink" Target="https://www.unicef.org/turkmenistan/" TargetMode="External" Id="rId1333" /><Relationship Type="http://schemas.openxmlformats.org/officeDocument/2006/relationships/hyperlink" Target="https://www.unicef.org/turkmenistan/" TargetMode="External" Id="rId1334" /><Relationship Type="http://schemas.openxmlformats.org/officeDocument/2006/relationships/hyperlink" Target="https://unctad.org/page/data-protection-and-privacy-legislation-worldwide" TargetMode="External" Id="rId1335" /><Relationship Type="http://schemas.openxmlformats.org/officeDocument/2006/relationships/hyperlink" Target="https://www.humandignitytrust.org/country-profile/turkmenistan/;%20https:/ilga.org/ilga-world-maps/" TargetMode="External" Id="rId1336" /><Relationship Type="http://schemas.openxmlformats.org/officeDocument/2006/relationships/hyperlink" Target="https://ilga.org/ilga-world-maps/" TargetMode="External" Id="rId1337" /><Relationship Type="http://schemas.openxmlformats.org/officeDocument/2006/relationships/hyperlink" Target="https://en.unesco.org/artificial-intelligence/observatory/policies?country=TM;%20https://www.unesco.org/ethics-ai/en/global-hub" TargetMode="External" Id="rId1338" /><Relationship Type="http://schemas.openxmlformats.org/officeDocument/2006/relationships/hyperlink" Target="https://unctad.org/page/data-protection-and-privacy-legislation-worldwide" TargetMode="External" Id="rId1339" /><Relationship Type="http://schemas.openxmlformats.org/officeDocument/2006/relationships/hyperlink" Target="https://www.gsma.com/solutions-and-impact/connectivity-for-good/public-policy/mobile-policy-handbook/consumer-protection/mandatory-registration-of-prepaid-sims/" TargetMode="External" Id="rId1340" /><Relationship Type="http://schemas.openxmlformats.org/officeDocument/2006/relationships/hyperlink" Target="https://unctad.org/page/data-protection-and-privacy-legislation-worldwide" TargetMode="External" Id="rId1341" /><Relationship Type="http://schemas.openxmlformats.org/officeDocument/2006/relationships/hyperlink" Target="https://unctad.org/page/data-protection-and-privacy-legislation-worldwide" TargetMode="External" Id="rId1342" /><Relationship Type="http://schemas.openxmlformats.org/officeDocument/2006/relationships/hyperlink" Target="https://www.unicef.org/uzbekistan/" TargetMode="External" Id="rId1343" /><Relationship Type="http://schemas.openxmlformats.org/officeDocument/2006/relationships/hyperlink" Target="https://www.unicef.org/uzbekistan/" TargetMode="External" Id="rId1344" /><Relationship Type="http://schemas.openxmlformats.org/officeDocument/2006/relationships/hyperlink" Target="https://unctad.org/page/data-protection-and-privacy-legislation-worldwide" TargetMode="External" Id="rId1345" /><Relationship Type="http://schemas.openxmlformats.org/officeDocument/2006/relationships/hyperlink" Target="https://www.humandignitytrust.org/country-profile/uzbekistan/;%20https:/ilga.org/ilga-world-maps/" TargetMode="External" Id="rId1346" /><Relationship Type="http://schemas.openxmlformats.org/officeDocument/2006/relationships/hyperlink" Target="https://ilga.org/ilga-world-maps/" TargetMode="External" Id="rId1347" /><Relationship Type="http://schemas.openxmlformats.org/officeDocument/2006/relationships/hyperlink" Target="https://en.unesco.org/artificial-intelligence/observatory/policies?country=UZ;%20https://www.unesco.org/ethics-ai/en/global-hub" TargetMode="External" Id="rId1348" /><Relationship Type="http://schemas.openxmlformats.org/officeDocument/2006/relationships/hyperlink" Target="https://unctad.org/page/data-protection-and-privacy-legislation-worldwide" TargetMode="External" Id="rId1349" /><Relationship Type="http://schemas.openxmlformats.org/officeDocument/2006/relationships/hyperlink" Target="https://www.gsma.com/solutions-and-impact/connectivity-for-good/public-policy/mobile-policy-handbook/consumer-protection/mandatory-registration-of-prepaid-sims/" TargetMode="External" Id="rId1350" /><Relationship Type="http://schemas.openxmlformats.org/officeDocument/2006/relationships/hyperlink" Target="https://unctad.org/page/data-protection-and-privacy-legislation-worldwide" TargetMode="External" Id="rId1351" /><Relationship Type="http://schemas.openxmlformats.org/officeDocument/2006/relationships/hyperlink" Target="https://unctad.org/page/data-protection-and-privacy-legislation-worldwide" TargetMode="External" Id="rId1352" /><Relationship Type="http://schemas.openxmlformats.org/officeDocument/2006/relationships/hyperlink" Target="https://unctad.org/page/data-protection-and-privacy-legislation-worldwide;%20https:/www.unicef.org/belarus/" TargetMode="External" Id="rId1353" /><Relationship Type="http://schemas.openxmlformats.org/officeDocument/2006/relationships/hyperlink" Target="https://www.unicef.org/belarus/" TargetMode="External" Id="rId1354" /><Relationship Type="http://schemas.openxmlformats.org/officeDocument/2006/relationships/hyperlink" Target="https://unctad.org/page/data-protection-and-privacy-legislation-worldwide" TargetMode="External" Id="rId1355" /><Relationship Type="http://schemas.openxmlformats.org/officeDocument/2006/relationships/hyperlink" Target="https://www.humandignitytrust.org/country-profile/belarus/;%20https:/ilga.org/ilga-world-maps/" TargetMode="External" Id="rId1356" /><Relationship Type="http://schemas.openxmlformats.org/officeDocument/2006/relationships/hyperlink" Target="https://ilga.org/ilga-world-maps/" TargetMode="External" Id="rId1357" /><Relationship Type="http://schemas.openxmlformats.org/officeDocument/2006/relationships/hyperlink" Target="https://en.unesco.org/artificial-intelligence/observatory/policies?country=BY;%20https://www.unesco.org/ethics-ai/en/global-hub" TargetMode="External" Id="rId1358" /><Relationship Type="http://schemas.openxmlformats.org/officeDocument/2006/relationships/hyperlink" Target="https://unctad.org/page/data-protection-and-privacy-legislation-worldwide" TargetMode="External" Id="rId135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360" /><Relationship Type="http://schemas.openxmlformats.org/officeDocument/2006/relationships/hyperlink" Target="https://unctad.org/page/data-protection-and-privacy-legislation-worldwide" TargetMode="External" Id="rId1361" /><Relationship Type="http://schemas.openxmlformats.org/officeDocument/2006/relationships/hyperlink" Target="https://unctad.org/page/data-protection-and-privacy-legislation-worldwide" TargetMode="External" Id="rId1362" /><Relationship Type="http://schemas.openxmlformats.org/officeDocument/2006/relationships/hyperlink" Target="https://www.unicef.org/russian-federation/" TargetMode="External" Id="rId1363" /><Relationship Type="http://schemas.openxmlformats.org/officeDocument/2006/relationships/hyperlink" Target="https://www.unicef.org/russian-federation/" TargetMode="External" Id="rId1364" /><Relationship Type="http://schemas.openxmlformats.org/officeDocument/2006/relationships/hyperlink" Target="https://unctad.org/page/data-protection-and-privacy-legislation-worldwide" TargetMode="External" Id="rId1365" /><Relationship Type="http://schemas.openxmlformats.org/officeDocument/2006/relationships/hyperlink" Target="https://www.humandignitytrust.org/country-profile/russian-federation/;%20https:/ilga.org/ilga-world-maps/" TargetMode="External" Id="rId1366" /><Relationship Type="http://schemas.openxmlformats.org/officeDocument/2006/relationships/hyperlink" Target="https://ilga.org/ilga-world-maps/" TargetMode="External" Id="rId1367" /><Relationship Type="http://schemas.openxmlformats.org/officeDocument/2006/relationships/hyperlink" Target="https://en.unesco.org/artificial-intelligence/observatory/policies?country=RU;%20https://www.unesco.org/ethics-ai/en/global-hub" TargetMode="External" Id="rId1368" /><Relationship Type="http://schemas.openxmlformats.org/officeDocument/2006/relationships/hyperlink" Target="https://unctad.org/page/data-protection-and-privacy-legislation-worldwide" TargetMode="External" Id="rId1369" /><Relationship Type="http://schemas.openxmlformats.org/officeDocument/2006/relationships/hyperlink" Target="https://www.gsma.com/solutions-and-impact/connectivity-for-good/public-policy/mobile-policy-handbook/consumer-protection/mandatory-registration-of-prepaid-sims/" TargetMode="External" Id="rId1370" /><Relationship Type="http://schemas.openxmlformats.org/officeDocument/2006/relationships/hyperlink" Target="https://idp.al/wp-content/uploads/2018/11/Law_9887_2008_EN.pdf;%20https:/www.dataguidance.com/notes/albania-data-protection-overview" TargetMode="External" Id="rId1371" /><Relationship Type="http://schemas.openxmlformats.org/officeDocument/2006/relationships/hyperlink" Target="https://idp.al/en/;%20https:/www.dataguidance.com/notes/albania-data-protection-overview" TargetMode="External" Id="rId1372" /><Relationship Type="http://schemas.openxmlformats.org/officeDocument/2006/relationships/hyperlink" Target="https://idp.al/wp-content/uploads/2018/11/Law_9887_2008_EN.pdf" TargetMode="External" Id="rId1373" /><Relationship Type="http://schemas.openxmlformats.org/officeDocument/2006/relationships/hyperlink" Target="https://www.unicef.org/albania/media/1871/file/Child%20protection%20system%20in%20Albania.pdf" TargetMode="External" Id="rId1374" /><Relationship Type="http://schemas.openxmlformats.org/officeDocument/2006/relationships/hyperlink" Target="https://idp.al/wp-content/uploads/2018/11/Law_9887_2008_EN.pdf%20(Art.%206)" TargetMode="External" Id="rId1375" /><Relationship Type="http://schemas.openxmlformats.org/officeDocument/2006/relationships/hyperlink" Target="https://www.humandignitytrust.org/country-profile/albania/;%20https:/www.ilga-europe.org/resources/news/latest-news/albania-new-anti-discrimination-law" TargetMode="External" Id="rId1376" /><Relationship Type="http://schemas.openxmlformats.org/officeDocument/2006/relationships/hyperlink" Target="https://www.ilga-europe.org/resources/news/latest-news/albania-new-anti-discrimination-law" TargetMode="External" Id="rId1377" /><Relationship Type="http://schemas.openxmlformats.org/officeDocument/2006/relationships/hyperlink" Target="https://www.digitalagenda.al/wp-content/uploads/2022/03/Digital-Agenda-Strategy-2022-2026-EN.pdf" TargetMode="External" Id="rId1378" /><Relationship Type="http://schemas.openxmlformats.org/officeDocument/2006/relationships/hyperlink" Target="https://idp.al/wp-content/uploads/2018/11/Law_9887_2008_EN.pdf;%20https:/www.dataguidance.com/notes/albania-data-protection-overview" TargetMode="External" Id="rId1379" /><Relationship Type="http://schemas.openxmlformats.org/officeDocument/2006/relationships/hyperlink" Target="https://www.gsma.com/mobilefordevelopment/resources/mandatory-sim-registration-in-albania/" TargetMode="External" Id="rId1380" /><Relationship Type="http://schemas.openxmlformats.org/officeDocument/2006/relationships/hyperlink" Target="https://apda.ad/wp-content/uploads/2021/12/LQPD-EN.pdf;%20https:/www.dataguidance.com/notes/andorra-data-protection-overview" TargetMode="External" Id="rId1381" /><Relationship Type="http://schemas.openxmlformats.org/officeDocument/2006/relationships/hyperlink" Target="https://apda.ad/;%20https:/www.dataguidance.com/notes/andorra-data-protection-overview" TargetMode="External" Id="rId1382" /><Relationship Type="http://schemas.openxmlformats.org/officeDocument/2006/relationships/hyperlink" Target="https://apda.ad/wp-content/uploads/2021/12/LQPD-EN.pdf" TargetMode="External" Id="rId1383" /><Relationship Type="http://schemas.openxmlformats.org/officeDocument/2006/relationships/hyperlink" Target="https://www.unicef.org/andorra/en/protection;%20https:/apda.ad/wp-content/uploads/2021/12/LQPD-EN.pdf" TargetMode="External" Id="rId1384" /><Relationship Type="http://schemas.openxmlformats.org/officeDocument/2006/relationships/hyperlink" Target="https://apda.ad/wp-content/uploads/2021/12/LQPD-EN.pdf%20(Art.%209)" TargetMode="External" Id="rId1385" /><Relationship Type="http://schemas.openxmlformats.org/officeDocument/2006/relationships/hyperlink" Target="https://www.humandignitytrust.org/country-profile/andorra/;%20https:/www.reuters.com/world/europe/andorra-approves-same-sex-marriage-law-2022-07-22/" TargetMode="External" Id="rId1386" /><Relationship Type="http://schemas.openxmlformats.org/officeDocument/2006/relationships/hyperlink" Target="https://ilga.org/maps-sexual-orientation-laws" TargetMode="External" Id="rId1387" /><Relationship Type="http://schemas.openxmlformats.org/officeDocument/2006/relationships/hyperlink" Target="https://www.govern.ad/comunicats/item/12363-andorra-presenta-la-seva-estrategia-nacional-de-transformacio-digital" TargetMode="External" Id="rId1388" /><Relationship Type="http://schemas.openxmlformats.org/officeDocument/2006/relationships/hyperlink" Target="https://apda.ad/wp-content/uploads/2021/12/LQPD-EN.pdf" TargetMode="External" Id="rId1389" /><Relationship Type="http://schemas.openxmlformats.org/officeDocument/2006/relationships/hyperlink" Target="https://www.gsma.com/mobilefordevelopment/resources/mandatory-sim-registration-in-andorra/" TargetMode="External" Id="rId1390" /><Relationship Type="http://schemas.openxmlformats.org/officeDocument/2006/relationships/hyperlink" Target="https://unctad.org/page/data-protection-and-privacy-legislation-worldwide" TargetMode="External" Id="rId1391" /><Relationship Type="http://schemas.openxmlformats.org/officeDocument/2006/relationships/hyperlink" Target="https://unctad.org/page/data-protection-and-privacy-legislation-worldwide" TargetMode="External" Id="rId1392" /><Relationship Type="http://schemas.openxmlformats.org/officeDocument/2006/relationships/hyperlink" Target="https://unctad.org/page/data-protection-and-privacy-legislation-worldwide;%20https:/www.unicef.org/bosnia-and-herzegovina/" TargetMode="External" Id="rId1393" /><Relationship Type="http://schemas.openxmlformats.org/officeDocument/2006/relationships/hyperlink" Target="https://www.unicef.org/bosnia-and-herzegovina/" TargetMode="External" Id="rId1394" /><Relationship Type="http://schemas.openxmlformats.org/officeDocument/2006/relationships/hyperlink" Target="https://unctad.org/page/data-protection-and-privacy-legislation-worldwide" TargetMode="External" Id="rId1395" /><Relationship Type="http://schemas.openxmlformats.org/officeDocument/2006/relationships/hyperlink" Target="https://www.humandignitytrust.org/country-profile/bosnia-and-herzegovina/;%20https:/ilga.org/ilga-world-maps/" TargetMode="External" Id="rId1396" /><Relationship Type="http://schemas.openxmlformats.org/officeDocument/2006/relationships/hyperlink" Target="https://ilga.org/ilga-world-maps/" TargetMode="External" Id="rId1397" /><Relationship Type="http://schemas.openxmlformats.org/officeDocument/2006/relationships/hyperlink" Target="https://en.unesco.org/artificial-intelligence/observatory/policies?country=BA;%20https://www.unesco.org/ethics-ai/en/global-hub" TargetMode="External" Id="rId1398" /><Relationship Type="http://schemas.openxmlformats.org/officeDocument/2006/relationships/hyperlink" Target="https://unctad.org/page/data-protection-and-privacy-legislation-worldwide" TargetMode="External" Id="rId139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400" /><Relationship Type="http://schemas.openxmlformats.org/officeDocument/2006/relationships/hyperlink" Target="https://unctad.org/page/data-protection-and-privacy-legislation-worldwide" TargetMode="External" Id="rId1401" /><Relationship Type="http://schemas.openxmlformats.org/officeDocument/2006/relationships/hyperlink" Target="https://unctad.org/page/data-protection-and-privacy-legislation-worldwide" TargetMode="External" Id="rId1402" /><Relationship Type="http://schemas.openxmlformats.org/officeDocument/2006/relationships/hyperlink" Target="https://unctad.org/page/data-protection-and-privacy-legislation-worldwide;%20https:/www.unicef.org/iceland/" TargetMode="External" Id="rId1403" /><Relationship Type="http://schemas.openxmlformats.org/officeDocument/2006/relationships/hyperlink" Target="https://www.unicef.org/iceland/" TargetMode="External" Id="rId1404" /><Relationship Type="http://schemas.openxmlformats.org/officeDocument/2006/relationships/hyperlink" Target="https://unctad.org/page/data-protection-and-privacy-legislation-worldwide" TargetMode="External" Id="rId1405" /><Relationship Type="http://schemas.openxmlformats.org/officeDocument/2006/relationships/hyperlink" Target="https://www.humandignitytrust.org/country-profile/iceland/;%20https:/ilga.org/ilga-world-maps/" TargetMode="External" Id="rId1406" /><Relationship Type="http://schemas.openxmlformats.org/officeDocument/2006/relationships/hyperlink" Target="https://ilga.org/ilga-world-maps/" TargetMode="External" Id="rId1407" /><Relationship Type="http://schemas.openxmlformats.org/officeDocument/2006/relationships/hyperlink" Target="https://en.unesco.org/artificial-intelligence/observatory/policies?country=IS;%20https://www.unesco.org/ethics-ai/en/global-hub" TargetMode="External" Id="rId1408" /><Relationship Type="http://schemas.openxmlformats.org/officeDocument/2006/relationships/hyperlink" Target="https://unctad.org/page/data-protection-and-privacy-legislation-worldwide" TargetMode="External" Id="rId140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410" /><Relationship Type="http://schemas.openxmlformats.org/officeDocument/2006/relationships/hyperlink" Target="https://unctad.org/page/data-protection-and-privacy-legislation-worldwide" TargetMode="External" Id="rId1411" /><Relationship Type="http://schemas.openxmlformats.org/officeDocument/2006/relationships/hyperlink" Target="https://unctad.org/page/data-protection-and-privacy-legislation-worldwide" TargetMode="External" Id="rId1412" /><Relationship Type="http://schemas.openxmlformats.org/officeDocument/2006/relationships/hyperlink" Target="https://unctad.org/page/data-protection-and-privacy-legislation-worldwide;%20https:/www.unicef.org/liechtenstein/" TargetMode="External" Id="rId1413" /><Relationship Type="http://schemas.openxmlformats.org/officeDocument/2006/relationships/hyperlink" Target="https://www.unicef.org/liechtenstein/" TargetMode="External" Id="rId1414" /><Relationship Type="http://schemas.openxmlformats.org/officeDocument/2006/relationships/hyperlink" Target="https://unctad.org/page/data-protection-and-privacy-legislation-worldwide" TargetMode="External" Id="rId1415" /><Relationship Type="http://schemas.openxmlformats.org/officeDocument/2006/relationships/hyperlink" Target="https://www.humandignitytrust.org/country-profile/liechtenstein/;%20https:/ilga.org/ilga-world-maps/" TargetMode="External" Id="rId1416" /><Relationship Type="http://schemas.openxmlformats.org/officeDocument/2006/relationships/hyperlink" Target="https://ilga.org/ilga-world-maps/" TargetMode="External" Id="rId1417" /><Relationship Type="http://schemas.openxmlformats.org/officeDocument/2006/relationships/hyperlink" Target="https://en.unesco.org/artificial-intelligence/observatory/policies?country=LI;%20https://www.unesco.org/ethics-ai/en/global-hub" TargetMode="External" Id="rId1418" /><Relationship Type="http://schemas.openxmlformats.org/officeDocument/2006/relationships/hyperlink" Target="https://unctad.org/page/data-protection-and-privacy-legislation-worldwide" TargetMode="External" Id="rId141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420" /><Relationship Type="http://schemas.openxmlformats.org/officeDocument/2006/relationships/hyperlink" Target="https://unctad.org/page/data-protection-and-privacy-legislation-worldwide" TargetMode="External" Id="rId1421" /><Relationship Type="http://schemas.openxmlformats.org/officeDocument/2006/relationships/hyperlink" Target="https://unctad.org/page/data-protection-and-privacy-legislation-worldwide" TargetMode="External" Id="rId1422" /><Relationship Type="http://schemas.openxmlformats.org/officeDocument/2006/relationships/hyperlink" Target="https://unctad.org/page/data-protection-and-privacy-legislation-worldwide;%20https:/www.unicef.org/monaco/" TargetMode="External" Id="rId1423" /><Relationship Type="http://schemas.openxmlformats.org/officeDocument/2006/relationships/hyperlink" Target="https://www.unicef.org/monaco/" TargetMode="External" Id="rId1424" /><Relationship Type="http://schemas.openxmlformats.org/officeDocument/2006/relationships/hyperlink" Target="https://unctad.org/page/data-protection-and-privacy-legislation-worldwide" TargetMode="External" Id="rId1425" /><Relationship Type="http://schemas.openxmlformats.org/officeDocument/2006/relationships/hyperlink" Target="https://www.humandignitytrust.org/country-profile/monaco/;%20https:/ilga.org/ilga-world-maps/" TargetMode="External" Id="rId1426" /><Relationship Type="http://schemas.openxmlformats.org/officeDocument/2006/relationships/hyperlink" Target="https://ilga.org/ilga-world-maps/" TargetMode="External" Id="rId1427" /><Relationship Type="http://schemas.openxmlformats.org/officeDocument/2006/relationships/hyperlink" Target="https://en.unesco.org/artificial-intelligence/observatory/policies?country=MC;%20https://www.unesco.org/ethics-ai/en/global-hub" TargetMode="External" Id="rId1428" /><Relationship Type="http://schemas.openxmlformats.org/officeDocument/2006/relationships/hyperlink" Target="https://unctad.org/page/data-protection-and-privacy-legislation-worldwide" TargetMode="External" Id="rId1429" /><Relationship Type="http://schemas.openxmlformats.org/officeDocument/2006/relationships/hyperlink" Target="https://www.gsma.com/solutions-and-impact/connectivity-for-good/public-policy/mobile-policy-handbook/consumer-protection/mandatory-registration-of-prepaid-sims/" TargetMode="External" Id="rId1430" /><Relationship Type="http://schemas.openxmlformats.org/officeDocument/2006/relationships/hyperlink" Target="https://unctad.org/page/data-protection-and-privacy-legislation-worldwide" TargetMode="External" Id="rId1431" /><Relationship Type="http://schemas.openxmlformats.org/officeDocument/2006/relationships/hyperlink" Target="https://unctad.org/page/data-protection-and-privacy-legislation-worldwide" TargetMode="External" Id="rId1432" /><Relationship Type="http://schemas.openxmlformats.org/officeDocument/2006/relationships/hyperlink" Target="https://unctad.org/page/data-protection-and-privacy-legislation-worldwide;%20https:/www.unicef.org/montenegro/" TargetMode="External" Id="rId1433" /><Relationship Type="http://schemas.openxmlformats.org/officeDocument/2006/relationships/hyperlink" Target="https://www.unicef.org/montenegro/" TargetMode="External" Id="rId1434" /><Relationship Type="http://schemas.openxmlformats.org/officeDocument/2006/relationships/hyperlink" Target="https://unctad.org/page/data-protection-and-privacy-legislation-worldwide" TargetMode="External" Id="rId1435" /><Relationship Type="http://schemas.openxmlformats.org/officeDocument/2006/relationships/hyperlink" Target="https://www.humandignitytrust.org/country-profile/montenegro/;%20https:/ilga.org/ilga-world-maps/" TargetMode="External" Id="rId1436" /><Relationship Type="http://schemas.openxmlformats.org/officeDocument/2006/relationships/hyperlink" Target="https://ilga.org/ilga-world-maps/" TargetMode="External" Id="rId1437" /><Relationship Type="http://schemas.openxmlformats.org/officeDocument/2006/relationships/hyperlink" Target="https://en.unesco.org/artificial-intelligence/observatory/policies?country=ME;%20https://www.unesco.org/ethics-ai/en/global-hub" TargetMode="External" Id="rId1438" /><Relationship Type="http://schemas.openxmlformats.org/officeDocument/2006/relationships/hyperlink" Target="https://unctad.org/page/data-protection-and-privacy-legislation-worldwide" TargetMode="External" Id="rId1439" /><Relationship Type="http://schemas.openxmlformats.org/officeDocument/2006/relationships/hyperlink" Target="https://www.gsma.com/solutions-and-impact/connectivity-for-good/public-policy/mobile-policy-handbook/consumer-protection/mandatory-registration-of-prepaid-sims/" TargetMode="External" Id="rId1440" /><Relationship Type="http://schemas.openxmlformats.org/officeDocument/2006/relationships/hyperlink" Target="https://unctad.org/page/data-protection-and-privacy-legislation-worldwide" TargetMode="External" Id="rId1441" /><Relationship Type="http://schemas.openxmlformats.org/officeDocument/2006/relationships/hyperlink" Target="https://unctad.org/page/data-protection-and-privacy-legislation-worldwide" TargetMode="External" Id="rId1442" /><Relationship Type="http://schemas.openxmlformats.org/officeDocument/2006/relationships/hyperlink" Target="https://unctad.org/page/data-protection-and-privacy-legislation-worldwide;%20https:/www.unicef.org/north-macedonia/" TargetMode="External" Id="rId1443" /><Relationship Type="http://schemas.openxmlformats.org/officeDocument/2006/relationships/hyperlink" Target="https://www.unicef.org/north-macedonia/" TargetMode="External" Id="rId1444" /><Relationship Type="http://schemas.openxmlformats.org/officeDocument/2006/relationships/hyperlink" Target="https://unctad.org/page/data-protection-and-privacy-legislation-worldwide" TargetMode="External" Id="rId1445" /><Relationship Type="http://schemas.openxmlformats.org/officeDocument/2006/relationships/hyperlink" Target="https://www.humandignitytrust.org/country-profile/north-macedonia/;%20https:/ilga.org/ilga-world-maps/" TargetMode="External" Id="rId1446" /><Relationship Type="http://schemas.openxmlformats.org/officeDocument/2006/relationships/hyperlink" Target="https://ilga.org/ilga-world-maps/" TargetMode="External" Id="rId1447" /><Relationship Type="http://schemas.openxmlformats.org/officeDocument/2006/relationships/hyperlink" Target="https://en.unesco.org/artificial-intelligence/observatory/policies?country=MK;%20https://www.unesco.org/ethics-ai/en/global-hub" TargetMode="External" Id="rId1448" /><Relationship Type="http://schemas.openxmlformats.org/officeDocument/2006/relationships/hyperlink" Target="https://unctad.org/page/data-protection-and-privacy-legislation-worldwide" TargetMode="External" Id="rId1449" /><Relationship Type="http://schemas.openxmlformats.org/officeDocument/2006/relationships/hyperlink" Target="https://www.gsma.com/solutions-and-impact/connectivity-for-good/public-policy/mobile-policy-handbook/consumer-protection/mandatory-registration-of-prepaid-sims/" TargetMode="External" Id="rId1450" /><Relationship Type="http://schemas.openxmlformats.org/officeDocument/2006/relationships/hyperlink" Target="https://unctad.org/page/data-protection-and-privacy-legislation-worldwide" TargetMode="External" Id="rId1451" /><Relationship Type="http://schemas.openxmlformats.org/officeDocument/2006/relationships/hyperlink" Target="https://unctad.org/page/data-protection-and-privacy-legislation-worldwide" TargetMode="External" Id="rId1452" /><Relationship Type="http://schemas.openxmlformats.org/officeDocument/2006/relationships/hyperlink" Target="https://unctad.org/page/data-protection-and-privacy-legislation-worldwide;%20https:/www.unicef.org/norway/" TargetMode="External" Id="rId1453" /><Relationship Type="http://schemas.openxmlformats.org/officeDocument/2006/relationships/hyperlink" Target="https://www.unicef.org/norway/" TargetMode="External" Id="rId1454" /><Relationship Type="http://schemas.openxmlformats.org/officeDocument/2006/relationships/hyperlink" Target="https://unctad.org/page/data-protection-and-privacy-legislation-worldwide" TargetMode="External" Id="rId1455" /><Relationship Type="http://schemas.openxmlformats.org/officeDocument/2006/relationships/hyperlink" Target="https://www.humandignitytrust.org/country-profile/norway/;%20https:/ilga.org/ilga-world-maps/" TargetMode="External" Id="rId1456" /><Relationship Type="http://schemas.openxmlformats.org/officeDocument/2006/relationships/hyperlink" Target="https://ilga.org/ilga-world-maps/" TargetMode="External" Id="rId1457" /><Relationship Type="http://schemas.openxmlformats.org/officeDocument/2006/relationships/hyperlink" Target="https://en.unesco.org/artificial-intelligence/observatory/policies?country=NO;%20https://www.unesco.org/ethics-ai/en/global-hub" TargetMode="External" Id="rId1458" /><Relationship Type="http://schemas.openxmlformats.org/officeDocument/2006/relationships/hyperlink" Target="https://unctad.org/page/data-protection-and-privacy-legislation-worldwide" TargetMode="External" Id="rId1459" /><Relationship Type="http://schemas.openxmlformats.org/officeDocument/2006/relationships/hyperlink" Target="https://www.gsma.com/solutions-and-impact/connectivity-for-good/public-policy/mobile-policy-handbook/consumer-protection/mandatory-registration-of-prepaid-sims/" TargetMode="External" Id="rId1460" /><Relationship Type="http://schemas.openxmlformats.org/officeDocument/2006/relationships/hyperlink" Target="https://unctad.org/page/data-protection-and-privacy-legislation-worldwide" TargetMode="External" Id="rId1461" /><Relationship Type="http://schemas.openxmlformats.org/officeDocument/2006/relationships/hyperlink" Target="https://unctad.org/page/data-protection-and-privacy-legislation-worldwide" TargetMode="External" Id="rId1462" /><Relationship Type="http://schemas.openxmlformats.org/officeDocument/2006/relationships/hyperlink" Target="https://unctad.org/page/data-protection-and-privacy-legislation-worldwide;%20https:/www.unicef.org/republic-of-moldova/" TargetMode="External" Id="rId1463" /><Relationship Type="http://schemas.openxmlformats.org/officeDocument/2006/relationships/hyperlink" Target="https://www.unicef.org/republic-of-moldova/" TargetMode="External" Id="rId1464" /><Relationship Type="http://schemas.openxmlformats.org/officeDocument/2006/relationships/hyperlink" Target="https://unctad.org/page/data-protection-and-privacy-legislation-worldwide" TargetMode="External" Id="rId1465" /><Relationship Type="http://schemas.openxmlformats.org/officeDocument/2006/relationships/hyperlink" Target="https://www.humandignitytrust.org/country-profile/republic-of-moldova/;%20https:/ilga.org/ilga-world-maps/" TargetMode="External" Id="rId1466" /><Relationship Type="http://schemas.openxmlformats.org/officeDocument/2006/relationships/hyperlink" Target="https://ilga.org/ilga-world-maps/" TargetMode="External" Id="rId1467" /><Relationship Type="http://schemas.openxmlformats.org/officeDocument/2006/relationships/hyperlink" Target="https://en.unesco.org/artificial-intelligence/observatory/policies?country=MD;%20https://www.unesco.org/ethics-ai/en/global-hub" TargetMode="External" Id="rId1468" /><Relationship Type="http://schemas.openxmlformats.org/officeDocument/2006/relationships/hyperlink" Target="https://unctad.org/page/data-protection-and-privacy-legislation-worldwide" TargetMode="External" Id="rId1469" /><Relationship Type="http://schemas.openxmlformats.org/officeDocument/2006/relationships/hyperlink" Target="https://www.gsma.com/solutions-and-impact/connectivity-for-good/public-policy/mobile-policy-handbook/consumer-protection/mandatory-registration-of-prepaid-sims/" TargetMode="External" Id="rId1470" /><Relationship Type="http://schemas.openxmlformats.org/officeDocument/2006/relationships/hyperlink" Target="https://unctad.org/page/data-protection-and-privacy-legislation-worldwide" TargetMode="External" Id="rId1471" /><Relationship Type="http://schemas.openxmlformats.org/officeDocument/2006/relationships/hyperlink" Target="https://unctad.org/page/data-protection-and-privacy-legislation-worldwide" TargetMode="External" Id="rId1472" /><Relationship Type="http://schemas.openxmlformats.org/officeDocument/2006/relationships/hyperlink" Target="https://unctad.org/page/data-protection-and-privacy-legislation-worldwide;%20https:/www.unicef.org/san-marino/" TargetMode="External" Id="rId1473" /><Relationship Type="http://schemas.openxmlformats.org/officeDocument/2006/relationships/hyperlink" Target="https://www.unicef.org/san-marino/" TargetMode="External" Id="rId1474" /><Relationship Type="http://schemas.openxmlformats.org/officeDocument/2006/relationships/hyperlink" Target="https://unctad.org/page/data-protection-and-privacy-legislation-worldwide" TargetMode="External" Id="rId1475" /><Relationship Type="http://schemas.openxmlformats.org/officeDocument/2006/relationships/hyperlink" Target="https://www.humandignitytrust.org/country-profile/san-marino/;%20https:/ilga.org/ilga-world-maps/" TargetMode="External" Id="rId1476" /><Relationship Type="http://schemas.openxmlformats.org/officeDocument/2006/relationships/hyperlink" Target="https://ilga.org/ilga-world-maps/" TargetMode="External" Id="rId1477" /><Relationship Type="http://schemas.openxmlformats.org/officeDocument/2006/relationships/hyperlink" Target="https://en.unesco.org/artificial-intelligence/observatory/policies?country=SM;%20https://www.unesco.org/ethics-ai/en/global-hub" TargetMode="External" Id="rId1478" /><Relationship Type="http://schemas.openxmlformats.org/officeDocument/2006/relationships/hyperlink" Target="https://unctad.org/page/data-protection-and-privacy-legislation-worldwide" TargetMode="External" Id="rId1479" /><Relationship Type="http://schemas.openxmlformats.org/officeDocument/2006/relationships/hyperlink" Target="https://www.gsma.com/solutions-and-impact/connectivity-for-good/public-policy/mobile-policy-handbook/consumer-protection/mandatory-registration-of-prepaid-sims/" TargetMode="External" Id="rId1480" /><Relationship Type="http://schemas.openxmlformats.org/officeDocument/2006/relationships/hyperlink" Target="https://unctad.org/page/data-protection-and-privacy-legislation-worldwide" TargetMode="External" Id="rId1481" /><Relationship Type="http://schemas.openxmlformats.org/officeDocument/2006/relationships/hyperlink" Target="https://unctad.org/page/data-protection-and-privacy-legislation-worldwide" TargetMode="External" Id="rId1482" /><Relationship Type="http://schemas.openxmlformats.org/officeDocument/2006/relationships/hyperlink" Target="https://unctad.org/page/data-protection-and-privacy-legislation-worldwide;%20https:/www.unicef.org/serbia/" TargetMode="External" Id="rId1483" /><Relationship Type="http://schemas.openxmlformats.org/officeDocument/2006/relationships/hyperlink" Target="https://www.unicef.org/serbia/" TargetMode="External" Id="rId1484" /><Relationship Type="http://schemas.openxmlformats.org/officeDocument/2006/relationships/hyperlink" Target="https://unctad.org/page/data-protection-and-privacy-legislation-worldwide" TargetMode="External" Id="rId1485" /><Relationship Type="http://schemas.openxmlformats.org/officeDocument/2006/relationships/hyperlink" Target="https://www.humandignitytrust.org/country-profile/serbia/;%20https:/ilga.org/ilga-world-maps/" TargetMode="External" Id="rId1486" /><Relationship Type="http://schemas.openxmlformats.org/officeDocument/2006/relationships/hyperlink" Target="https://ilga.org/ilga-world-maps/" TargetMode="External" Id="rId1487" /><Relationship Type="http://schemas.openxmlformats.org/officeDocument/2006/relationships/hyperlink" Target="https://en.unesco.org/artificial-intelligence/observatory/policies?country=RS;%20https://www.unesco.org/ethics-ai/en/global-hub" TargetMode="External" Id="rId1488" /><Relationship Type="http://schemas.openxmlformats.org/officeDocument/2006/relationships/hyperlink" Target="https://unctad.org/page/data-protection-and-privacy-legislation-worldwide" TargetMode="External" Id="rId1489" /><Relationship Type="http://schemas.openxmlformats.org/officeDocument/2006/relationships/hyperlink" Target="https://www.gsma.com/solutions-and-impact/connectivity-for-good/public-policy/mobile-policy-handbook/consumer-protection/mandatory-registration-of-prepaid-sims/" TargetMode="External" Id="rId1490" /><Relationship Type="http://schemas.openxmlformats.org/officeDocument/2006/relationships/hyperlink" Target="https://unctad.org/page/data-protection-and-privacy-legislation-worldwide" TargetMode="External" Id="rId1491" /><Relationship Type="http://schemas.openxmlformats.org/officeDocument/2006/relationships/hyperlink" Target="https://unctad.org/page/data-protection-and-privacy-legislation-worldwide" TargetMode="External" Id="rId1492" /><Relationship Type="http://schemas.openxmlformats.org/officeDocument/2006/relationships/hyperlink" Target="https://unctad.org/page/data-protection-and-privacy-legislation-worldwide;%20https:/www.unicef.org/switzerland/" TargetMode="External" Id="rId1493" /><Relationship Type="http://schemas.openxmlformats.org/officeDocument/2006/relationships/hyperlink" Target="https://www.unicef.org/switzerland/" TargetMode="External" Id="rId1494" /><Relationship Type="http://schemas.openxmlformats.org/officeDocument/2006/relationships/hyperlink" Target="https://unctad.org/page/data-protection-and-privacy-legislation-worldwide" TargetMode="External" Id="rId1495" /><Relationship Type="http://schemas.openxmlformats.org/officeDocument/2006/relationships/hyperlink" Target="https://www.humandignitytrust.org/country-profile/switzerland/;%20https:/ilga.org/ilga-world-maps/" TargetMode="External" Id="rId1496" /><Relationship Type="http://schemas.openxmlformats.org/officeDocument/2006/relationships/hyperlink" Target="https://ilga.org/ilga-world-maps/" TargetMode="External" Id="rId1497" /><Relationship Type="http://schemas.openxmlformats.org/officeDocument/2006/relationships/hyperlink" Target="https://en.unesco.org/artificial-intelligence/observatory/policies?country=CH;%20https://www.unesco.org/ethics-ai/en/global-hub" TargetMode="External" Id="rId1498" /><Relationship Type="http://schemas.openxmlformats.org/officeDocument/2006/relationships/hyperlink" Target="https://unctad.org/page/data-protection-and-privacy-legislation-worldwide" TargetMode="External" Id="rId1499" /><Relationship Type="http://schemas.openxmlformats.org/officeDocument/2006/relationships/hyperlink" Target="https://www.gsma.com/solutions-and-impact/connectivity-for-good/public-policy/mobile-policy-handbook/consumer-protection/mandatory-registration-of-prepaid-sims/" TargetMode="External" Id="rId1500" /><Relationship Type="http://schemas.openxmlformats.org/officeDocument/2006/relationships/hyperlink" Target="https://unctad.org/page/data-protection-and-privacy-legislation-worldwide" TargetMode="External" Id="rId1501" /><Relationship Type="http://schemas.openxmlformats.org/officeDocument/2006/relationships/hyperlink" Target="https://unctad.org/page/data-protection-and-privacy-legislation-worldwide" TargetMode="External" Id="rId1502" /><Relationship Type="http://schemas.openxmlformats.org/officeDocument/2006/relationships/hyperlink" Target="https://unctad.org/page/data-protection-and-privacy-legislation-worldwide;%20https:/www.unicef.org/turkiye/" TargetMode="External" Id="rId1503" /><Relationship Type="http://schemas.openxmlformats.org/officeDocument/2006/relationships/hyperlink" Target="https://www.unicef.org/turkiye/" TargetMode="External" Id="rId1504" /><Relationship Type="http://schemas.openxmlformats.org/officeDocument/2006/relationships/hyperlink" Target="https://unctad.org/page/data-protection-and-privacy-legislation-worldwide" TargetMode="External" Id="rId1505" /><Relationship Type="http://schemas.openxmlformats.org/officeDocument/2006/relationships/hyperlink" Target="https://www.humandignitytrust.org/country-profile/turkiye/;%20https:/ilga.org/ilga-world-maps/" TargetMode="External" Id="rId1506" /><Relationship Type="http://schemas.openxmlformats.org/officeDocument/2006/relationships/hyperlink" Target="https://ilga.org/ilga-world-maps/" TargetMode="External" Id="rId1507" /><Relationship Type="http://schemas.openxmlformats.org/officeDocument/2006/relationships/hyperlink" Target="https://www.unesco.org/ethics-ai/en/global-hub" TargetMode="External" Id="rId1508" /><Relationship Type="http://schemas.openxmlformats.org/officeDocument/2006/relationships/hyperlink" Target="https://unctad.org/page/data-protection-and-privacy-legislation-worldwide" TargetMode="External" Id="rId1509" /><Relationship Type="http://schemas.openxmlformats.org/officeDocument/2006/relationships/hyperlink" Target="https://www.gsma.com/solutions-and-impact/connectivity-for-good/public-policy/mobile-policy-handbook/consumer-protection/mandatory-registration-of-prepaid-sims/" TargetMode="External" Id="rId1510" /><Relationship Type="http://schemas.openxmlformats.org/officeDocument/2006/relationships/hyperlink" Target="https://unctad.org/page/data-protection-and-privacy-legislation-worldwide" TargetMode="External" Id="rId1511" /><Relationship Type="http://schemas.openxmlformats.org/officeDocument/2006/relationships/hyperlink" Target="https://unctad.org/page/data-protection-and-privacy-legislation-worldwide" TargetMode="External" Id="rId1512" /><Relationship Type="http://schemas.openxmlformats.org/officeDocument/2006/relationships/hyperlink" Target="https://unctad.org/page/data-protection-and-privacy-legislation-worldwide;%20https:/www.unicef.org/ukraine/" TargetMode="External" Id="rId1513" /><Relationship Type="http://schemas.openxmlformats.org/officeDocument/2006/relationships/hyperlink" Target="https://www.unicef.org/ukraine/" TargetMode="External" Id="rId1514" /><Relationship Type="http://schemas.openxmlformats.org/officeDocument/2006/relationships/hyperlink" Target="https://unctad.org/page/data-protection-and-privacy-legislation-worldwide" TargetMode="External" Id="rId1515" /><Relationship Type="http://schemas.openxmlformats.org/officeDocument/2006/relationships/hyperlink" Target="https://www.humandignitytrust.org/country-profile/ukraine/;%20https:/ilga.org/ilga-world-maps/" TargetMode="External" Id="rId1516" /><Relationship Type="http://schemas.openxmlformats.org/officeDocument/2006/relationships/hyperlink" Target="https://ilga.org/ilga-world-maps/" TargetMode="External" Id="rId1517" /><Relationship Type="http://schemas.openxmlformats.org/officeDocument/2006/relationships/hyperlink" Target="https://en.unesco.org/artificial-intelligence/observatory/policies?country=UA;%20https://www.unesco.org/ethics-ai/en/global-hub" TargetMode="External" Id="rId1518" /><Relationship Type="http://schemas.openxmlformats.org/officeDocument/2006/relationships/hyperlink" Target="https://unctad.org/page/data-protection-and-privacy-legislation-worldwide" TargetMode="External" Id="rId1519" /><Relationship Type="http://schemas.openxmlformats.org/officeDocument/2006/relationships/hyperlink" Target="https://www.gsma.com/solutions-and-impact/connectivity-for-good/public-policy/mobile-policy-handbook/consumer-protection/mandatory-registration-of-prepaid-sims/" TargetMode="External" Id="rId1520" /><Relationship Type="http://schemas.openxmlformats.org/officeDocument/2006/relationships/hyperlink" Target="https://unctad.org/page/data-protection-and-privacy-legislation-worldwide" TargetMode="External" Id="rId1521" /><Relationship Type="http://schemas.openxmlformats.org/officeDocument/2006/relationships/hyperlink" Target="https://unctad.org/page/data-protection-and-privacy-legislation-worldwide" TargetMode="External" Id="rId1522" /><Relationship Type="http://schemas.openxmlformats.org/officeDocument/2006/relationships/hyperlink" Target="https://unctad.org/page/data-protection-and-privacy-legislation-worldwide;%20https:/www.unicef.org/austria/" TargetMode="External" Id="rId1523" /><Relationship Type="http://schemas.openxmlformats.org/officeDocument/2006/relationships/hyperlink" Target="https://www.unicef.org/austria/" TargetMode="External" Id="rId1524" /><Relationship Type="http://schemas.openxmlformats.org/officeDocument/2006/relationships/hyperlink" Target="https://unctad.org/page/data-protection-and-privacy-legislation-worldwide" TargetMode="External" Id="rId1525" /><Relationship Type="http://schemas.openxmlformats.org/officeDocument/2006/relationships/hyperlink" Target="https://www.humandignitytrust.org/country-profile/austria/;%20https:/ilga.org/ilga-world-maps/" TargetMode="External" Id="rId1526" /><Relationship Type="http://schemas.openxmlformats.org/officeDocument/2006/relationships/hyperlink" Target="https://ilga.org/ilga-world-maps/" TargetMode="External" Id="rId1527" /><Relationship Type="http://schemas.openxmlformats.org/officeDocument/2006/relationships/hyperlink" Target="https://en.unesco.org/artificial-intelligence/observatory/policies?country=AT;%20https://www.unesco.org/ethics-ai/en/global-hub" TargetMode="External" Id="rId1528" /><Relationship Type="http://schemas.openxmlformats.org/officeDocument/2006/relationships/hyperlink" Target="https://gdpr-info.eu/art-35-gdpr/" TargetMode="External" Id="rId152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530" /><Relationship Type="http://schemas.openxmlformats.org/officeDocument/2006/relationships/hyperlink" Target="https://unctad.org/page/data-protection-and-privacy-legislation-worldwide" TargetMode="External" Id="rId1531" /><Relationship Type="http://schemas.openxmlformats.org/officeDocument/2006/relationships/hyperlink" Target="https://unctad.org/page/data-protection-and-privacy-legislation-worldwide" TargetMode="External" Id="rId1532" /><Relationship Type="http://schemas.openxmlformats.org/officeDocument/2006/relationships/hyperlink" Target="https://unctad.org/page/data-protection-and-privacy-legislation-worldwide;%20https:/www.unicef.org/belgium/" TargetMode="External" Id="rId1533" /><Relationship Type="http://schemas.openxmlformats.org/officeDocument/2006/relationships/hyperlink" Target="https://www.unicef.org/belgium/" TargetMode="External" Id="rId1534" /><Relationship Type="http://schemas.openxmlformats.org/officeDocument/2006/relationships/hyperlink" Target="https://unctad.org/page/data-protection-and-privacy-legislation-worldwide" TargetMode="External" Id="rId1535" /><Relationship Type="http://schemas.openxmlformats.org/officeDocument/2006/relationships/hyperlink" Target="https://www.humandignitytrust.org/country-profile/belgium/;%20https:/ilga.org/ilga-world-maps/" TargetMode="External" Id="rId1536" /><Relationship Type="http://schemas.openxmlformats.org/officeDocument/2006/relationships/hyperlink" Target="https://ilga.org/ilga-world-maps/" TargetMode="External" Id="rId1537" /><Relationship Type="http://schemas.openxmlformats.org/officeDocument/2006/relationships/hyperlink" Target="https://en.unesco.org/artificial-intelligence/observatory/policies?country=BE;%20https://www.unesco.org/ethics-ai/en/global-hub" TargetMode="External" Id="rId1538" /><Relationship Type="http://schemas.openxmlformats.org/officeDocument/2006/relationships/hyperlink" Target="https://gdpr-info.eu/art-35-gdpr/" TargetMode="External" Id="rId153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540" /><Relationship Type="http://schemas.openxmlformats.org/officeDocument/2006/relationships/hyperlink" Target="https://unctad.org/page/data-protection-and-privacy-legislation-worldwide" TargetMode="External" Id="rId1541" /><Relationship Type="http://schemas.openxmlformats.org/officeDocument/2006/relationships/hyperlink" Target="https://unctad.org/page/data-protection-and-privacy-legislation-worldwide" TargetMode="External" Id="rId1542" /><Relationship Type="http://schemas.openxmlformats.org/officeDocument/2006/relationships/hyperlink" Target="https://unctad.org/page/data-protection-and-privacy-legislation-worldwide;%20https:/www.unicef.org/bulgaria/" TargetMode="External" Id="rId1543" /><Relationship Type="http://schemas.openxmlformats.org/officeDocument/2006/relationships/hyperlink" Target="https://www.unicef.org/bulgaria/" TargetMode="External" Id="rId1544" /><Relationship Type="http://schemas.openxmlformats.org/officeDocument/2006/relationships/hyperlink" Target="https://unctad.org/page/data-protection-and-privacy-legislation-worldwide" TargetMode="External" Id="rId1545" /><Relationship Type="http://schemas.openxmlformats.org/officeDocument/2006/relationships/hyperlink" Target="https://www.humandignitytrust.org/country-profile/bulgaria/;%20https:/ilga.org/ilga-world-maps/" TargetMode="External" Id="rId1546" /><Relationship Type="http://schemas.openxmlformats.org/officeDocument/2006/relationships/hyperlink" Target="https://ilga.org/ilga-world-maps/" TargetMode="External" Id="rId1547" /><Relationship Type="http://schemas.openxmlformats.org/officeDocument/2006/relationships/hyperlink" Target="https://en.unesco.org/artificial-intelligence/observatory/policies?country=BG;%20https://www.unesco.org/ethics-ai/en/global-hub" TargetMode="External" Id="rId1548" /><Relationship Type="http://schemas.openxmlformats.org/officeDocument/2006/relationships/hyperlink" Target="https://gdpr-info.eu/art-35-gdpr/" TargetMode="External" Id="rId154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550" /><Relationship Type="http://schemas.openxmlformats.org/officeDocument/2006/relationships/hyperlink" Target="https://unctad.org/page/data-protection-and-privacy-legislation-worldwide" TargetMode="External" Id="rId1551" /><Relationship Type="http://schemas.openxmlformats.org/officeDocument/2006/relationships/hyperlink" Target="https://unctad.org/page/data-protection-and-privacy-legislation-worldwide" TargetMode="External" Id="rId1552" /><Relationship Type="http://schemas.openxmlformats.org/officeDocument/2006/relationships/hyperlink" Target="https://unctad.org/page/data-protection-and-privacy-legislation-worldwide;%20https:/www.unicef.org/croatia/" TargetMode="External" Id="rId1553" /><Relationship Type="http://schemas.openxmlformats.org/officeDocument/2006/relationships/hyperlink" Target="https://www.unicef.org/croatia/" TargetMode="External" Id="rId1554" /><Relationship Type="http://schemas.openxmlformats.org/officeDocument/2006/relationships/hyperlink" Target="https://unctad.org/page/data-protection-and-privacy-legislation-worldwide" TargetMode="External" Id="rId1555" /><Relationship Type="http://schemas.openxmlformats.org/officeDocument/2006/relationships/hyperlink" Target="https://www.humandignitytrust.org/country-profile/croatia/;%20https:/ilga.org/ilga-world-maps/" TargetMode="External" Id="rId1556" /><Relationship Type="http://schemas.openxmlformats.org/officeDocument/2006/relationships/hyperlink" Target="https://ilga.org/ilga-world-maps/" TargetMode="External" Id="rId1557" /><Relationship Type="http://schemas.openxmlformats.org/officeDocument/2006/relationships/hyperlink" Target="https://en.unesco.org/artificial-intelligence/observatory/policies?country=HR;%20https://www.unesco.org/ethics-ai/en/global-hub" TargetMode="External" Id="rId1558" /><Relationship Type="http://schemas.openxmlformats.org/officeDocument/2006/relationships/hyperlink" Target="https://gdpr-info.eu/art-35-gdpr/" TargetMode="External" Id="rId155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560" /><Relationship Type="http://schemas.openxmlformats.org/officeDocument/2006/relationships/hyperlink" Target="https://unctad.org/page/data-protection-and-privacy-legislation-worldwide" TargetMode="External" Id="rId1561" /><Relationship Type="http://schemas.openxmlformats.org/officeDocument/2006/relationships/hyperlink" Target="https://unctad.org/page/data-protection-and-privacy-legislation-worldwide" TargetMode="External" Id="rId1562" /><Relationship Type="http://schemas.openxmlformats.org/officeDocument/2006/relationships/hyperlink" Target="https://unctad.org/page/data-protection-and-privacy-legislation-worldwide;%20https:/www.unicef.org/cyprus/" TargetMode="External" Id="rId1563" /><Relationship Type="http://schemas.openxmlformats.org/officeDocument/2006/relationships/hyperlink" Target="https://www.unicef.org/cyprus/" TargetMode="External" Id="rId1564" /><Relationship Type="http://schemas.openxmlformats.org/officeDocument/2006/relationships/hyperlink" Target="https://unctad.org/page/data-protection-and-privacy-legislation-worldwide" TargetMode="External" Id="rId1565" /><Relationship Type="http://schemas.openxmlformats.org/officeDocument/2006/relationships/hyperlink" Target="https://www.humandignitytrust.org/country-profile/cyprus/;%20https:/ilga.org/ilga-world-maps/" TargetMode="External" Id="rId1566" /><Relationship Type="http://schemas.openxmlformats.org/officeDocument/2006/relationships/hyperlink" Target="https://ilga.org/ilga-world-maps/" TargetMode="External" Id="rId1567" /><Relationship Type="http://schemas.openxmlformats.org/officeDocument/2006/relationships/hyperlink" Target="https://en.unesco.org/artificial-intelligence/observatory/policies?country=CY;%20https://www.unesco.org/ethics-ai/en/global-hub" TargetMode="External" Id="rId1568" /><Relationship Type="http://schemas.openxmlformats.org/officeDocument/2006/relationships/hyperlink" Target="https://gdpr-info.eu/art-35-gdpr/" TargetMode="External" Id="rId156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570" /><Relationship Type="http://schemas.openxmlformats.org/officeDocument/2006/relationships/hyperlink" Target="https://unctad.org/page/data-protection-and-privacy-legislation-worldwide" TargetMode="External" Id="rId1571" /><Relationship Type="http://schemas.openxmlformats.org/officeDocument/2006/relationships/hyperlink" Target="https://unctad.org/page/data-protection-and-privacy-legislation-worldwide" TargetMode="External" Id="rId1572" /><Relationship Type="http://schemas.openxmlformats.org/officeDocument/2006/relationships/hyperlink" Target="https://unctad.org/page/data-protection-and-privacy-legislation-worldwide;%20https:/www.unicef.org/czechia/" TargetMode="External" Id="rId1573" /><Relationship Type="http://schemas.openxmlformats.org/officeDocument/2006/relationships/hyperlink" Target="https://www.unicef.org/czechia/" TargetMode="External" Id="rId1574" /><Relationship Type="http://schemas.openxmlformats.org/officeDocument/2006/relationships/hyperlink" Target="https://unctad.org/page/data-protection-and-privacy-legislation-worldwide" TargetMode="External" Id="rId1575" /><Relationship Type="http://schemas.openxmlformats.org/officeDocument/2006/relationships/hyperlink" Target="https://www.humandignitytrust.org/country-profile/czechia/;%20https:/ilga.org/ilga-world-maps/" TargetMode="External" Id="rId1576" /><Relationship Type="http://schemas.openxmlformats.org/officeDocument/2006/relationships/hyperlink" Target="https://ilga.org/ilga-world-maps/" TargetMode="External" Id="rId1577" /><Relationship Type="http://schemas.openxmlformats.org/officeDocument/2006/relationships/hyperlink" Target="https://en.unesco.org/artificial-intelligence/observatory/policies?country=CZ;%20https://www.unesco.org/ethics-ai/en/global-hub" TargetMode="External" Id="rId1578" /><Relationship Type="http://schemas.openxmlformats.org/officeDocument/2006/relationships/hyperlink" Target="https://gdpr-info.eu/art-35-gdpr/" TargetMode="External" Id="rId157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580" /><Relationship Type="http://schemas.openxmlformats.org/officeDocument/2006/relationships/hyperlink" Target="https://unctad.org/page/data-protection-and-privacy-legislation-worldwide" TargetMode="External" Id="rId1581" /><Relationship Type="http://schemas.openxmlformats.org/officeDocument/2006/relationships/hyperlink" Target="https://unctad.org/page/data-protection-and-privacy-legislation-worldwide" TargetMode="External" Id="rId1582" /><Relationship Type="http://schemas.openxmlformats.org/officeDocument/2006/relationships/hyperlink" Target="https://unctad.org/page/data-protection-and-privacy-legislation-worldwide;%20https:/www.unicef.org/denmark/" TargetMode="External" Id="rId1583" /><Relationship Type="http://schemas.openxmlformats.org/officeDocument/2006/relationships/hyperlink" Target="https://www.unicef.org/denmark/" TargetMode="External" Id="rId1584" /><Relationship Type="http://schemas.openxmlformats.org/officeDocument/2006/relationships/hyperlink" Target="https://unctad.org/page/data-protection-and-privacy-legislation-worldwide" TargetMode="External" Id="rId1585" /><Relationship Type="http://schemas.openxmlformats.org/officeDocument/2006/relationships/hyperlink" Target="https://www.humandignitytrust.org/country-profile/denmark/;%20https:/ilga.org/ilga-world-maps/" TargetMode="External" Id="rId1586" /><Relationship Type="http://schemas.openxmlformats.org/officeDocument/2006/relationships/hyperlink" Target="https://ilga.org/ilga-world-maps/" TargetMode="External" Id="rId1587" /><Relationship Type="http://schemas.openxmlformats.org/officeDocument/2006/relationships/hyperlink" Target="https://en.unesco.org/artificial-intelligence/observatory/policies?country=DK;%20https://www.unesco.org/ethics-ai/en/global-hub" TargetMode="External" Id="rId1588" /><Relationship Type="http://schemas.openxmlformats.org/officeDocument/2006/relationships/hyperlink" Target="https://gdpr-info.eu/art-35-gdpr/" TargetMode="External" Id="rId158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590" /><Relationship Type="http://schemas.openxmlformats.org/officeDocument/2006/relationships/hyperlink" Target="https://unctad.org/page/data-protection-and-privacy-legislation-worldwide" TargetMode="External" Id="rId1591" /><Relationship Type="http://schemas.openxmlformats.org/officeDocument/2006/relationships/hyperlink" Target="https://unctad.org/page/data-protection-and-privacy-legislation-worldwide" TargetMode="External" Id="rId1592" /><Relationship Type="http://schemas.openxmlformats.org/officeDocument/2006/relationships/hyperlink" Target="https://unctad.org/page/data-protection-and-privacy-legislation-worldwide;%20https:/www.unicef.org/estonia/" TargetMode="External" Id="rId1593" /><Relationship Type="http://schemas.openxmlformats.org/officeDocument/2006/relationships/hyperlink" Target="https://www.unicef.org/estonia/" TargetMode="External" Id="rId1594" /><Relationship Type="http://schemas.openxmlformats.org/officeDocument/2006/relationships/hyperlink" Target="https://unctad.org/page/data-protection-and-privacy-legislation-worldwide" TargetMode="External" Id="rId1595" /><Relationship Type="http://schemas.openxmlformats.org/officeDocument/2006/relationships/hyperlink" Target="https://www.humandignitytrust.org/country-profile/estonia/;%20https:/ilga.org/ilga-world-maps/" TargetMode="External" Id="rId1596" /><Relationship Type="http://schemas.openxmlformats.org/officeDocument/2006/relationships/hyperlink" Target="https://ilga.org/ilga-world-maps/" TargetMode="External" Id="rId1597" /><Relationship Type="http://schemas.openxmlformats.org/officeDocument/2006/relationships/hyperlink" Target="https://en.unesco.org/artificial-intelligence/observatory/policies?country=EE;%20https://www.unesco.org/ethics-ai/en/global-hub" TargetMode="External" Id="rId1598" /><Relationship Type="http://schemas.openxmlformats.org/officeDocument/2006/relationships/hyperlink" Target="https://gdpr-info.eu/art-35-gdpr/" TargetMode="External" Id="rId159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600" /><Relationship Type="http://schemas.openxmlformats.org/officeDocument/2006/relationships/hyperlink" Target="https://unctad.org/page/data-protection-and-privacy-legislation-worldwide" TargetMode="External" Id="rId1601" /><Relationship Type="http://schemas.openxmlformats.org/officeDocument/2006/relationships/hyperlink" Target="https://unctad.org/page/data-protection-and-privacy-legislation-worldwide" TargetMode="External" Id="rId1602" /><Relationship Type="http://schemas.openxmlformats.org/officeDocument/2006/relationships/hyperlink" Target="https://unctad.org/page/data-protection-and-privacy-legislation-worldwide;%20https:/www.unicef.org/finland/" TargetMode="External" Id="rId1603" /><Relationship Type="http://schemas.openxmlformats.org/officeDocument/2006/relationships/hyperlink" Target="https://www.unicef.org/finland/" TargetMode="External" Id="rId1604" /><Relationship Type="http://schemas.openxmlformats.org/officeDocument/2006/relationships/hyperlink" Target="https://unctad.org/page/data-protection-and-privacy-legislation-worldwide" TargetMode="External" Id="rId1605" /><Relationship Type="http://schemas.openxmlformats.org/officeDocument/2006/relationships/hyperlink" Target="https://www.humandignitytrust.org/country-profile/finland/;%20https:/ilga.org/ilga-world-maps/" TargetMode="External" Id="rId1606" /><Relationship Type="http://schemas.openxmlformats.org/officeDocument/2006/relationships/hyperlink" Target="https://ilga.org/ilga-world-maps/" TargetMode="External" Id="rId1607" /><Relationship Type="http://schemas.openxmlformats.org/officeDocument/2006/relationships/hyperlink" Target="https://en.unesco.org/artificial-intelligence/observatory/policies?country=FI;%20https://www.unesco.org/ethics-ai/en/global-hub" TargetMode="External" Id="rId1608" /><Relationship Type="http://schemas.openxmlformats.org/officeDocument/2006/relationships/hyperlink" Target="https://gdpr-info.eu/art-35-gdpr/" TargetMode="External" Id="rId160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610" /><Relationship Type="http://schemas.openxmlformats.org/officeDocument/2006/relationships/hyperlink" Target="https://unctad.org/page/data-protection-and-privacy-legislation-worldwide" TargetMode="External" Id="rId1611" /><Relationship Type="http://schemas.openxmlformats.org/officeDocument/2006/relationships/hyperlink" Target="https://unctad.org/page/data-protection-and-privacy-legislation-worldwide" TargetMode="External" Id="rId1612" /><Relationship Type="http://schemas.openxmlformats.org/officeDocument/2006/relationships/hyperlink" Target="https://unctad.org/page/data-protection-and-privacy-legislation-worldwide;%20https:/www.unicef.org/france/" TargetMode="External" Id="rId1613" /><Relationship Type="http://schemas.openxmlformats.org/officeDocument/2006/relationships/hyperlink" Target="https://www.unicef.org/france/" TargetMode="External" Id="rId1614" /><Relationship Type="http://schemas.openxmlformats.org/officeDocument/2006/relationships/hyperlink" Target="https://unctad.org/page/data-protection-and-privacy-legislation-worldwide" TargetMode="External" Id="rId1615" /><Relationship Type="http://schemas.openxmlformats.org/officeDocument/2006/relationships/hyperlink" Target="https://www.humandignitytrust.org/country-profile/france/;%20https:/ilga.org/ilga-world-maps/" TargetMode="External" Id="rId1616" /><Relationship Type="http://schemas.openxmlformats.org/officeDocument/2006/relationships/hyperlink" Target="https://ilga.org/ilga-world-maps/" TargetMode="External" Id="rId1617" /><Relationship Type="http://schemas.openxmlformats.org/officeDocument/2006/relationships/hyperlink" Target="https://en.unesco.org/artificial-intelligence/observatory/policies?country=FR;%20https://www.unesco.org/ethics-ai/en/global-hub" TargetMode="External" Id="rId1618" /><Relationship Type="http://schemas.openxmlformats.org/officeDocument/2006/relationships/hyperlink" Target="https://gdpr-info.eu/art-35-gdpr/" TargetMode="External" Id="rId161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620" /><Relationship Type="http://schemas.openxmlformats.org/officeDocument/2006/relationships/hyperlink" Target="https://unctad.org/page/data-protection-and-privacy-legislation-worldwide" TargetMode="External" Id="rId1621" /><Relationship Type="http://schemas.openxmlformats.org/officeDocument/2006/relationships/hyperlink" Target="https://unctad.org/page/data-protection-and-privacy-legislation-worldwide" TargetMode="External" Id="rId1622" /><Relationship Type="http://schemas.openxmlformats.org/officeDocument/2006/relationships/hyperlink" Target="https://unctad.org/page/data-protection-and-privacy-legislation-worldwide;%20https:/www.unicef.org/germany/" TargetMode="External" Id="rId1623" /><Relationship Type="http://schemas.openxmlformats.org/officeDocument/2006/relationships/hyperlink" Target="https://www.unicef.org/germany/" TargetMode="External" Id="rId1624" /><Relationship Type="http://schemas.openxmlformats.org/officeDocument/2006/relationships/hyperlink" Target="https://unctad.org/page/data-protection-and-privacy-legislation-worldwide" TargetMode="External" Id="rId1625" /><Relationship Type="http://schemas.openxmlformats.org/officeDocument/2006/relationships/hyperlink" Target="https://www.humandignitytrust.org/country-profile/germany/;%20https:/ilga.org/ilga-world-maps/" TargetMode="External" Id="rId1626" /><Relationship Type="http://schemas.openxmlformats.org/officeDocument/2006/relationships/hyperlink" Target="https://ilga.org/ilga-world-maps/" TargetMode="External" Id="rId1627" /><Relationship Type="http://schemas.openxmlformats.org/officeDocument/2006/relationships/hyperlink" Target="https://en.unesco.org/artificial-intelligence/observatory/policies?country=DE;%20https://www.unesco.org/ethics-ai/en/global-hub" TargetMode="External" Id="rId1628" /><Relationship Type="http://schemas.openxmlformats.org/officeDocument/2006/relationships/hyperlink" Target="https://gdpr-info.eu/art-35-gdpr/" TargetMode="External" Id="rId162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630" /><Relationship Type="http://schemas.openxmlformats.org/officeDocument/2006/relationships/hyperlink" Target="https://unctad.org/page/data-protection-and-privacy-legislation-worldwide" TargetMode="External" Id="rId1631" /><Relationship Type="http://schemas.openxmlformats.org/officeDocument/2006/relationships/hyperlink" Target="https://unctad.org/page/data-protection-and-privacy-legislation-worldwide" TargetMode="External" Id="rId1632" /><Relationship Type="http://schemas.openxmlformats.org/officeDocument/2006/relationships/hyperlink" Target="https://unctad.org/page/data-protection-and-privacy-legislation-worldwide;%20https:/www.unicef.org/greece/" TargetMode="External" Id="rId1633" /><Relationship Type="http://schemas.openxmlformats.org/officeDocument/2006/relationships/hyperlink" Target="https://www.unicef.org/greece/" TargetMode="External" Id="rId1634" /><Relationship Type="http://schemas.openxmlformats.org/officeDocument/2006/relationships/hyperlink" Target="https://unctad.org/page/data-protection-and-privacy-legislation-worldwide" TargetMode="External" Id="rId1635" /><Relationship Type="http://schemas.openxmlformats.org/officeDocument/2006/relationships/hyperlink" Target="https://www.humandignitytrust.org/country-profile/greece/;%20https:/ilga.org/ilga-world-maps/" TargetMode="External" Id="rId1636" /><Relationship Type="http://schemas.openxmlformats.org/officeDocument/2006/relationships/hyperlink" Target="https://ilga.org/ilga-world-maps/" TargetMode="External" Id="rId1637" /><Relationship Type="http://schemas.openxmlformats.org/officeDocument/2006/relationships/hyperlink" Target="https://en.unesco.org/artificial-intelligence/observatory/policies?country=GR;%20https://www.unesco.org/ethics-ai/en/global-hub" TargetMode="External" Id="rId1638" /><Relationship Type="http://schemas.openxmlformats.org/officeDocument/2006/relationships/hyperlink" Target="https://gdpr-info.eu/art-35-gdpr/" TargetMode="External" Id="rId163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640" /><Relationship Type="http://schemas.openxmlformats.org/officeDocument/2006/relationships/hyperlink" Target="https://unctad.org/page/data-protection-and-privacy-legislation-worldwide" TargetMode="External" Id="rId1641" /><Relationship Type="http://schemas.openxmlformats.org/officeDocument/2006/relationships/hyperlink" Target="https://unctad.org/page/data-protection-and-privacy-legislation-worldwide" TargetMode="External" Id="rId1642" /><Relationship Type="http://schemas.openxmlformats.org/officeDocument/2006/relationships/hyperlink" Target="https://unctad.org/page/data-protection-and-privacy-legislation-worldwide;%20https:/www.unicef.org/hungary/" TargetMode="External" Id="rId1643" /><Relationship Type="http://schemas.openxmlformats.org/officeDocument/2006/relationships/hyperlink" Target="https://www.unicef.org/hungary/" TargetMode="External" Id="rId1644" /><Relationship Type="http://schemas.openxmlformats.org/officeDocument/2006/relationships/hyperlink" Target="https://unctad.org/page/data-protection-and-privacy-legislation-worldwide" TargetMode="External" Id="rId1645" /><Relationship Type="http://schemas.openxmlformats.org/officeDocument/2006/relationships/hyperlink" Target="https://www.humandignitytrust.org/country-profile/hungary/;%20https:/ilga.org/ilga-world-maps/" TargetMode="External" Id="rId1646" /><Relationship Type="http://schemas.openxmlformats.org/officeDocument/2006/relationships/hyperlink" Target="https://ilga.org/ilga-world-maps/" TargetMode="External" Id="rId1647" /><Relationship Type="http://schemas.openxmlformats.org/officeDocument/2006/relationships/hyperlink" Target="https://en.unesco.org/artificial-intelligence/observatory/policies?country=HU;%20https://www.unesco.org/ethics-ai/en/global-hub" TargetMode="External" Id="rId1648" /><Relationship Type="http://schemas.openxmlformats.org/officeDocument/2006/relationships/hyperlink" Target="https://gdpr-info.eu/art-35-gdpr/" TargetMode="External" Id="rId164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650" /><Relationship Type="http://schemas.openxmlformats.org/officeDocument/2006/relationships/hyperlink" Target="https://unctad.org/page/data-protection-and-privacy-legislation-worldwide" TargetMode="External" Id="rId1651" /><Relationship Type="http://schemas.openxmlformats.org/officeDocument/2006/relationships/hyperlink" Target="https://unctad.org/page/data-protection-and-privacy-legislation-worldwide" TargetMode="External" Id="rId1652" /><Relationship Type="http://schemas.openxmlformats.org/officeDocument/2006/relationships/hyperlink" Target="https://unctad.org/page/data-protection-and-privacy-legislation-worldwide;%20https:/www.unicef.org/ireland/" TargetMode="External" Id="rId1653" /><Relationship Type="http://schemas.openxmlformats.org/officeDocument/2006/relationships/hyperlink" Target="https://www.unicef.org/ireland/" TargetMode="External" Id="rId1654" /><Relationship Type="http://schemas.openxmlformats.org/officeDocument/2006/relationships/hyperlink" Target="https://unctad.org/page/data-protection-and-privacy-legislation-worldwide" TargetMode="External" Id="rId1655" /><Relationship Type="http://schemas.openxmlformats.org/officeDocument/2006/relationships/hyperlink" Target="https://www.humandignitytrust.org/country-profile/ireland/;%20https:/ilga.org/ilga-world-maps/" TargetMode="External" Id="rId1656" /><Relationship Type="http://schemas.openxmlformats.org/officeDocument/2006/relationships/hyperlink" Target="https://ilga.org/ilga-world-maps/" TargetMode="External" Id="rId1657" /><Relationship Type="http://schemas.openxmlformats.org/officeDocument/2006/relationships/hyperlink" Target="https://en.unesco.org/artificial-intelligence/observatory/policies?country=IE;%20https://www.unesco.org/ethics-ai/en/global-hub" TargetMode="External" Id="rId1658" /><Relationship Type="http://schemas.openxmlformats.org/officeDocument/2006/relationships/hyperlink" Target="https://gdpr-info.eu/art-35-gdpr/" TargetMode="External" Id="rId165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660" /><Relationship Type="http://schemas.openxmlformats.org/officeDocument/2006/relationships/hyperlink" Target="https://unctad.org/page/data-protection-and-privacy-legislation-worldwide" TargetMode="External" Id="rId1661" /><Relationship Type="http://schemas.openxmlformats.org/officeDocument/2006/relationships/hyperlink" Target="https://unctad.org/page/data-protection-and-privacy-legislation-worldwide" TargetMode="External" Id="rId1662" /><Relationship Type="http://schemas.openxmlformats.org/officeDocument/2006/relationships/hyperlink" Target="https://unctad.org/page/data-protection-and-privacy-legislation-worldwide;%20https:/www.unicef.org/italy/" TargetMode="External" Id="rId1663" /><Relationship Type="http://schemas.openxmlformats.org/officeDocument/2006/relationships/hyperlink" Target="https://www.unicef.org/italy/" TargetMode="External" Id="rId1664" /><Relationship Type="http://schemas.openxmlformats.org/officeDocument/2006/relationships/hyperlink" Target="https://unctad.org/page/data-protection-and-privacy-legislation-worldwide" TargetMode="External" Id="rId1665" /><Relationship Type="http://schemas.openxmlformats.org/officeDocument/2006/relationships/hyperlink" Target="https://www.humandignitytrust.org/country-profile/italy/;%20https:/ilga.org/ilga-world-maps/" TargetMode="External" Id="rId1666" /><Relationship Type="http://schemas.openxmlformats.org/officeDocument/2006/relationships/hyperlink" Target="https://ilga.org/ilga-world-maps/" TargetMode="External" Id="rId1667" /><Relationship Type="http://schemas.openxmlformats.org/officeDocument/2006/relationships/hyperlink" Target="https://en.unesco.org/artificial-intelligence/observatory/policies?country=IT;%20https://www.unesco.org/ethics-ai/en/global-hub" TargetMode="External" Id="rId1668" /><Relationship Type="http://schemas.openxmlformats.org/officeDocument/2006/relationships/hyperlink" Target="https://gdpr-info.eu/art-35-gdpr/" TargetMode="External" Id="rId166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670" /><Relationship Type="http://schemas.openxmlformats.org/officeDocument/2006/relationships/hyperlink" Target="https://unctad.org/page/data-protection-and-privacy-legislation-worldwide" TargetMode="External" Id="rId1671" /><Relationship Type="http://schemas.openxmlformats.org/officeDocument/2006/relationships/hyperlink" Target="https://unctad.org/page/data-protection-and-privacy-legislation-worldwide" TargetMode="External" Id="rId1672" /><Relationship Type="http://schemas.openxmlformats.org/officeDocument/2006/relationships/hyperlink" Target="https://unctad.org/page/data-protection-and-privacy-legislation-worldwide;%20https:/www.unicef.org/latvia/" TargetMode="External" Id="rId1673" /><Relationship Type="http://schemas.openxmlformats.org/officeDocument/2006/relationships/hyperlink" Target="https://www.unicef.org/latvia/" TargetMode="External" Id="rId1674" /><Relationship Type="http://schemas.openxmlformats.org/officeDocument/2006/relationships/hyperlink" Target="https://unctad.org/page/data-protection-and-privacy-legislation-worldwide" TargetMode="External" Id="rId1675" /><Relationship Type="http://schemas.openxmlformats.org/officeDocument/2006/relationships/hyperlink" Target="https://www.humandignitytrust.org/country-profile/latvia/;%20https:/ilga.org/ilga-world-maps/" TargetMode="External" Id="rId1676" /><Relationship Type="http://schemas.openxmlformats.org/officeDocument/2006/relationships/hyperlink" Target="https://ilga.org/ilga-world-maps/" TargetMode="External" Id="rId1677" /><Relationship Type="http://schemas.openxmlformats.org/officeDocument/2006/relationships/hyperlink" Target="https://en.unesco.org/artificial-intelligence/observatory/policies?country=LV;%20https://www.unesco.org/ethics-ai/en/global-hub" TargetMode="External" Id="rId1678" /><Relationship Type="http://schemas.openxmlformats.org/officeDocument/2006/relationships/hyperlink" Target="https://gdpr-info.eu/art-35-gdpr/" TargetMode="External" Id="rId167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680" /><Relationship Type="http://schemas.openxmlformats.org/officeDocument/2006/relationships/hyperlink" Target="https://unctad.org/page/data-protection-and-privacy-legislation-worldwide" TargetMode="External" Id="rId1681" /><Relationship Type="http://schemas.openxmlformats.org/officeDocument/2006/relationships/hyperlink" Target="https://unctad.org/page/data-protection-and-privacy-legislation-worldwide" TargetMode="External" Id="rId1682" /><Relationship Type="http://schemas.openxmlformats.org/officeDocument/2006/relationships/hyperlink" Target="https://unctad.org/page/data-protection-and-privacy-legislation-worldwide;%20https:/www.unicef.org/lithuania/" TargetMode="External" Id="rId1683" /><Relationship Type="http://schemas.openxmlformats.org/officeDocument/2006/relationships/hyperlink" Target="https://www.unicef.org/lithuania/" TargetMode="External" Id="rId1684" /><Relationship Type="http://schemas.openxmlformats.org/officeDocument/2006/relationships/hyperlink" Target="https://unctad.org/page/data-protection-and-privacy-legislation-worldwide" TargetMode="External" Id="rId1685" /><Relationship Type="http://schemas.openxmlformats.org/officeDocument/2006/relationships/hyperlink" Target="https://www.humandignitytrust.org/country-profile/lithuania/;%20https:/ilga.org/ilga-world-maps/" TargetMode="External" Id="rId1686" /><Relationship Type="http://schemas.openxmlformats.org/officeDocument/2006/relationships/hyperlink" Target="https://ilga.org/ilga-world-maps/" TargetMode="External" Id="rId1687" /><Relationship Type="http://schemas.openxmlformats.org/officeDocument/2006/relationships/hyperlink" Target="https://en.unesco.org/artificial-intelligence/observatory/policies?country=LT;%20https://www.unesco.org/ethics-ai/en/global-hub" TargetMode="External" Id="rId1688" /><Relationship Type="http://schemas.openxmlformats.org/officeDocument/2006/relationships/hyperlink" Target="https://gdpr-info.eu/art-35-gdpr/" TargetMode="External" Id="rId1689" /><Relationship Type="http://schemas.openxmlformats.org/officeDocument/2006/relationships/hyperlink" Target="https://www.gsma.com/solutions-and-impact/connectivity-for-good/public-policy/mobile-policy-handbook/consumer-protection/mandatory-registration-of-prepaid-sims/" TargetMode="External" Id="rId1690" /><Relationship Type="http://schemas.openxmlformats.org/officeDocument/2006/relationships/hyperlink" Target="https://unctad.org/page/data-protection-and-privacy-legislation-worldwide" TargetMode="External" Id="rId1691" /><Relationship Type="http://schemas.openxmlformats.org/officeDocument/2006/relationships/hyperlink" Target="https://unctad.org/page/data-protection-and-privacy-legislation-worldwide" TargetMode="External" Id="rId1692" /><Relationship Type="http://schemas.openxmlformats.org/officeDocument/2006/relationships/hyperlink" Target="https://unctad.org/page/data-protection-and-privacy-legislation-worldwide;%20https:/www.unicef.org/luxembourg/" TargetMode="External" Id="rId1693" /><Relationship Type="http://schemas.openxmlformats.org/officeDocument/2006/relationships/hyperlink" Target="https://www.unicef.org/luxembourg/" TargetMode="External" Id="rId1694" /><Relationship Type="http://schemas.openxmlformats.org/officeDocument/2006/relationships/hyperlink" Target="https://unctad.org/page/data-protection-and-privacy-legislation-worldwide" TargetMode="External" Id="rId1695" /><Relationship Type="http://schemas.openxmlformats.org/officeDocument/2006/relationships/hyperlink" Target="https://www.humandignitytrust.org/country-profile/luxembourg/;%20https:/ilga.org/ilga-world-maps/" TargetMode="External" Id="rId1696" /><Relationship Type="http://schemas.openxmlformats.org/officeDocument/2006/relationships/hyperlink" Target="https://ilga.org/ilga-world-maps/" TargetMode="External" Id="rId1697" /><Relationship Type="http://schemas.openxmlformats.org/officeDocument/2006/relationships/hyperlink" Target="https://en.unesco.org/artificial-intelligence/observatory/policies?country=LU;%20https://www.unesco.org/ethics-ai/en/global-hub" TargetMode="External" Id="rId1698" /><Relationship Type="http://schemas.openxmlformats.org/officeDocument/2006/relationships/hyperlink" Target="https://gdpr-info.eu/art-35-gdpr/" TargetMode="External" Id="rId1699" /><Relationship Type="http://schemas.openxmlformats.org/officeDocument/2006/relationships/hyperlink" Target="https://www.gsma.com/solutions-and-impact/connectivity-for-good/public-policy/mobile-policy-handbook/consumer-protection/mandatory-registration-of-prepaid-sims/" TargetMode="External" Id="rId1700" /><Relationship Type="http://schemas.openxmlformats.org/officeDocument/2006/relationships/hyperlink" Target="https://unctad.org/page/data-protection-and-privacy-legislation-worldwide" TargetMode="External" Id="rId1701" /><Relationship Type="http://schemas.openxmlformats.org/officeDocument/2006/relationships/hyperlink" Target="https://unctad.org/page/data-protection-and-privacy-legislation-worldwide" TargetMode="External" Id="rId1702" /><Relationship Type="http://schemas.openxmlformats.org/officeDocument/2006/relationships/hyperlink" Target="https://unctad.org/page/data-protection-and-privacy-legislation-worldwide;%20https:/www.unicef.org/malta/" TargetMode="External" Id="rId1703" /><Relationship Type="http://schemas.openxmlformats.org/officeDocument/2006/relationships/hyperlink" Target="https://www.unicef.org/malta/" TargetMode="External" Id="rId1704" /><Relationship Type="http://schemas.openxmlformats.org/officeDocument/2006/relationships/hyperlink" Target="https://unctad.org/page/data-protection-and-privacy-legislation-worldwide" TargetMode="External" Id="rId1705" /><Relationship Type="http://schemas.openxmlformats.org/officeDocument/2006/relationships/hyperlink" Target="https://www.humandignitytrust.org/country-profile/malta/;%20https:/ilga.org/ilga-world-maps/" TargetMode="External" Id="rId1706" /><Relationship Type="http://schemas.openxmlformats.org/officeDocument/2006/relationships/hyperlink" Target="https://ilga.org/ilga-world-maps/" TargetMode="External" Id="rId1707" /><Relationship Type="http://schemas.openxmlformats.org/officeDocument/2006/relationships/hyperlink" Target="https://en.unesco.org/artificial-intelligence/observatory/policies?country=MT;%20https://www.unesco.org/ethics-ai/en/global-hub" TargetMode="External" Id="rId1708" /><Relationship Type="http://schemas.openxmlformats.org/officeDocument/2006/relationships/hyperlink" Target="https://gdpr-info.eu/art-35-gdpr/" TargetMode="External" Id="rId170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710" /><Relationship Type="http://schemas.openxmlformats.org/officeDocument/2006/relationships/hyperlink" Target="https://unctad.org/page/data-protection-and-privacy-legislation-worldwide" TargetMode="External" Id="rId1711" /><Relationship Type="http://schemas.openxmlformats.org/officeDocument/2006/relationships/hyperlink" Target="https://unctad.org/page/data-protection-and-privacy-legislation-worldwide" TargetMode="External" Id="rId1712" /><Relationship Type="http://schemas.openxmlformats.org/officeDocument/2006/relationships/hyperlink" Target="https://unctad.org/page/data-protection-and-privacy-legislation-worldwide;%20https:/www.unicef.org/netherlands/" TargetMode="External" Id="rId1713" /><Relationship Type="http://schemas.openxmlformats.org/officeDocument/2006/relationships/hyperlink" Target="https://www.unicef.org/netherlands/" TargetMode="External" Id="rId1714" /><Relationship Type="http://schemas.openxmlformats.org/officeDocument/2006/relationships/hyperlink" Target="https://unctad.org/page/data-protection-and-privacy-legislation-worldwide" TargetMode="External" Id="rId1715" /><Relationship Type="http://schemas.openxmlformats.org/officeDocument/2006/relationships/hyperlink" Target="https://www.humandignitytrust.org/country-profile/netherlands/;%20https:/ilga.org/ilga-world-maps/" TargetMode="External" Id="rId1716" /><Relationship Type="http://schemas.openxmlformats.org/officeDocument/2006/relationships/hyperlink" Target="https://ilga.org/ilga-world-maps/" TargetMode="External" Id="rId1717" /><Relationship Type="http://schemas.openxmlformats.org/officeDocument/2006/relationships/hyperlink" Target="https://en.unesco.org/artificial-intelligence/observatory/policies?country=NL;%20https://www.unesco.org/ethics-ai/en/global-hub" TargetMode="External" Id="rId1718" /><Relationship Type="http://schemas.openxmlformats.org/officeDocument/2006/relationships/hyperlink" Target="https://gdpr-info.eu/art-35-gdpr/" TargetMode="External" Id="rId1719" /><Relationship Type="http://schemas.openxmlformats.org/officeDocument/2006/relationships/hyperlink" Target="https://www.gsma.com/solutions-and-impact/connectivity-for-good/public-policy/mobile-policy-handbook/consumer-protection/mandatory-registration-of-prepaid-sims/" TargetMode="External" Id="rId1720" /><Relationship Type="http://schemas.openxmlformats.org/officeDocument/2006/relationships/hyperlink" Target="https://unctad.org/page/data-protection-and-privacy-legislation-worldwide" TargetMode="External" Id="rId1721" /><Relationship Type="http://schemas.openxmlformats.org/officeDocument/2006/relationships/hyperlink" Target="https://unctad.org/page/data-protection-and-privacy-legislation-worldwide" TargetMode="External" Id="rId1722" /><Relationship Type="http://schemas.openxmlformats.org/officeDocument/2006/relationships/hyperlink" Target="https://unctad.org/page/data-protection-and-privacy-legislation-worldwide;%20https:/www.unicef.org/poland/" TargetMode="External" Id="rId1723" /><Relationship Type="http://schemas.openxmlformats.org/officeDocument/2006/relationships/hyperlink" Target="https://www.unicef.org/poland/" TargetMode="External" Id="rId1724" /><Relationship Type="http://schemas.openxmlformats.org/officeDocument/2006/relationships/hyperlink" Target="https://unctad.org/page/data-protection-and-privacy-legislation-worldwide" TargetMode="External" Id="rId1725" /><Relationship Type="http://schemas.openxmlformats.org/officeDocument/2006/relationships/hyperlink" Target="https://www.humandignitytrust.org/country-profile/poland/;%20https:/ilga.org/ilga-world-maps/" TargetMode="External" Id="rId1726" /><Relationship Type="http://schemas.openxmlformats.org/officeDocument/2006/relationships/hyperlink" Target="https://ilga.org/ilga-world-maps/" TargetMode="External" Id="rId1727" /><Relationship Type="http://schemas.openxmlformats.org/officeDocument/2006/relationships/hyperlink" Target="https://en.unesco.org/artificial-intelligence/observatory/policies?country=PL;%20https://www.unesco.org/ethics-ai/en/global-hub" TargetMode="External" Id="rId1728" /><Relationship Type="http://schemas.openxmlformats.org/officeDocument/2006/relationships/hyperlink" Target="https://gdpr-info.eu/art-35-gdpr/" TargetMode="External" Id="rId1729" /><Relationship Type="http://schemas.openxmlformats.org/officeDocument/2006/relationships/hyperlink" Target="https://www.gsma.com/solutions-and-impact/connectivity-for-good/public-policy/mobile-policy-handbook/consumer-protection/mandatory-registration-of-prepaid-sims/" TargetMode="External" Id="rId1730" /><Relationship Type="http://schemas.openxmlformats.org/officeDocument/2006/relationships/hyperlink" Target="https://unctad.org/page/data-protection-and-privacy-legislation-worldwide" TargetMode="External" Id="rId1731" /><Relationship Type="http://schemas.openxmlformats.org/officeDocument/2006/relationships/hyperlink" Target="https://unctad.org/page/data-protection-and-privacy-legislation-worldwide" TargetMode="External" Id="rId1732" /><Relationship Type="http://schemas.openxmlformats.org/officeDocument/2006/relationships/hyperlink" Target="https://unctad.org/page/data-protection-and-privacy-legislation-worldwide;%20https:/www.unicef.org/portugal/" TargetMode="External" Id="rId1733" /><Relationship Type="http://schemas.openxmlformats.org/officeDocument/2006/relationships/hyperlink" Target="https://www.unicef.org/portugal/" TargetMode="External" Id="rId1734" /><Relationship Type="http://schemas.openxmlformats.org/officeDocument/2006/relationships/hyperlink" Target="https://unctad.org/page/data-protection-and-privacy-legislation-worldwide" TargetMode="External" Id="rId1735" /><Relationship Type="http://schemas.openxmlformats.org/officeDocument/2006/relationships/hyperlink" Target="https://www.humandignitytrust.org/country-profile/portugal/;%20https:/ilga.org/ilga-world-maps/" TargetMode="External" Id="rId1736" /><Relationship Type="http://schemas.openxmlformats.org/officeDocument/2006/relationships/hyperlink" Target="https://ilga.org/ilga-world-maps/" TargetMode="External" Id="rId1737" /><Relationship Type="http://schemas.openxmlformats.org/officeDocument/2006/relationships/hyperlink" Target="https://en.unesco.org/artificial-intelligence/observatory/policies?country=PT;%20https://www.unesco.org/ethics-ai/en/global-hub" TargetMode="External" Id="rId1738" /><Relationship Type="http://schemas.openxmlformats.org/officeDocument/2006/relationships/hyperlink" Target="https://gdpr-info.eu/art-35-gdpr/" TargetMode="External" Id="rId1739" /><Relationship Type="http://schemas.openxmlformats.org/officeDocument/2006/relationships/hyperlink" Target="https://www.gsma.com/solutions-and-impact/connectivity-for-good/public-policy/mobile-policy-handbook/consumer-protection/mandatory-registration-of-prepaid-sims/" TargetMode="External" Id="rId1740" /><Relationship Type="http://schemas.openxmlformats.org/officeDocument/2006/relationships/hyperlink" Target="https://unctad.org/page/data-protection-and-privacy-legislation-worldwide" TargetMode="External" Id="rId1741" /><Relationship Type="http://schemas.openxmlformats.org/officeDocument/2006/relationships/hyperlink" Target="https://unctad.org/page/data-protection-and-privacy-legislation-worldwide" TargetMode="External" Id="rId1742" /><Relationship Type="http://schemas.openxmlformats.org/officeDocument/2006/relationships/hyperlink" Target="https://unctad.org/page/data-protection-and-privacy-legislation-worldwide;%20https:/www.unicef.org/romania/" TargetMode="External" Id="rId1743" /><Relationship Type="http://schemas.openxmlformats.org/officeDocument/2006/relationships/hyperlink" Target="https://www.unicef.org/romania/" TargetMode="External" Id="rId1744" /><Relationship Type="http://schemas.openxmlformats.org/officeDocument/2006/relationships/hyperlink" Target="https://unctad.org/page/data-protection-and-privacy-legislation-worldwide" TargetMode="External" Id="rId1745" /><Relationship Type="http://schemas.openxmlformats.org/officeDocument/2006/relationships/hyperlink" Target="https://www.humandignitytrust.org/country-profile/romania/;%20https:/ilga.org/ilga-world-maps/" TargetMode="External" Id="rId1746" /><Relationship Type="http://schemas.openxmlformats.org/officeDocument/2006/relationships/hyperlink" Target="https://ilga.org/ilga-world-maps/" TargetMode="External" Id="rId1747" /><Relationship Type="http://schemas.openxmlformats.org/officeDocument/2006/relationships/hyperlink" Target="https://en.unesco.org/artificial-intelligence/observatory/policies?country=RO;%20https://www.unesco.org/ethics-ai/en/global-hub" TargetMode="External" Id="rId1748" /><Relationship Type="http://schemas.openxmlformats.org/officeDocument/2006/relationships/hyperlink" Target="https://gdpr-info.eu/art-35-gdpr/" TargetMode="External" Id="rId1749" /><Relationship Type="http://schemas.openxmlformats.org/officeDocument/2006/relationships/hyperlink" Target="https://www.gsma.com/solutions-and-impact/connectivity-for-good/public-policy/mobile-policy-handbook/consumer-protection/mandatory-registration-of-prepaid-sims/" TargetMode="External" Id="rId1750" /><Relationship Type="http://schemas.openxmlformats.org/officeDocument/2006/relationships/hyperlink" Target="https://unctad.org/page/data-protection-and-privacy-legislation-worldwide" TargetMode="External" Id="rId1751" /><Relationship Type="http://schemas.openxmlformats.org/officeDocument/2006/relationships/hyperlink" Target="https://unctad.org/page/data-protection-and-privacy-legislation-worldwide" TargetMode="External" Id="rId1752" /><Relationship Type="http://schemas.openxmlformats.org/officeDocument/2006/relationships/hyperlink" Target="https://unctad.org/page/data-protection-and-privacy-legislation-worldwide;%20https:/www.unicef.org/slovakia/" TargetMode="External" Id="rId1753" /><Relationship Type="http://schemas.openxmlformats.org/officeDocument/2006/relationships/hyperlink" Target="https://www.unicef.org/slovakia/" TargetMode="External" Id="rId1754" /><Relationship Type="http://schemas.openxmlformats.org/officeDocument/2006/relationships/hyperlink" Target="https://unctad.org/page/data-protection-and-privacy-legislation-worldwide" TargetMode="External" Id="rId1755" /><Relationship Type="http://schemas.openxmlformats.org/officeDocument/2006/relationships/hyperlink" Target="https://www.humandignitytrust.org/country-profile/slovakia/;%20https:/ilga.org/ilga-world-maps/" TargetMode="External" Id="rId1756" /><Relationship Type="http://schemas.openxmlformats.org/officeDocument/2006/relationships/hyperlink" Target="https://ilga.org/ilga-world-maps/" TargetMode="External" Id="rId1757" /><Relationship Type="http://schemas.openxmlformats.org/officeDocument/2006/relationships/hyperlink" Target="https://en.unesco.org/artificial-intelligence/observatory/policies?country=SK;%20https://www.unesco.org/ethics-ai/en/global-hub" TargetMode="External" Id="rId1758" /><Relationship Type="http://schemas.openxmlformats.org/officeDocument/2006/relationships/hyperlink" Target="https://gdpr-info.eu/art-35-gdpr/" TargetMode="External" Id="rId1759" /><Relationship Type="http://schemas.openxmlformats.org/officeDocument/2006/relationships/hyperlink" Target="https://www.gsma.com/solutions-and-impact/connectivity-for-good/public-policy/mobile-policy-handbook/consumer-protection/mandatory-registration-of-prepaid-sims/" TargetMode="External" Id="rId1760" /><Relationship Type="http://schemas.openxmlformats.org/officeDocument/2006/relationships/hyperlink" Target="https://unctad.org/page/data-protection-and-privacy-legislation-worldwide" TargetMode="External" Id="rId1761" /><Relationship Type="http://schemas.openxmlformats.org/officeDocument/2006/relationships/hyperlink" Target="https://unctad.org/page/data-protection-and-privacy-legislation-worldwide" TargetMode="External" Id="rId1762" /><Relationship Type="http://schemas.openxmlformats.org/officeDocument/2006/relationships/hyperlink" Target="https://unctad.org/page/data-protection-and-privacy-legislation-worldwide;%20https:/www.unicef.org/slovenia/" TargetMode="External" Id="rId1763" /><Relationship Type="http://schemas.openxmlformats.org/officeDocument/2006/relationships/hyperlink" Target="https://www.unicef.org/slovenia/" TargetMode="External" Id="rId1764" /><Relationship Type="http://schemas.openxmlformats.org/officeDocument/2006/relationships/hyperlink" Target="https://unctad.org/page/data-protection-and-privacy-legislation-worldwide" TargetMode="External" Id="rId1765" /><Relationship Type="http://schemas.openxmlformats.org/officeDocument/2006/relationships/hyperlink" Target="https://www.humandignitytrust.org/country-profile/slovenia/;%20https:/ilga.org/ilga-world-maps/" TargetMode="External" Id="rId1766" /><Relationship Type="http://schemas.openxmlformats.org/officeDocument/2006/relationships/hyperlink" Target="https://ilga.org/ilga-world-maps/" TargetMode="External" Id="rId1767" /><Relationship Type="http://schemas.openxmlformats.org/officeDocument/2006/relationships/hyperlink" Target="https://en.unesco.org/artificial-intelligence/observatory/policies?country=SI;%20https://www.unesco.org/ethics-ai/en/global-hub" TargetMode="External" Id="rId1768" /><Relationship Type="http://schemas.openxmlformats.org/officeDocument/2006/relationships/hyperlink" Target="https://gdpr-info.eu/art-35-gdpr/" TargetMode="External" Id="rId1769" /><Relationship Type="http://schemas.openxmlformats.org/officeDocument/2006/relationships/hyperlink" Target="https://www.gsma.com/solutions-and-impact/connectivity-for-good/public-policy/mobile-policy-handbook/consumer-protection/mandatory-registration-of-prepaid-sims/" TargetMode="External" Id="rId1770" /><Relationship Type="http://schemas.openxmlformats.org/officeDocument/2006/relationships/hyperlink" Target="https://unctad.org/page/data-protection-and-privacy-legislation-worldwide" TargetMode="External" Id="rId1771" /><Relationship Type="http://schemas.openxmlformats.org/officeDocument/2006/relationships/hyperlink" Target="https://unctad.org/page/data-protection-and-privacy-legislation-worldwide" TargetMode="External" Id="rId1772" /><Relationship Type="http://schemas.openxmlformats.org/officeDocument/2006/relationships/hyperlink" Target="https://unctad.org/page/data-protection-and-privacy-legislation-worldwide;%20https:/www.unicef.org/spain/" TargetMode="External" Id="rId1773" /><Relationship Type="http://schemas.openxmlformats.org/officeDocument/2006/relationships/hyperlink" Target="https://www.unicef.org/spain/" TargetMode="External" Id="rId1774" /><Relationship Type="http://schemas.openxmlformats.org/officeDocument/2006/relationships/hyperlink" Target="https://unctad.org/page/data-protection-and-privacy-legislation-worldwide" TargetMode="External" Id="rId1775" /><Relationship Type="http://schemas.openxmlformats.org/officeDocument/2006/relationships/hyperlink" Target="https://www.humandignitytrust.org/country-profile/spain/;%20https:/ilga.org/ilga-world-maps/" TargetMode="External" Id="rId1776" /><Relationship Type="http://schemas.openxmlformats.org/officeDocument/2006/relationships/hyperlink" Target="https://ilga.org/ilga-world-maps/" TargetMode="External" Id="rId1777" /><Relationship Type="http://schemas.openxmlformats.org/officeDocument/2006/relationships/hyperlink" Target="https://en.unesco.org/artificial-intelligence/observatory/policies?country=ES;%20https://www.unesco.org/ethics-ai/en/global-hub" TargetMode="External" Id="rId1778" /><Relationship Type="http://schemas.openxmlformats.org/officeDocument/2006/relationships/hyperlink" Target="https://gdpr-info.eu/art-35-gdpr/" TargetMode="External" Id="rId1779" /><Relationship Type="http://schemas.openxmlformats.org/officeDocument/2006/relationships/hyperlink" Target="https://www.gsma.com/solutions-and-impact/connectivity-for-good/public-policy/mobile-policy-handbook/consumer-protection/mandatory-registration-of-prepaid-sims/" TargetMode="External" Id="rId1780" /><Relationship Type="http://schemas.openxmlformats.org/officeDocument/2006/relationships/hyperlink" Target="https://unctad.org/page/data-protection-and-privacy-legislation-worldwide" TargetMode="External" Id="rId1781" /><Relationship Type="http://schemas.openxmlformats.org/officeDocument/2006/relationships/hyperlink" Target="https://unctad.org/page/data-protection-and-privacy-legislation-worldwide" TargetMode="External" Id="rId1782" /><Relationship Type="http://schemas.openxmlformats.org/officeDocument/2006/relationships/hyperlink" Target="https://unctad.org/page/data-protection-and-privacy-legislation-worldwide;%20https:/www.unicef.org/sweden/" TargetMode="External" Id="rId1783" /><Relationship Type="http://schemas.openxmlformats.org/officeDocument/2006/relationships/hyperlink" Target="https://www.unicef.org/sweden/" TargetMode="External" Id="rId1784" /><Relationship Type="http://schemas.openxmlformats.org/officeDocument/2006/relationships/hyperlink" Target="https://unctad.org/page/data-protection-and-privacy-legislation-worldwide" TargetMode="External" Id="rId1785" /><Relationship Type="http://schemas.openxmlformats.org/officeDocument/2006/relationships/hyperlink" Target="https://www.humandignitytrust.org/country-profile/sweden/;%20https:/ilga.org/ilga-world-maps/" TargetMode="External" Id="rId1786" /><Relationship Type="http://schemas.openxmlformats.org/officeDocument/2006/relationships/hyperlink" Target="https://ilga.org/ilga-world-maps/" TargetMode="External" Id="rId1787" /><Relationship Type="http://schemas.openxmlformats.org/officeDocument/2006/relationships/hyperlink" Target="https://en.unesco.org/artificial-intelligence/observatory/policies?country=SE;%20https://www.unesco.org/ethics-ai/en/global-hub" TargetMode="External" Id="rId1788" /><Relationship Type="http://schemas.openxmlformats.org/officeDocument/2006/relationships/hyperlink" Target="https://gdpr-info.eu/art-35-gdpr/" TargetMode="External" Id="rId1789" /><Relationship Type="http://schemas.openxmlformats.org/officeDocument/2006/relationships/hyperlink" Target="https://www.gsma.com/solutions-and-impact/connectivity-for-good/public-policy/mobile-policy-handbook/consumer-protection/mandatory-registration-of-prepaid-sims/" TargetMode="External" Id="rId1790" /><Relationship Type="http://schemas.openxmlformats.org/officeDocument/2006/relationships/hyperlink" Target="https://unctad.org/page/data-protection-and-privacy-legislation-worldwide" TargetMode="External" Id="rId1791" /><Relationship Type="http://schemas.openxmlformats.org/officeDocument/2006/relationships/hyperlink" Target="https://unctad.org/page/data-protection-and-privacy-legislation-worldwide" TargetMode="External" Id="rId1792" /><Relationship Type="http://schemas.openxmlformats.org/officeDocument/2006/relationships/hyperlink" Target="https://unctad.org/page/data-protection-and-privacy-legislation-worldwide;%20https:/www.unicef.org/united-kingdom-of-great-britain-and-northern-ireland/" TargetMode="External" Id="rId1793" /><Relationship Type="http://schemas.openxmlformats.org/officeDocument/2006/relationships/hyperlink" Target="https://www.unicef.org/united-kingdom-of-great-britain-and-northern-ireland/" TargetMode="External" Id="rId1794" /><Relationship Type="http://schemas.openxmlformats.org/officeDocument/2006/relationships/hyperlink" Target="https://unctad.org/page/data-protection-and-privacy-legislation-worldwide" TargetMode="External" Id="rId1795" /><Relationship Type="http://schemas.openxmlformats.org/officeDocument/2006/relationships/hyperlink" Target="https://www.humandignitytrust.org/country-profile/united-kingdom-of-great-britain-and-northern-ireland/;%20https:/ilga.org/ilga-world-maps/" TargetMode="External" Id="rId1796" /><Relationship Type="http://schemas.openxmlformats.org/officeDocument/2006/relationships/hyperlink" Target="https://ilga.org/ilga-world-maps/" TargetMode="External" Id="rId1797" /><Relationship Type="http://schemas.openxmlformats.org/officeDocument/2006/relationships/hyperlink" Target="https://en.unesco.org/artificial-intelligence/observatory/policies?country=GB;%20https://www.unesco.org/ethics-ai/en/global-hub" TargetMode="External" Id="rId1798" /><Relationship Type="http://schemas.openxmlformats.org/officeDocument/2006/relationships/hyperlink" Target="https://unctad.org/page/data-protection-and-privacy-legislation-worldwide" TargetMode="External" Id="rId1799" /><Relationship Type="http://schemas.openxmlformats.org/officeDocument/2006/relationships/hyperlink" Target="https://www.gsma.com/solutions-and-impact/connectivity-for-good/public-policy/mobile-policy-handbook/consumer-protection/mandatory-registration-of-prepaid-sims/" TargetMode="External" Id="rId1800" /><Relationship Type="http://schemas.openxmlformats.org/officeDocument/2006/relationships/hyperlink" Target="https://unctad.org/page/data-protection-and-privacy-legislation-worldwide" TargetMode="External" Id="rId1801" /><Relationship Type="http://schemas.openxmlformats.org/officeDocument/2006/relationships/hyperlink" Target="https://unctad.org/page/data-protection-and-privacy-legislation-worldwide" TargetMode="External" Id="rId1802" /><Relationship Type="http://schemas.openxmlformats.org/officeDocument/2006/relationships/hyperlink" Target="https://unctad.org/page/data-protection-and-privacy-legislation-worldwide;%20https:/www.unicef.org/australia/" TargetMode="External" Id="rId1803" /><Relationship Type="http://schemas.openxmlformats.org/officeDocument/2006/relationships/hyperlink" Target="https://www.unicef.org/australia/" TargetMode="External" Id="rId1804" /><Relationship Type="http://schemas.openxmlformats.org/officeDocument/2006/relationships/hyperlink" Target="https://unctad.org/page/data-protection-and-privacy-legislation-worldwide" TargetMode="External" Id="rId1805" /><Relationship Type="http://schemas.openxmlformats.org/officeDocument/2006/relationships/hyperlink" Target="https://www.humandignitytrust.org/country-profile/australia/;%20https:/ilga.org/ilga-world-maps/" TargetMode="External" Id="rId1806" /><Relationship Type="http://schemas.openxmlformats.org/officeDocument/2006/relationships/hyperlink" Target="https://ilga.org/ilga-world-maps/" TargetMode="External" Id="rId1807" /><Relationship Type="http://schemas.openxmlformats.org/officeDocument/2006/relationships/hyperlink" Target="https://en.unesco.org/artificial-intelligence/observatory/policies?country=AU;%20https://www.unesco.org/ethics-ai/en/global-hub" TargetMode="External" Id="rId1808" /><Relationship Type="http://schemas.openxmlformats.org/officeDocument/2006/relationships/hyperlink" Target="https://unctad.org/page/data-protection-and-privacy-legislation-worldwide" TargetMode="External" Id="rId180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810" /><Relationship Type="http://schemas.openxmlformats.org/officeDocument/2006/relationships/hyperlink" Target="https://unctad.org/page/data-protection-and-privacy-legislation-worldwide" TargetMode="External" Id="rId1811" /><Relationship Type="http://schemas.openxmlformats.org/officeDocument/2006/relationships/hyperlink" Target="https://unctad.org/page/data-protection-and-privacy-legislation-worldwide" TargetMode="External" Id="rId1812" /><Relationship Type="http://schemas.openxmlformats.org/officeDocument/2006/relationships/hyperlink" Target="https://unctad.org/page/data-protection-and-privacy-legislation-worldwide;%20https:/www.unicef.org/fiji/" TargetMode="External" Id="rId1813" /><Relationship Type="http://schemas.openxmlformats.org/officeDocument/2006/relationships/hyperlink" Target="https://www.unicef.org/fiji/" TargetMode="External" Id="rId1814" /><Relationship Type="http://schemas.openxmlformats.org/officeDocument/2006/relationships/hyperlink" Target="https://unctad.org/page/data-protection-and-privacy-legislation-worldwide" TargetMode="External" Id="rId1815" /><Relationship Type="http://schemas.openxmlformats.org/officeDocument/2006/relationships/hyperlink" Target="https://www.humandignitytrust.org/country-profile/fiji/;%20https:/ilga.org/ilga-world-maps/" TargetMode="External" Id="rId1816" /><Relationship Type="http://schemas.openxmlformats.org/officeDocument/2006/relationships/hyperlink" Target="https://ilga.org/ilga-world-maps/" TargetMode="External" Id="rId1817" /><Relationship Type="http://schemas.openxmlformats.org/officeDocument/2006/relationships/hyperlink" Target="https://en.unesco.org/artificial-intelligence/observatory/policies?country=FJ;%20https://www.unesco.org/ethics-ai/en/global-hub" TargetMode="External" Id="rId1818" /><Relationship Type="http://schemas.openxmlformats.org/officeDocument/2006/relationships/hyperlink" Target="https://unctad.org/page/data-protection-and-privacy-legislation-worldwide" TargetMode="External" Id="rId1819" /><Relationship Type="http://schemas.openxmlformats.org/officeDocument/2006/relationships/hyperlink" Target="https://www.gsma.com/solutions-and-impact/connectivity-for-good/public-policy/mobile-policy-handbook/consumer-protection/mandatory-registration-of-prepaid-sims/" TargetMode="External" Id="rId1820" /><Relationship Type="http://schemas.openxmlformats.org/officeDocument/2006/relationships/hyperlink" Target="https://unctad.org/page/data-protection-and-privacy-legislation-worldwide" TargetMode="External" Id="rId1821" /><Relationship Type="http://schemas.openxmlformats.org/officeDocument/2006/relationships/hyperlink" Target="https://unctad.org/page/data-protection-and-privacy-legislation-worldwide" TargetMode="External" Id="rId1822" /><Relationship Type="http://schemas.openxmlformats.org/officeDocument/2006/relationships/hyperlink" Target="https://www.unicef.org/kiribati/" TargetMode="External" Id="rId1823" /><Relationship Type="http://schemas.openxmlformats.org/officeDocument/2006/relationships/hyperlink" Target="https://www.unicef.org/kiribati/" TargetMode="External" Id="rId1824" /><Relationship Type="http://schemas.openxmlformats.org/officeDocument/2006/relationships/hyperlink" Target="https://unctad.org/page/data-protection-and-privacy-legislation-worldwide" TargetMode="External" Id="rId1825" /><Relationship Type="http://schemas.openxmlformats.org/officeDocument/2006/relationships/hyperlink" Target="https://www.humandignitytrust.org/country-profile/kiribati/;%20https:/ilga.org/ilga-world-maps/" TargetMode="External" Id="rId1826" /><Relationship Type="http://schemas.openxmlformats.org/officeDocument/2006/relationships/hyperlink" Target="https://ilga.org/ilga-world-maps/" TargetMode="External" Id="rId1827" /><Relationship Type="http://schemas.openxmlformats.org/officeDocument/2006/relationships/hyperlink" Target="https://en.unesco.org/artificial-intelligence/observatory/policies?country=KI;%20https://www.unesco.org/ethics-ai/en/global-hub" TargetMode="External" Id="rId1828" /><Relationship Type="http://schemas.openxmlformats.org/officeDocument/2006/relationships/hyperlink" Target="https://unctad.org/page/data-protection-and-privacy-legislation-worldwide" TargetMode="External" Id="rId1829" /><Relationship Type="http://schemas.openxmlformats.org/officeDocument/2006/relationships/hyperlink" Target="https://www.gsma.com/solutions-and-impact/connectivity-for-good/public-policy/mobile-policy-handbook/consumer-protection/mandatory-registration-of-prepaid-sims/" TargetMode="External" Id="rId1830" /><Relationship Type="http://schemas.openxmlformats.org/officeDocument/2006/relationships/hyperlink" Target="https://unctad.org/page/data-protection-and-privacy-legislation-worldwide" TargetMode="External" Id="rId1831" /><Relationship Type="http://schemas.openxmlformats.org/officeDocument/2006/relationships/hyperlink" Target="https://unctad.org/page/data-protection-and-privacy-legislation-worldwide" TargetMode="External" Id="rId1832" /><Relationship Type="http://schemas.openxmlformats.org/officeDocument/2006/relationships/hyperlink" Target="https://www.unicef.org/marshall-islands/" TargetMode="External" Id="rId1833" /><Relationship Type="http://schemas.openxmlformats.org/officeDocument/2006/relationships/hyperlink" Target="https://www.unicef.org/marshall-islands/" TargetMode="External" Id="rId1834" /><Relationship Type="http://schemas.openxmlformats.org/officeDocument/2006/relationships/hyperlink" Target="https://unctad.org/page/data-protection-and-privacy-legislation-worldwide" TargetMode="External" Id="rId1835" /><Relationship Type="http://schemas.openxmlformats.org/officeDocument/2006/relationships/hyperlink" Target="https://www.humandignitytrust.org/country-profile/marshall-islands/;%20https:/ilga.org/ilga-world-maps/" TargetMode="External" Id="rId1836" /><Relationship Type="http://schemas.openxmlformats.org/officeDocument/2006/relationships/hyperlink" Target="https://ilga.org/ilga-world-maps/" TargetMode="External" Id="rId1837" /><Relationship Type="http://schemas.openxmlformats.org/officeDocument/2006/relationships/hyperlink" Target="https://en.unesco.org/artificial-intelligence/observatory/policies?country=MH;%20https://www.unesco.org/ethics-ai/en/global-hub" TargetMode="External" Id="rId1838" /><Relationship Type="http://schemas.openxmlformats.org/officeDocument/2006/relationships/hyperlink" Target="https://unctad.org/page/data-protection-and-privacy-legislation-worldwide" TargetMode="External" Id="rId1839" /><Relationship Type="http://schemas.openxmlformats.org/officeDocument/2006/relationships/hyperlink" Target="https://www.gsma.com/solutions-and-impact/connectivity-for-good/public-policy/mobile-policy-handbook/consumer-protection/mandatory-registration-of-prepaid-sims/" TargetMode="External" Id="rId1840" /><Relationship Type="http://schemas.openxmlformats.org/officeDocument/2006/relationships/hyperlink" Target="https://unctad.org/page/data-protection-and-privacy-legislation-worldwide" TargetMode="External" Id="rId1841" /><Relationship Type="http://schemas.openxmlformats.org/officeDocument/2006/relationships/hyperlink" Target="https://unctad.org/page/data-protection-and-privacy-legislation-worldwide" TargetMode="External" Id="rId1842" /><Relationship Type="http://schemas.openxmlformats.org/officeDocument/2006/relationships/hyperlink" Target="https://www.unicef.org/micronesia-federated-states-of/" TargetMode="External" Id="rId1843" /><Relationship Type="http://schemas.openxmlformats.org/officeDocument/2006/relationships/hyperlink" Target="https://www.unicef.org/micronesia-federated-states-of/" TargetMode="External" Id="rId1844" /><Relationship Type="http://schemas.openxmlformats.org/officeDocument/2006/relationships/hyperlink" Target="https://unctad.org/page/data-protection-and-privacy-legislation-worldwide" TargetMode="External" Id="rId1845" /><Relationship Type="http://schemas.openxmlformats.org/officeDocument/2006/relationships/hyperlink" Target="https://www.humandignitytrust.org/country-profile/micronesia-federated-states-of/;%20https:/ilga.org/ilga-world-maps/" TargetMode="External" Id="rId1846" /><Relationship Type="http://schemas.openxmlformats.org/officeDocument/2006/relationships/hyperlink" Target="https://ilga.org/ilga-world-maps/" TargetMode="External" Id="rId1847" /><Relationship Type="http://schemas.openxmlformats.org/officeDocument/2006/relationships/hyperlink" Target="https://www.unesco.org/ethics-ai/en/global-hub" TargetMode="External" Id="rId1848" /><Relationship Type="http://schemas.openxmlformats.org/officeDocument/2006/relationships/hyperlink" Target="https://unctad.org/page/data-protection-and-privacy-legislation-worldwide" TargetMode="External" Id="rId1849" /><Relationship Type="http://schemas.openxmlformats.org/officeDocument/2006/relationships/hyperlink" Target="https://www.gsma.com/solutions-and-impact/connectivity-for-good/public-policy/mobile-policy-handbook/consumer-protection/mandatory-registration-of-prepaid-sims/" TargetMode="External" Id="rId1850" /><Relationship Type="http://schemas.openxmlformats.org/officeDocument/2006/relationships/hyperlink" Target="https://unctad.org/page/data-protection-and-privacy-legislation-worldwide" TargetMode="External" Id="rId1851" /><Relationship Type="http://schemas.openxmlformats.org/officeDocument/2006/relationships/hyperlink" Target="https://unctad.org/page/data-protection-and-privacy-legislation-worldwide" TargetMode="External" Id="rId1852" /><Relationship Type="http://schemas.openxmlformats.org/officeDocument/2006/relationships/hyperlink" Target="https://www.unicef.org/nauru/" TargetMode="External" Id="rId1853" /><Relationship Type="http://schemas.openxmlformats.org/officeDocument/2006/relationships/hyperlink" Target="https://www.unicef.org/nauru/" TargetMode="External" Id="rId1854" /><Relationship Type="http://schemas.openxmlformats.org/officeDocument/2006/relationships/hyperlink" Target="https://unctad.org/page/data-protection-and-privacy-legislation-worldwide" TargetMode="External" Id="rId1855" /><Relationship Type="http://schemas.openxmlformats.org/officeDocument/2006/relationships/hyperlink" Target="https://www.humandignitytrust.org/country-profile/nauru/;%20https:/ilga.org/ilga-world-maps/" TargetMode="External" Id="rId1856" /><Relationship Type="http://schemas.openxmlformats.org/officeDocument/2006/relationships/hyperlink" Target="https://ilga.org/ilga-world-maps/" TargetMode="External" Id="rId1857" /><Relationship Type="http://schemas.openxmlformats.org/officeDocument/2006/relationships/hyperlink" Target="https://en.unesco.org/artificial-intelligence/observatory/policies?country=NR;%20https://www.unesco.org/ethics-ai/en/global-hub" TargetMode="External" Id="rId1858" /><Relationship Type="http://schemas.openxmlformats.org/officeDocument/2006/relationships/hyperlink" Target="https://unctad.org/page/data-protection-and-privacy-legislation-worldwide" TargetMode="External" Id="rId1859" /><Relationship Type="http://schemas.openxmlformats.org/officeDocument/2006/relationships/hyperlink" Target="https://www.gsma.com/solutions-and-impact/connectivity-for-good/public-policy/mobile-policy-handbook/consumer-protection/mandatory-registration-of-prepaid-sims/" TargetMode="External" Id="rId1860" /><Relationship Type="http://schemas.openxmlformats.org/officeDocument/2006/relationships/hyperlink" Target="https://unctad.org/page/data-protection-and-privacy-legislation-worldwide" TargetMode="External" Id="rId1861" /><Relationship Type="http://schemas.openxmlformats.org/officeDocument/2006/relationships/hyperlink" Target="https://unctad.org/page/data-protection-and-privacy-legislation-worldwide" TargetMode="External" Id="rId1862" /><Relationship Type="http://schemas.openxmlformats.org/officeDocument/2006/relationships/hyperlink" Target="https://unctad.org/page/data-protection-and-privacy-legislation-worldwide;%20https:/www.unicef.org/new-zealand/" TargetMode="External" Id="rId1863" /><Relationship Type="http://schemas.openxmlformats.org/officeDocument/2006/relationships/hyperlink" Target="https://www.unicef.org/new-zealand/" TargetMode="External" Id="rId1864" /><Relationship Type="http://schemas.openxmlformats.org/officeDocument/2006/relationships/hyperlink" Target="https://unctad.org/page/data-protection-and-privacy-legislation-worldwide" TargetMode="External" Id="rId1865" /><Relationship Type="http://schemas.openxmlformats.org/officeDocument/2006/relationships/hyperlink" Target="https://www.humandignitytrust.org/country-profile/new-zealand/;%20https:/ilga.org/ilga-world-maps/" TargetMode="External" Id="rId1866" /><Relationship Type="http://schemas.openxmlformats.org/officeDocument/2006/relationships/hyperlink" Target="https://ilga.org/ilga-world-maps/" TargetMode="External" Id="rId1867" /><Relationship Type="http://schemas.openxmlformats.org/officeDocument/2006/relationships/hyperlink" Target="https://en.unesco.org/artificial-intelligence/observatory/policies?country=NZ;%20https://www.unesco.org/ethics-ai/en/global-hub" TargetMode="External" Id="rId1868" /><Relationship Type="http://schemas.openxmlformats.org/officeDocument/2006/relationships/hyperlink" Target="https://unctad.org/page/data-protection-and-privacy-legislation-worldwide" TargetMode="External" Id="rId1869" /><Relationship Type="http://schemas.openxmlformats.org/officeDocument/2006/relationships/hyperlink" Target="https://www.gsma.com/solutions-and-impact/connectivity-for-good/public-policy/mobile-policy-handbook/consumer-protection/mandatory-registration-of-prepaid-sims/" TargetMode="External" Id="rId1870" /><Relationship Type="http://schemas.openxmlformats.org/officeDocument/2006/relationships/hyperlink" Target="https://unctad.org/page/data-protection-and-privacy-legislation-worldwide" TargetMode="External" Id="rId1871" /><Relationship Type="http://schemas.openxmlformats.org/officeDocument/2006/relationships/hyperlink" Target="https://unctad.org/page/data-protection-and-privacy-legislation-worldwide" TargetMode="External" Id="rId1872" /><Relationship Type="http://schemas.openxmlformats.org/officeDocument/2006/relationships/hyperlink" Target="https://www.unicef.org/palau/" TargetMode="External" Id="rId1873" /><Relationship Type="http://schemas.openxmlformats.org/officeDocument/2006/relationships/hyperlink" Target="https://www.unicef.org/palau/" TargetMode="External" Id="rId1874" /><Relationship Type="http://schemas.openxmlformats.org/officeDocument/2006/relationships/hyperlink" Target="https://unctad.org/page/data-protection-and-privacy-legislation-worldwide" TargetMode="External" Id="rId1875" /><Relationship Type="http://schemas.openxmlformats.org/officeDocument/2006/relationships/hyperlink" Target="https://www.humandignitytrust.org/country-profile/palau/;%20https:/ilga.org/ilga-world-maps/" TargetMode="External" Id="rId1876" /><Relationship Type="http://schemas.openxmlformats.org/officeDocument/2006/relationships/hyperlink" Target="https://ilga.org/ilga-world-maps/" TargetMode="External" Id="rId1877" /><Relationship Type="http://schemas.openxmlformats.org/officeDocument/2006/relationships/hyperlink" Target="https://en.unesco.org/artificial-intelligence/observatory/policies?country=PW;%20https://www.unesco.org/ethics-ai/en/global-hub" TargetMode="External" Id="rId1878" /><Relationship Type="http://schemas.openxmlformats.org/officeDocument/2006/relationships/hyperlink" Target="https://unctad.org/page/data-protection-and-privacy-legislation-worldwide" TargetMode="External" Id="rId1879" /><Relationship Type="http://schemas.openxmlformats.org/officeDocument/2006/relationships/hyperlink" Target="https://www.gsma.com/solutions-and-impact/connectivity-for-good/public-policy/mobile-policy-handbook/consumer-protection/mandatory-registration-of-prepaid-sims/" TargetMode="External" Id="rId1880" /><Relationship Type="http://schemas.openxmlformats.org/officeDocument/2006/relationships/hyperlink" Target="https://unctad.org/page/data-protection-and-privacy-legislation-worldwide" TargetMode="External" Id="rId1881" /><Relationship Type="http://schemas.openxmlformats.org/officeDocument/2006/relationships/hyperlink" Target="https://unctad.org/page/data-protection-and-privacy-legislation-worldwide" TargetMode="External" Id="rId1882" /><Relationship Type="http://schemas.openxmlformats.org/officeDocument/2006/relationships/hyperlink" Target="https://www.unicef.org/papua-new-guinea/" TargetMode="External" Id="rId1883" /><Relationship Type="http://schemas.openxmlformats.org/officeDocument/2006/relationships/hyperlink" Target="https://www.unicef.org/papua-new-guinea/" TargetMode="External" Id="rId1884" /><Relationship Type="http://schemas.openxmlformats.org/officeDocument/2006/relationships/hyperlink" Target="https://unctad.org/page/data-protection-and-privacy-legislation-worldwide" TargetMode="External" Id="rId1885" /><Relationship Type="http://schemas.openxmlformats.org/officeDocument/2006/relationships/hyperlink" Target="https://www.humandignitytrust.org/country-profile/papua-new-guinea/;%20https:/ilga.org/ilga-world-maps/" TargetMode="External" Id="rId1886" /><Relationship Type="http://schemas.openxmlformats.org/officeDocument/2006/relationships/hyperlink" Target="https://ilga.org/ilga-world-maps/" TargetMode="External" Id="rId1887" /><Relationship Type="http://schemas.openxmlformats.org/officeDocument/2006/relationships/hyperlink" Target="https://en.unesco.org/artificial-intelligence/observatory/policies?country=PG;%20https://www.unesco.org/ethics-ai/en/global-hub" TargetMode="External" Id="rId1888" /><Relationship Type="http://schemas.openxmlformats.org/officeDocument/2006/relationships/hyperlink" Target="https://unctad.org/page/data-protection-and-privacy-legislation-worldwide" TargetMode="External" Id="rId1889" /><Relationship Type="http://schemas.openxmlformats.org/officeDocument/2006/relationships/hyperlink" Target="https://www.gsma.com/solutions-and-impact/connectivity-for-good/public-policy/mobile-policy-handbook/consumer-protection/mandatory-registration-of-prepaid-sims/" TargetMode="External" Id="rId1890" /><Relationship Type="http://schemas.openxmlformats.org/officeDocument/2006/relationships/hyperlink" Target="https://unctad.org/page/data-protection-and-privacy-legislation-worldwide" TargetMode="External" Id="rId1891" /><Relationship Type="http://schemas.openxmlformats.org/officeDocument/2006/relationships/hyperlink" Target="https://unctad.org/page/data-protection-and-privacy-legislation-worldwide" TargetMode="External" Id="rId1892" /><Relationship Type="http://schemas.openxmlformats.org/officeDocument/2006/relationships/hyperlink" Target="https://www.unicef.org/samoa/" TargetMode="External" Id="rId1893" /><Relationship Type="http://schemas.openxmlformats.org/officeDocument/2006/relationships/hyperlink" Target="https://www.unicef.org/samoa/" TargetMode="External" Id="rId1894" /><Relationship Type="http://schemas.openxmlformats.org/officeDocument/2006/relationships/hyperlink" Target="https://unctad.org/page/data-protection-and-privacy-legislation-worldwide" TargetMode="External" Id="rId1895" /><Relationship Type="http://schemas.openxmlformats.org/officeDocument/2006/relationships/hyperlink" Target="https://www.humandignitytrust.org/country-profile/samoa/;%20https:/ilga.org/ilga-world-maps/" TargetMode="External" Id="rId1896" /><Relationship Type="http://schemas.openxmlformats.org/officeDocument/2006/relationships/hyperlink" Target="https://ilga.org/ilga-world-maps/" TargetMode="External" Id="rId1897" /><Relationship Type="http://schemas.openxmlformats.org/officeDocument/2006/relationships/hyperlink" Target="https://en.unesco.org/artificial-intelligence/observatory/policies?country=WS;%20https://www.unesco.org/ethics-ai/en/global-hub" TargetMode="External" Id="rId1898" /><Relationship Type="http://schemas.openxmlformats.org/officeDocument/2006/relationships/hyperlink" Target="https://unctad.org/page/data-protection-and-privacy-legislation-worldwide" TargetMode="External" Id="rId1899" /><Relationship Type="http://schemas.openxmlformats.org/officeDocument/2006/relationships/hyperlink" Target="https://www.gsma.com/solutions-and-impact/connectivity-for-good/public-policy/mobile-policy-handbook/consumer-protection/mandatory-registration-of-prepaid-sims/" TargetMode="External" Id="rId1900" /><Relationship Type="http://schemas.openxmlformats.org/officeDocument/2006/relationships/hyperlink" Target="https://unctad.org/page/data-protection-and-privacy-legislation-worldwide" TargetMode="External" Id="rId1901" /><Relationship Type="http://schemas.openxmlformats.org/officeDocument/2006/relationships/hyperlink" Target="https://unctad.org/page/data-protection-and-privacy-legislation-worldwide" TargetMode="External" Id="rId1902" /><Relationship Type="http://schemas.openxmlformats.org/officeDocument/2006/relationships/hyperlink" Target="https://www.unicef.org/solomon-islands/" TargetMode="External" Id="rId1903" /><Relationship Type="http://schemas.openxmlformats.org/officeDocument/2006/relationships/hyperlink" Target="https://www.unicef.org/solomon-islands/" TargetMode="External" Id="rId1904" /><Relationship Type="http://schemas.openxmlformats.org/officeDocument/2006/relationships/hyperlink" Target="https://unctad.org/page/data-protection-and-privacy-legislation-worldwide" TargetMode="External" Id="rId1905" /><Relationship Type="http://schemas.openxmlformats.org/officeDocument/2006/relationships/hyperlink" Target="https://www.humandignitytrust.org/country-profile/solomon-islands/;%20https:/ilga.org/ilga-world-maps/" TargetMode="External" Id="rId1906" /><Relationship Type="http://schemas.openxmlformats.org/officeDocument/2006/relationships/hyperlink" Target="https://ilga.org/ilga-world-maps/" TargetMode="External" Id="rId1907" /><Relationship Type="http://schemas.openxmlformats.org/officeDocument/2006/relationships/hyperlink" Target="https://en.unesco.org/artificial-intelligence/observatory/policies?country=SB;%20https://www.unesco.org/ethics-ai/en/global-hub" TargetMode="External" Id="rId1908" /><Relationship Type="http://schemas.openxmlformats.org/officeDocument/2006/relationships/hyperlink" Target="https://unctad.org/page/data-protection-and-privacy-legislation-worldwide" TargetMode="External" Id="rId1909" /><Relationship Type="http://schemas.openxmlformats.org/officeDocument/2006/relationships/hyperlink" Target="https://www.gsma.com/solutions-and-impact/connectivity-for-good/public-policy/mobile-policy-handbook/consumer-protection/mandatory-registration-of-prepaid-sims/" TargetMode="External" Id="rId1910" /><Relationship Type="http://schemas.openxmlformats.org/officeDocument/2006/relationships/hyperlink" Target="https://unctad.org/page/data-protection-and-privacy-legislation-worldwide" TargetMode="External" Id="rId1911" /><Relationship Type="http://schemas.openxmlformats.org/officeDocument/2006/relationships/hyperlink" Target="https://unctad.org/page/data-protection-and-privacy-legislation-worldwide" TargetMode="External" Id="rId1912" /><Relationship Type="http://schemas.openxmlformats.org/officeDocument/2006/relationships/hyperlink" Target="https://www.unicef.org/tonga/" TargetMode="External" Id="rId1913" /><Relationship Type="http://schemas.openxmlformats.org/officeDocument/2006/relationships/hyperlink" Target="https://www.unicef.org/tonga/" TargetMode="External" Id="rId1914" /><Relationship Type="http://schemas.openxmlformats.org/officeDocument/2006/relationships/hyperlink" Target="https://unctad.org/page/data-protection-and-privacy-legislation-worldwide" TargetMode="External" Id="rId1915" /><Relationship Type="http://schemas.openxmlformats.org/officeDocument/2006/relationships/hyperlink" Target="https://www.humandignitytrust.org/country-profile/tonga/;%20https:/ilga.org/ilga-world-maps/" TargetMode="External" Id="rId1916" /><Relationship Type="http://schemas.openxmlformats.org/officeDocument/2006/relationships/hyperlink" Target="https://ilga.org/ilga-world-maps/" TargetMode="External" Id="rId1917" /><Relationship Type="http://schemas.openxmlformats.org/officeDocument/2006/relationships/hyperlink" Target="https://en.unesco.org/artificial-intelligence/observatory/policies?country=TO;%20https://www.unesco.org/ethics-ai/en/global-hub" TargetMode="External" Id="rId1918" /><Relationship Type="http://schemas.openxmlformats.org/officeDocument/2006/relationships/hyperlink" Target="https://unctad.org/page/data-protection-and-privacy-legislation-worldwide" TargetMode="External" Id="rId1919" /><Relationship Type="http://schemas.openxmlformats.org/officeDocument/2006/relationships/hyperlink" Target="https://www.gsma.com/solutions-and-impact/connectivity-for-good/public-policy/mobile-policy-handbook/consumer-protection/mandatory-registration-of-prepaid-sims/" TargetMode="External" Id="rId1920" /><Relationship Type="http://schemas.openxmlformats.org/officeDocument/2006/relationships/hyperlink" Target="https://unctad.org/page/data-protection-and-privacy-legislation-worldwide" TargetMode="External" Id="rId1921" /><Relationship Type="http://schemas.openxmlformats.org/officeDocument/2006/relationships/hyperlink" Target="https://unctad.org/page/data-protection-and-privacy-legislation-worldwide" TargetMode="External" Id="rId1922" /><Relationship Type="http://schemas.openxmlformats.org/officeDocument/2006/relationships/hyperlink" Target="https://www.unicef.org/tuvalu/" TargetMode="External" Id="rId1923" /><Relationship Type="http://schemas.openxmlformats.org/officeDocument/2006/relationships/hyperlink" Target="https://www.unicef.org/tuvalu/" TargetMode="External" Id="rId1924" /><Relationship Type="http://schemas.openxmlformats.org/officeDocument/2006/relationships/hyperlink" Target="https://unctad.org/page/data-protection-and-privacy-legislation-worldwide" TargetMode="External" Id="rId1925" /><Relationship Type="http://schemas.openxmlformats.org/officeDocument/2006/relationships/hyperlink" Target="https://www.humandignitytrust.org/country-profile/tuvalu/;%20https:/ilga.org/ilga-world-maps/" TargetMode="External" Id="rId1926" /><Relationship Type="http://schemas.openxmlformats.org/officeDocument/2006/relationships/hyperlink" Target="https://ilga.org/ilga-world-maps/" TargetMode="External" Id="rId1927" /><Relationship Type="http://schemas.openxmlformats.org/officeDocument/2006/relationships/hyperlink" Target="https://en.unesco.org/artificial-intelligence/observatory/policies?country=TV;%20https://www.unesco.org/ethics-ai/en/global-hub" TargetMode="External" Id="rId1928" /><Relationship Type="http://schemas.openxmlformats.org/officeDocument/2006/relationships/hyperlink" Target="https://unctad.org/page/data-protection-and-privacy-legislation-worldwide" TargetMode="External" Id="rId1929" /><Relationship Type="http://schemas.openxmlformats.org/officeDocument/2006/relationships/hyperlink" Target="https://www.gsma.com/solutions-and-impact/connectivity-for-good/public-policy/mobile-policy-handbook/consumer-protection/mandatory-registration-of-prepaid-sims/" TargetMode="External" Id="rId1930" /><Relationship Type="http://schemas.openxmlformats.org/officeDocument/2006/relationships/hyperlink" Target="https://unctad.org/page/data-protection-and-privacy-legislation-worldwide" TargetMode="External" Id="rId1931" /><Relationship Type="http://schemas.openxmlformats.org/officeDocument/2006/relationships/hyperlink" Target="https://unctad.org/page/data-protection-and-privacy-legislation-worldwide" TargetMode="External" Id="rId1932" /><Relationship Type="http://schemas.openxmlformats.org/officeDocument/2006/relationships/hyperlink" Target="https://www.unicef.org/vanuatu/" TargetMode="External" Id="rId1933" /><Relationship Type="http://schemas.openxmlformats.org/officeDocument/2006/relationships/hyperlink" Target="https://www.unicef.org/vanuatu/" TargetMode="External" Id="rId1934" /><Relationship Type="http://schemas.openxmlformats.org/officeDocument/2006/relationships/hyperlink" Target="https://unctad.org/page/data-protection-and-privacy-legislation-worldwide" TargetMode="External" Id="rId1935" /><Relationship Type="http://schemas.openxmlformats.org/officeDocument/2006/relationships/hyperlink" Target="https://www.humandignitytrust.org/country-profile/vanuatu/;%20https:/ilga.org/ilga-world-maps/" TargetMode="External" Id="rId1936" /><Relationship Type="http://schemas.openxmlformats.org/officeDocument/2006/relationships/hyperlink" Target="https://ilga.org/ilga-world-maps/" TargetMode="External" Id="rId1937" /><Relationship Type="http://schemas.openxmlformats.org/officeDocument/2006/relationships/hyperlink" Target="https://en.unesco.org/artificial-intelligence/observatory/policies?country=VU;%20https://www.unesco.org/ethics-ai/en/global-hub" TargetMode="External" Id="rId1938" /><Relationship Type="http://schemas.openxmlformats.org/officeDocument/2006/relationships/hyperlink" Target="https://unctad.org/page/data-protection-and-privacy-legislation-worldwide" TargetMode="External" Id="rId1939" /><Relationship Type="http://schemas.openxmlformats.org/officeDocument/2006/relationships/hyperlink" Target="https://www.gsma.com/solutions-and-impact/connectivity-for-good/public-policy/mobile-policy-handbook/consumer-protection/mandatory-registration-of-prepaid-sims/" TargetMode="External" Id="rId1940" /></Relationships>
</file>

<file path=xl/worksheets/_rels/sheet2.xml.rels><Relationships xmlns="http://schemas.openxmlformats.org/package/2006/relationships"><Relationship Type="http://schemas.openxmlformats.org/officeDocument/2006/relationships/hyperlink" Target="https://en.unesco.org/artificial-intelligence/observatory/policies?country=AO;%20https://www.unesco.org/ethics-ai/en/global-hub" TargetMode="External" Id="rId1" /><Relationship Type="http://schemas.openxmlformats.org/officeDocument/2006/relationships/hyperlink" Target="https://unctad.org/page/data-protection-and-privacy-legislation-worldwide" TargetMode="External" Id="rId2" /><Relationship Type="http://schemas.openxmlformats.org/officeDocument/2006/relationships/hyperlink" Target="https://unctad.org/page/data-protection-and-privacy-legislation-worldwide;%20https:/www.unicef.org/angola/" TargetMode="External" Id="rId3" /><Relationship Type="http://schemas.openxmlformats.org/officeDocument/2006/relationships/hyperlink" Target="https://unctad.org/page/data-protection-and-privacy-legislation-worldwide" TargetMode="External" Id="rId4" /><Relationship Type="http://schemas.openxmlformats.org/officeDocument/2006/relationships/hyperlink" Target="https://unctad.org/page/data-protection-and-privacy-legislation-worldwide" TargetMode="External" Id="rId5" /><Relationship Type="http://schemas.openxmlformats.org/officeDocument/2006/relationships/hyperlink" Target="https://unctad.org/page/data-protection-and-privacy-legislation-worldwide" TargetMode="External" Id="rId6" /><Relationship Type="http://schemas.openxmlformats.org/officeDocument/2006/relationships/hyperlink" Target="https://www.humandignitytrust.org/country-profile/angola/;%20https:/ilga.org/ilga-world-maps/" TargetMode="External" Id="rId7" /><Relationship Type="http://schemas.openxmlformats.org/officeDocument/2006/relationships/hyperlink" Target="https://ilga.org/ilga-world-maps/" TargetMode="External" Id="rId8" /><Relationship Type="http://schemas.openxmlformats.org/officeDocument/2006/relationships/hyperlink" Target="https://www.unicef.org/angola/" TargetMode="External" Id="rId9" /><Relationship Type="http://schemas.openxmlformats.org/officeDocument/2006/relationships/hyperlink" Target="https://www.gsma.com/solutions-and-impact/connectivity-for-good/public-policy/mobile-policy-handbook/consumer-protection/mandatory-registration-of-prepaid-sims/" TargetMode="External" Id="rId10" /><Relationship Type="http://schemas.openxmlformats.org/officeDocument/2006/relationships/hyperlink" Target="https://en.unesco.org/artificial-intelligence/observatory/policies?country=BW;%20https://www.unesco.org/ethics-ai/en/global-hub" TargetMode="External" Id="rId11" /><Relationship Type="http://schemas.openxmlformats.org/officeDocument/2006/relationships/hyperlink" Target="https://unctad.org/page/data-protection-and-privacy-legislation-worldwide" TargetMode="External" Id="rId12" /><Relationship Type="http://schemas.openxmlformats.org/officeDocument/2006/relationships/hyperlink" Target="https://unctad.org/page/data-protection-and-privacy-legislation-worldwide;%20https:/www.unicef.org/botswana/" TargetMode="External" Id="rId13" /><Relationship Type="http://schemas.openxmlformats.org/officeDocument/2006/relationships/hyperlink" Target="https://unctad.org/page/data-protection-and-privacy-legislation-worldwide" TargetMode="External" Id="rId14" /><Relationship Type="http://schemas.openxmlformats.org/officeDocument/2006/relationships/hyperlink" Target="https://unctad.org/page/data-protection-and-privacy-legislation-worldwide" TargetMode="External" Id="rId15" /><Relationship Type="http://schemas.openxmlformats.org/officeDocument/2006/relationships/hyperlink" Target="https://unctad.org/page/data-protection-and-privacy-legislation-worldwide" TargetMode="External" Id="rId16" /><Relationship Type="http://schemas.openxmlformats.org/officeDocument/2006/relationships/hyperlink" Target="https://www.humandignitytrust.org/country-profile/botswana/;%20https:/ilga.org/ilga-world-maps/" TargetMode="External" Id="rId17" /><Relationship Type="http://schemas.openxmlformats.org/officeDocument/2006/relationships/hyperlink" Target="https://ilga.org/ilga-world-maps/" TargetMode="External" Id="rId18" /><Relationship Type="http://schemas.openxmlformats.org/officeDocument/2006/relationships/hyperlink" Target="https://www.unicef.org/botswana/" TargetMode="External" Id="rId1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20" /><Relationship Type="http://schemas.openxmlformats.org/officeDocument/2006/relationships/hyperlink" Target="https://en.unesco.org/artificial-intelligence/observatory/policies?country=KM;%20https://www.unesco.org/ethics-ai/en/global-hub" TargetMode="External" Id="rId21" /><Relationship Type="http://schemas.openxmlformats.org/officeDocument/2006/relationships/hyperlink" Target="https://unctad.org/page/data-protection-and-privacy-legislation-worldwide" TargetMode="External" Id="rId22" /><Relationship Type="http://schemas.openxmlformats.org/officeDocument/2006/relationships/hyperlink" Target="https://unctad.org/page/data-protection-and-privacy-legislation-worldwide;%20https:/www.unicef.org/comoros/" TargetMode="External" Id="rId23" /><Relationship Type="http://schemas.openxmlformats.org/officeDocument/2006/relationships/hyperlink" Target="https://unctad.org/page/data-protection-and-privacy-legislation-worldwide" TargetMode="External" Id="rId24" /><Relationship Type="http://schemas.openxmlformats.org/officeDocument/2006/relationships/hyperlink" Target="https://unctad.org/page/data-protection-and-privacy-legislation-worldwide" TargetMode="External" Id="rId25" /><Relationship Type="http://schemas.openxmlformats.org/officeDocument/2006/relationships/hyperlink" Target="https://unctad.org/page/data-protection-and-privacy-legislation-worldwide" TargetMode="External" Id="rId26" /><Relationship Type="http://schemas.openxmlformats.org/officeDocument/2006/relationships/hyperlink" Target="https://www.humandignitytrust.org/country-profile/comoros/;%20https:/ilga.org/ilga-world-maps/" TargetMode="External" Id="rId27" /><Relationship Type="http://schemas.openxmlformats.org/officeDocument/2006/relationships/hyperlink" Target="https://ilga.org/ilga-world-maps/" TargetMode="External" Id="rId28" /><Relationship Type="http://schemas.openxmlformats.org/officeDocument/2006/relationships/hyperlink" Target="https://www.unicef.org/comoros/" TargetMode="External" Id="rId2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30" /><Relationship Type="http://schemas.openxmlformats.org/officeDocument/2006/relationships/hyperlink" Target="https://www.unesco.org/ethics-ai/en/global-hub" TargetMode="External" Id="rId31" /><Relationship Type="http://schemas.openxmlformats.org/officeDocument/2006/relationships/hyperlink" Target="https://unctad.org/page/data-protection-and-privacy-legislation-worldwide" TargetMode="External" Id="rId32" /><Relationship Type="http://schemas.openxmlformats.org/officeDocument/2006/relationships/hyperlink" Target="https://unctad.org/page/data-protection-and-privacy-legislation-worldwide;%20https:/www.unicef.org/democratic-republic-of-the-congo/" TargetMode="External" Id="rId33" /><Relationship Type="http://schemas.openxmlformats.org/officeDocument/2006/relationships/hyperlink" Target="https://unctad.org/page/data-protection-and-privacy-legislation-worldwide" TargetMode="External" Id="rId34" /><Relationship Type="http://schemas.openxmlformats.org/officeDocument/2006/relationships/hyperlink" Target="https://unctad.org/page/data-protection-and-privacy-legislation-worldwide" TargetMode="External" Id="rId35" /><Relationship Type="http://schemas.openxmlformats.org/officeDocument/2006/relationships/hyperlink" Target="https://unctad.org/page/data-protection-and-privacy-legislation-worldwide" TargetMode="External" Id="rId36" /><Relationship Type="http://schemas.openxmlformats.org/officeDocument/2006/relationships/hyperlink" Target="https://www.humandignitytrust.org/country-profile/democratic-republic-of-the-congo/;%20https:/ilga.org/ilga-world-maps/" TargetMode="External" Id="rId37" /><Relationship Type="http://schemas.openxmlformats.org/officeDocument/2006/relationships/hyperlink" Target="https://ilga.org/ilga-world-maps/" TargetMode="External" Id="rId38" /><Relationship Type="http://schemas.openxmlformats.org/officeDocument/2006/relationships/hyperlink" Target="https://www.unicef.org/democratic-republic-of-the-congo/" TargetMode="External" Id="rId3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40" /><Relationship Type="http://schemas.openxmlformats.org/officeDocument/2006/relationships/hyperlink" Target="https://en.unesco.org/artificial-intelligence/observatory/policies?country=SZ;%20https://www.unesco.org/ethics-ai/en/global-hub" TargetMode="External" Id="rId41" /><Relationship Type="http://schemas.openxmlformats.org/officeDocument/2006/relationships/hyperlink" Target="https://unctad.org/page/data-protection-and-privacy-legislation-worldwide" TargetMode="External" Id="rId42" /><Relationship Type="http://schemas.openxmlformats.org/officeDocument/2006/relationships/hyperlink" Target="https://www.unicef.org/eswatini/" TargetMode="External" Id="rId43" /><Relationship Type="http://schemas.openxmlformats.org/officeDocument/2006/relationships/hyperlink" Target="https://unctad.org/page/data-protection-and-privacy-legislation-worldwide" TargetMode="External" Id="rId44" /><Relationship Type="http://schemas.openxmlformats.org/officeDocument/2006/relationships/hyperlink" Target="https://unctad.org/page/data-protection-and-privacy-legislation-worldwide" TargetMode="External" Id="rId45" /><Relationship Type="http://schemas.openxmlformats.org/officeDocument/2006/relationships/hyperlink" Target="https://unctad.org/page/data-protection-and-privacy-legislation-worldwide" TargetMode="External" Id="rId46" /><Relationship Type="http://schemas.openxmlformats.org/officeDocument/2006/relationships/hyperlink" Target="https://www.humandignitytrust.org/country-profile/eswatini/;%20https:/ilga.org/ilga-world-maps/" TargetMode="External" Id="rId47" /><Relationship Type="http://schemas.openxmlformats.org/officeDocument/2006/relationships/hyperlink" Target="https://ilga.org/ilga-world-maps/" TargetMode="External" Id="rId48" /><Relationship Type="http://schemas.openxmlformats.org/officeDocument/2006/relationships/hyperlink" Target="https://www.unicef.org/eswatini/" TargetMode="External" Id="rId4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50" /><Relationship Type="http://schemas.openxmlformats.org/officeDocument/2006/relationships/hyperlink" Target="https://en.unesco.org/artificial-intelligence/observatory/policies?country=LS;%20https://www.unesco.org/ethics-ai/en/global-hub" TargetMode="External" Id="rId51" /><Relationship Type="http://schemas.openxmlformats.org/officeDocument/2006/relationships/hyperlink" Target="https://unctad.org/page/data-protection-and-privacy-legislation-worldwide" TargetMode="External" Id="rId52" /><Relationship Type="http://schemas.openxmlformats.org/officeDocument/2006/relationships/hyperlink" Target="https://unctad.org/page/data-protection-and-privacy-legislation-worldwide;%20https:/www.unicef.org/lesotho/" TargetMode="External" Id="rId53" /><Relationship Type="http://schemas.openxmlformats.org/officeDocument/2006/relationships/hyperlink" Target="https://unctad.org/page/data-protection-and-privacy-legislation-worldwide" TargetMode="External" Id="rId54" /><Relationship Type="http://schemas.openxmlformats.org/officeDocument/2006/relationships/hyperlink" Target="https://unctad.org/page/data-protection-and-privacy-legislation-worldwide" TargetMode="External" Id="rId55" /><Relationship Type="http://schemas.openxmlformats.org/officeDocument/2006/relationships/hyperlink" Target="https://unctad.org/page/data-protection-and-privacy-legislation-worldwide" TargetMode="External" Id="rId56" /><Relationship Type="http://schemas.openxmlformats.org/officeDocument/2006/relationships/hyperlink" Target="https://www.humandignitytrust.org/country-profile/lesotho/;%20https:/ilga.org/ilga-world-maps/" TargetMode="External" Id="rId57" /><Relationship Type="http://schemas.openxmlformats.org/officeDocument/2006/relationships/hyperlink" Target="https://ilga.org/ilga-world-maps/" TargetMode="External" Id="rId58" /><Relationship Type="http://schemas.openxmlformats.org/officeDocument/2006/relationships/hyperlink" Target="https://www.unicef.org/lesotho/" TargetMode="External" Id="rId59" /><Relationship Type="http://schemas.openxmlformats.org/officeDocument/2006/relationships/hyperlink" Target="https://www.gsma.com/solutions-and-impact/connectivity-for-good/public-policy/mobile-policy-handbook/consumer-protection/mandatory-registration-of-prepaid-sims/" TargetMode="External" Id="rId60" /><Relationship Type="http://schemas.openxmlformats.org/officeDocument/2006/relationships/hyperlink" Target="https://en.unesco.org/artificial-intelligence/observatory/policies?country=MG;%20https://www.unesco.org/ethics-ai/en/global-hub" TargetMode="External" Id="rId61" /><Relationship Type="http://schemas.openxmlformats.org/officeDocument/2006/relationships/hyperlink" Target="https://unctad.org/page/data-protection-and-privacy-legislation-worldwide" TargetMode="External" Id="rId62" /><Relationship Type="http://schemas.openxmlformats.org/officeDocument/2006/relationships/hyperlink" Target="https://www.unicef.org/madagascar/" TargetMode="External" Id="rId63" /><Relationship Type="http://schemas.openxmlformats.org/officeDocument/2006/relationships/hyperlink" Target="https://unctad.org/page/data-protection-and-privacy-legislation-worldwide" TargetMode="External" Id="rId64" /><Relationship Type="http://schemas.openxmlformats.org/officeDocument/2006/relationships/hyperlink" Target="https://unctad.org/page/data-protection-and-privacy-legislation-worldwide" TargetMode="External" Id="rId65" /><Relationship Type="http://schemas.openxmlformats.org/officeDocument/2006/relationships/hyperlink" Target="https://unctad.org/page/data-protection-and-privacy-legislation-worldwide" TargetMode="External" Id="rId66" /><Relationship Type="http://schemas.openxmlformats.org/officeDocument/2006/relationships/hyperlink" Target="https://www.humandignitytrust.org/country-profile/madagascar/;%20https:/ilga.org/ilga-world-maps/" TargetMode="External" Id="rId67" /><Relationship Type="http://schemas.openxmlformats.org/officeDocument/2006/relationships/hyperlink" Target="https://ilga.org/ilga-world-maps/" TargetMode="External" Id="rId68" /><Relationship Type="http://schemas.openxmlformats.org/officeDocument/2006/relationships/hyperlink" Target="https://www.unicef.org/madagascar/" TargetMode="External" Id="rId69" /><Relationship Type="http://schemas.openxmlformats.org/officeDocument/2006/relationships/hyperlink" Target="https://www.gsma.com/solutions-and-impact/connectivity-for-good/public-policy/mobile-policy-handbook/consumer-protection/mandatory-registration-of-prepaid-sims/" TargetMode="External" Id="rId70" /><Relationship Type="http://schemas.openxmlformats.org/officeDocument/2006/relationships/hyperlink" Target="https://en.unesco.org/artificial-intelligence/observatory/policies?country=MW;%20https://www.unesco.org/ethics-ai/en/global-hub" TargetMode="External" Id="rId71" /><Relationship Type="http://schemas.openxmlformats.org/officeDocument/2006/relationships/hyperlink" Target="https://unctad.org/page/data-protection-and-privacy-legislation-worldwide" TargetMode="External" Id="rId72" /><Relationship Type="http://schemas.openxmlformats.org/officeDocument/2006/relationships/hyperlink" Target="https://unctad.org/page/data-protection-and-privacy-legislation-worldwide;%20https:/www.unicef.org/malawi/" TargetMode="External" Id="rId73" /><Relationship Type="http://schemas.openxmlformats.org/officeDocument/2006/relationships/hyperlink" Target="https://unctad.org/page/data-protection-and-privacy-legislation-worldwide" TargetMode="External" Id="rId74" /><Relationship Type="http://schemas.openxmlformats.org/officeDocument/2006/relationships/hyperlink" Target="https://unctad.org/page/data-protection-and-privacy-legislation-worldwide" TargetMode="External" Id="rId75" /><Relationship Type="http://schemas.openxmlformats.org/officeDocument/2006/relationships/hyperlink" Target="https://unctad.org/page/data-protection-and-privacy-legislation-worldwide" TargetMode="External" Id="rId76" /><Relationship Type="http://schemas.openxmlformats.org/officeDocument/2006/relationships/hyperlink" Target="https://www.humandignitytrust.org/country-profile/malawi/;%20https:/ilga.org/ilga-world-maps/" TargetMode="External" Id="rId77" /><Relationship Type="http://schemas.openxmlformats.org/officeDocument/2006/relationships/hyperlink" Target="https://ilga.org/ilga-world-maps/" TargetMode="External" Id="rId78" /><Relationship Type="http://schemas.openxmlformats.org/officeDocument/2006/relationships/hyperlink" Target="https://www.unicef.org/malawi/" TargetMode="External" Id="rId7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80" /><Relationship Type="http://schemas.openxmlformats.org/officeDocument/2006/relationships/hyperlink" Target="https://en.unesco.org/artificial-intelligence/observatory/policies?country=MU;%20https://www.unesco.org/ethics-ai/en/global-hub" TargetMode="External" Id="rId81" /><Relationship Type="http://schemas.openxmlformats.org/officeDocument/2006/relationships/hyperlink" Target="https://unctad.org/page/data-protection-and-privacy-legislation-worldwide" TargetMode="External" Id="rId82" /><Relationship Type="http://schemas.openxmlformats.org/officeDocument/2006/relationships/hyperlink" Target="https://unctad.org/page/data-protection-and-privacy-legislation-worldwide;%20https:/www.unicef.org/mauritius/" TargetMode="External" Id="rId83" /><Relationship Type="http://schemas.openxmlformats.org/officeDocument/2006/relationships/hyperlink" Target="https://unctad.org/page/data-protection-and-privacy-legislation-worldwide" TargetMode="External" Id="rId84" /><Relationship Type="http://schemas.openxmlformats.org/officeDocument/2006/relationships/hyperlink" Target="https://unctad.org/page/data-protection-and-privacy-legislation-worldwide" TargetMode="External" Id="rId85" /><Relationship Type="http://schemas.openxmlformats.org/officeDocument/2006/relationships/hyperlink" Target="https://unctad.org/page/data-protection-and-privacy-legislation-worldwide" TargetMode="External" Id="rId86" /><Relationship Type="http://schemas.openxmlformats.org/officeDocument/2006/relationships/hyperlink" Target="https://www.humandignitytrust.org/country-profile/mauritius/;%20https:/ilga.org/ilga-world-maps/" TargetMode="External" Id="rId87" /><Relationship Type="http://schemas.openxmlformats.org/officeDocument/2006/relationships/hyperlink" Target="https://ilga.org/ilga-world-maps/" TargetMode="External" Id="rId88" /><Relationship Type="http://schemas.openxmlformats.org/officeDocument/2006/relationships/hyperlink" Target="https://www.unicef.org/mauritius/" TargetMode="External" Id="rId89" /><Relationship Type="http://schemas.openxmlformats.org/officeDocument/2006/relationships/hyperlink" Target="https://www.gsma.com/solutions-and-impact/connectivity-for-good/public-policy/mobile-policy-handbook/consumer-protection/mandatory-registration-of-prepaid-sims/" TargetMode="External" Id="rId90" /><Relationship Type="http://schemas.openxmlformats.org/officeDocument/2006/relationships/hyperlink" Target="https://en.unesco.org/artificial-intelligence/observatory/policies?country=MZ;%20https://www.unesco.org/ethics-ai/en/global-hub" TargetMode="External" Id="rId91" /><Relationship Type="http://schemas.openxmlformats.org/officeDocument/2006/relationships/hyperlink" Target="https://unctad.org/page/data-protection-and-privacy-legislation-worldwide" TargetMode="External" Id="rId92" /><Relationship Type="http://schemas.openxmlformats.org/officeDocument/2006/relationships/hyperlink" Target="https://www.unicef.org/mozambique/" TargetMode="External" Id="rId93" /><Relationship Type="http://schemas.openxmlformats.org/officeDocument/2006/relationships/hyperlink" Target="https://unctad.org/page/data-protection-and-privacy-legislation-worldwide" TargetMode="External" Id="rId94" /><Relationship Type="http://schemas.openxmlformats.org/officeDocument/2006/relationships/hyperlink" Target="https://unctad.org/page/data-protection-and-privacy-legislation-worldwide" TargetMode="External" Id="rId95" /><Relationship Type="http://schemas.openxmlformats.org/officeDocument/2006/relationships/hyperlink" Target="https://unctad.org/page/data-protection-and-privacy-legislation-worldwide" TargetMode="External" Id="rId96" /><Relationship Type="http://schemas.openxmlformats.org/officeDocument/2006/relationships/hyperlink" Target="https://www.humandignitytrust.org/country-profile/mozambique/;%20https:/ilga.org/ilga-world-maps/" TargetMode="External" Id="rId97" /><Relationship Type="http://schemas.openxmlformats.org/officeDocument/2006/relationships/hyperlink" Target="https://ilga.org/ilga-world-maps/" TargetMode="External" Id="rId98" /><Relationship Type="http://schemas.openxmlformats.org/officeDocument/2006/relationships/hyperlink" Target="https://www.unicef.org/mozambique/" TargetMode="External" Id="rId9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00" /><Relationship Type="http://schemas.openxmlformats.org/officeDocument/2006/relationships/hyperlink" Target="https://en.unesco.org/artificial-intelligence/observatory/policies?country=NA;%20https://www.unesco.org/ethics-ai/en/global-hub" TargetMode="External" Id="rId101" /><Relationship Type="http://schemas.openxmlformats.org/officeDocument/2006/relationships/hyperlink" Target="https://unctad.org/page/data-protection-and-privacy-legislation-worldwide" TargetMode="External" Id="rId102" /><Relationship Type="http://schemas.openxmlformats.org/officeDocument/2006/relationships/hyperlink" Target="https://www.unicef.org/namibia/" TargetMode="External" Id="rId103" /><Relationship Type="http://schemas.openxmlformats.org/officeDocument/2006/relationships/hyperlink" Target="https://unctad.org/page/data-protection-and-privacy-legislation-worldwide" TargetMode="External" Id="rId104" /><Relationship Type="http://schemas.openxmlformats.org/officeDocument/2006/relationships/hyperlink" Target="https://unctad.org/page/data-protection-and-privacy-legislation-worldwide" TargetMode="External" Id="rId105" /><Relationship Type="http://schemas.openxmlformats.org/officeDocument/2006/relationships/hyperlink" Target="https://unctad.org/page/data-protection-and-privacy-legislation-worldwide" TargetMode="External" Id="rId106" /><Relationship Type="http://schemas.openxmlformats.org/officeDocument/2006/relationships/hyperlink" Target="https://www.humandignitytrust.org/country-profile/namibia/;%20https:/ilga.org/ilga-world-maps/" TargetMode="External" Id="rId107" /><Relationship Type="http://schemas.openxmlformats.org/officeDocument/2006/relationships/hyperlink" Target="https://ilga.org/ilga-world-maps/" TargetMode="External" Id="rId108" /><Relationship Type="http://schemas.openxmlformats.org/officeDocument/2006/relationships/hyperlink" Target="https://www.unicef.org/namibia/" TargetMode="External" Id="rId109" /><Relationship Type="http://schemas.openxmlformats.org/officeDocument/2006/relationships/hyperlink" Target="https://www.gsma.com/solutions-and-impact/connectivity-for-good/public-policy/mobile-policy-handbook/consumer-protection/mandatory-registration-of-prepaid-sims/" TargetMode="External" Id="rId110" /><Relationship Type="http://schemas.openxmlformats.org/officeDocument/2006/relationships/hyperlink" Target="https://en.unesco.org/artificial-intelligence/observatory/policies?country=SC;%20https://www.unesco.org/ethics-ai/en/global-hub" TargetMode="External" Id="rId111" /><Relationship Type="http://schemas.openxmlformats.org/officeDocument/2006/relationships/hyperlink" Target="https://unctad.org/page/data-protection-and-privacy-legislation-worldwide" TargetMode="External" Id="rId112" /><Relationship Type="http://schemas.openxmlformats.org/officeDocument/2006/relationships/hyperlink" Target="https://www.unicef.org/seychelles/" TargetMode="External" Id="rId113" /><Relationship Type="http://schemas.openxmlformats.org/officeDocument/2006/relationships/hyperlink" Target="https://unctad.org/page/data-protection-and-privacy-legislation-worldwide" TargetMode="External" Id="rId114" /><Relationship Type="http://schemas.openxmlformats.org/officeDocument/2006/relationships/hyperlink" Target="https://unctad.org/page/data-protection-and-privacy-legislation-worldwide" TargetMode="External" Id="rId115" /><Relationship Type="http://schemas.openxmlformats.org/officeDocument/2006/relationships/hyperlink" Target="https://unctad.org/page/data-protection-and-privacy-legislation-worldwide" TargetMode="External" Id="rId116" /><Relationship Type="http://schemas.openxmlformats.org/officeDocument/2006/relationships/hyperlink" Target="https://www.humandignitytrust.org/country-profile/seychelles/;%20https:/ilga.org/ilga-world-maps/" TargetMode="External" Id="rId117" /><Relationship Type="http://schemas.openxmlformats.org/officeDocument/2006/relationships/hyperlink" Target="https://ilga.org/ilga-world-maps/" TargetMode="External" Id="rId118" /><Relationship Type="http://schemas.openxmlformats.org/officeDocument/2006/relationships/hyperlink" Target="https://www.unicef.org/seychelles/" TargetMode="External" Id="rId119" /><Relationship Type="http://schemas.openxmlformats.org/officeDocument/2006/relationships/hyperlink" Target="https://www.gsma.com/solutions-and-impact/connectivity-for-good/public-policy/mobile-policy-handbook/consumer-protection/mandatory-registration-of-prepaid-sims/" TargetMode="External" Id="rId120" /><Relationship Type="http://schemas.openxmlformats.org/officeDocument/2006/relationships/hyperlink" Target="https://en.unesco.org/artificial-intelligence/observatory/policies?country=ZA;%20https://www.unesco.org/ethics-ai/en/global-hub" TargetMode="External" Id="rId121" /><Relationship Type="http://schemas.openxmlformats.org/officeDocument/2006/relationships/hyperlink" Target="https://unctad.org/page/data-protection-and-privacy-legislation-worldwide" TargetMode="External" Id="rId122" /><Relationship Type="http://schemas.openxmlformats.org/officeDocument/2006/relationships/hyperlink" Target="https://unctad.org/page/data-protection-and-privacy-legislation-worldwide;%20https:/www.unicef.org/south-africa/" TargetMode="External" Id="rId123" /><Relationship Type="http://schemas.openxmlformats.org/officeDocument/2006/relationships/hyperlink" Target="https://unctad.org/page/data-protection-and-privacy-legislation-worldwide" TargetMode="External" Id="rId124" /><Relationship Type="http://schemas.openxmlformats.org/officeDocument/2006/relationships/hyperlink" Target="https://unctad.org/page/data-protection-and-privacy-legislation-worldwide" TargetMode="External" Id="rId125" /><Relationship Type="http://schemas.openxmlformats.org/officeDocument/2006/relationships/hyperlink" Target="https://unctad.org/page/data-protection-and-privacy-legislation-worldwide" TargetMode="External" Id="rId126" /><Relationship Type="http://schemas.openxmlformats.org/officeDocument/2006/relationships/hyperlink" Target="https://www.humandignitytrust.org/country-profile/south-africa/;%20https:/ilga.org/ilga-world-maps/" TargetMode="External" Id="rId127" /><Relationship Type="http://schemas.openxmlformats.org/officeDocument/2006/relationships/hyperlink" Target="https://ilga.org/ilga-world-maps/" TargetMode="External" Id="rId128" /><Relationship Type="http://schemas.openxmlformats.org/officeDocument/2006/relationships/hyperlink" Target="https://www.unicef.org/south-africa/" TargetMode="External" Id="rId129" /><Relationship Type="http://schemas.openxmlformats.org/officeDocument/2006/relationships/hyperlink" Target="https://www.gsma.com/solutions-and-impact/connectivity-for-good/public-policy/mobile-policy-handbook/consumer-protection/mandatory-registration-of-prepaid-sims/" TargetMode="External" Id="rId130" /><Relationship Type="http://schemas.openxmlformats.org/officeDocument/2006/relationships/hyperlink" Target="https://en.unesco.org/artificial-intelligence/observatory/policies?country=TZ;%20https://www.unesco.org/ethics-ai/en/global-hub" TargetMode="External" Id="rId131" /><Relationship Type="http://schemas.openxmlformats.org/officeDocument/2006/relationships/hyperlink" Target="https://unctad.org/page/data-protection-and-privacy-legislation-worldwide" TargetMode="External" Id="rId132" /><Relationship Type="http://schemas.openxmlformats.org/officeDocument/2006/relationships/hyperlink" Target="https://www.unicef.org/tanzania/" TargetMode="External" Id="rId133" /><Relationship Type="http://schemas.openxmlformats.org/officeDocument/2006/relationships/hyperlink" Target="https://unctad.org/page/data-protection-and-privacy-legislation-worldwide" TargetMode="External" Id="rId134" /><Relationship Type="http://schemas.openxmlformats.org/officeDocument/2006/relationships/hyperlink" Target="https://unctad.org/page/data-protection-and-privacy-legislation-worldwide" TargetMode="External" Id="rId135" /><Relationship Type="http://schemas.openxmlformats.org/officeDocument/2006/relationships/hyperlink" Target="https://unctad.org/page/data-protection-and-privacy-legislation-worldwide" TargetMode="External" Id="rId136" /><Relationship Type="http://schemas.openxmlformats.org/officeDocument/2006/relationships/hyperlink" Target="https://www.humandignitytrust.org/country-profile/tanzania/;%20https:/ilga.org/ilga-world-maps/" TargetMode="External" Id="rId137" /><Relationship Type="http://schemas.openxmlformats.org/officeDocument/2006/relationships/hyperlink" Target="https://ilga.org/ilga-world-maps/" TargetMode="External" Id="rId138" /><Relationship Type="http://schemas.openxmlformats.org/officeDocument/2006/relationships/hyperlink" Target="https://www.unicef.org/tanzania/" TargetMode="External" Id="rId13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40" /><Relationship Type="http://schemas.openxmlformats.org/officeDocument/2006/relationships/hyperlink" Target="https://en.unesco.org/artificial-intelligence/observatory/policies?country=ZM;%20https://www.unesco.org/ethics-ai/en/global-hub" TargetMode="External" Id="rId141" /><Relationship Type="http://schemas.openxmlformats.org/officeDocument/2006/relationships/hyperlink" Target="https://unctad.org/page/data-protection-and-privacy-legislation-worldwide" TargetMode="External" Id="rId142" /><Relationship Type="http://schemas.openxmlformats.org/officeDocument/2006/relationships/hyperlink" Target="https://unctad.org/page/data-protection-and-privacy-legislation-worldwide;%20https:/www.unicef.org/zambia/" TargetMode="External" Id="rId143" /><Relationship Type="http://schemas.openxmlformats.org/officeDocument/2006/relationships/hyperlink" Target="https://unctad.org/page/data-protection-and-privacy-legislation-worldwide" TargetMode="External" Id="rId144" /><Relationship Type="http://schemas.openxmlformats.org/officeDocument/2006/relationships/hyperlink" Target="https://unctad.org/page/data-protection-and-privacy-legislation-worldwide" TargetMode="External" Id="rId145" /><Relationship Type="http://schemas.openxmlformats.org/officeDocument/2006/relationships/hyperlink" Target="https://unctad.org/page/data-protection-and-privacy-legislation-worldwide" TargetMode="External" Id="rId146" /><Relationship Type="http://schemas.openxmlformats.org/officeDocument/2006/relationships/hyperlink" Target="https://www.humandignitytrust.org/country-profile/zambia/;%20https:/ilga.org/ilga-world-maps/" TargetMode="External" Id="rId147" /><Relationship Type="http://schemas.openxmlformats.org/officeDocument/2006/relationships/hyperlink" Target="https://ilga.org/ilga-world-maps/" TargetMode="External" Id="rId148" /><Relationship Type="http://schemas.openxmlformats.org/officeDocument/2006/relationships/hyperlink" Target="https://www.unicef.org/zambia/" TargetMode="External" Id="rId149" /><Relationship Type="http://schemas.openxmlformats.org/officeDocument/2006/relationships/hyperlink" Target="https://www.gsma.com/solutions-and-impact/connectivity-for-good/public-policy/mobile-policy-handbook/consumer-protection/mandatory-registration-of-prepaid-sims/" TargetMode="External" Id="rId150" /><Relationship Type="http://schemas.openxmlformats.org/officeDocument/2006/relationships/hyperlink" Target="https://en.unesco.org/artificial-intelligence/observatory/policies?country=ZW;%20https://www.unesco.org/ethics-ai/en/global-hub" TargetMode="External" Id="rId151" /><Relationship Type="http://schemas.openxmlformats.org/officeDocument/2006/relationships/hyperlink" Target="https://unctad.org/page/data-protection-and-privacy-legislation-worldwide" TargetMode="External" Id="rId152" /><Relationship Type="http://schemas.openxmlformats.org/officeDocument/2006/relationships/hyperlink" Target="https://www.unicef.org/zimbabwe/" TargetMode="External" Id="rId153" /><Relationship Type="http://schemas.openxmlformats.org/officeDocument/2006/relationships/hyperlink" Target="https://unctad.org/page/data-protection-and-privacy-legislation-worldwide" TargetMode="External" Id="rId154" /><Relationship Type="http://schemas.openxmlformats.org/officeDocument/2006/relationships/hyperlink" Target="https://unctad.org/page/data-protection-and-privacy-legislation-worldwide" TargetMode="External" Id="rId155" /><Relationship Type="http://schemas.openxmlformats.org/officeDocument/2006/relationships/hyperlink" Target="https://unctad.org/page/data-protection-and-privacy-legislation-worldwide" TargetMode="External" Id="rId156" /><Relationship Type="http://schemas.openxmlformats.org/officeDocument/2006/relationships/hyperlink" Target="https://www.humandignitytrust.org/country-profile/zimbabwe/;%20https:/ilga.org/ilga-world-maps/" TargetMode="External" Id="rId157" /><Relationship Type="http://schemas.openxmlformats.org/officeDocument/2006/relationships/hyperlink" Target="https://ilga.org/ilga-world-maps/" TargetMode="External" Id="rId158" /><Relationship Type="http://schemas.openxmlformats.org/officeDocument/2006/relationships/hyperlink" Target="https://www.unicef.org/zimbabwe/" TargetMode="External" Id="rId159" /><Relationship Type="http://schemas.openxmlformats.org/officeDocument/2006/relationships/hyperlink" Target="https://www.gsma.com/solutions-and-impact/connectivity-for-good/public-policy/mobile-policy-handbook/consumer-protection/mandatory-registration-of-prepaid-sims/" TargetMode="External" Id="rId160" /></Relationships>
</file>

<file path=xl/worksheets/_rels/sheet3.xml.rels><Relationships xmlns="http://schemas.openxmlformats.org/package/2006/relationships"><Relationship Type="http://schemas.openxmlformats.org/officeDocument/2006/relationships/hyperlink" Target="https://en.unesco.org/artificial-intelligence/observatory/policies?country=BJ;%20https://www.unesco.org/ethics-ai/en/global-hub" TargetMode="External" Id="rId1" /><Relationship Type="http://schemas.openxmlformats.org/officeDocument/2006/relationships/hyperlink" Target="https://unctad.org/page/data-protection-and-privacy-legislation-worldwide" TargetMode="External" Id="rId2" /><Relationship Type="http://schemas.openxmlformats.org/officeDocument/2006/relationships/hyperlink" Target="https://unctad.org/page/data-protection-and-privacy-legislation-worldwide;%20https:/www.unicef.org/benin/" TargetMode="External" Id="rId3" /><Relationship Type="http://schemas.openxmlformats.org/officeDocument/2006/relationships/hyperlink" Target="https://unctad.org/page/data-protection-and-privacy-legislation-worldwide" TargetMode="External" Id="rId4" /><Relationship Type="http://schemas.openxmlformats.org/officeDocument/2006/relationships/hyperlink" Target="https://unctad.org/page/data-protection-and-privacy-legislation-worldwide" TargetMode="External" Id="rId5" /><Relationship Type="http://schemas.openxmlformats.org/officeDocument/2006/relationships/hyperlink" Target="https://unctad.org/page/data-protection-and-privacy-legislation-worldwide" TargetMode="External" Id="rId6" /><Relationship Type="http://schemas.openxmlformats.org/officeDocument/2006/relationships/hyperlink" Target="https://www.humandignitytrust.org/country-profile/benin/;%20https:/ilga.org/ilga-world-maps/" TargetMode="External" Id="rId7" /><Relationship Type="http://schemas.openxmlformats.org/officeDocument/2006/relationships/hyperlink" Target="https://ilga.org/ilga-world-maps/" TargetMode="External" Id="rId8" /><Relationship Type="http://schemas.openxmlformats.org/officeDocument/2006/relationships/hyperlink" Target="https://www.unicef.org/benin/" TargetMode="External" Id="rId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0" /><Relationship Type="http://schemas.openxmlformats.org/officeDocument/2006/relationships/hyperlink" Target="https://en.unesco.org/artificial-intelligence/observatory/policies?country=BF;%20https://www.unesco.org/ethics-ai/en/global-hub" TargetMode="External" Id="rId11" /><Relationship Type="http://schemas.openxmlformats.org/officeDocument/2006/relationships/hyperlink" Target="https://unctad.org/page/data-protection-and-privacy-legislation-worldwide" TargetMode="External" Id="rId12" /><Relationship Type="http://schemas.openxmlformats.org/officeDocument/2006/relationships/hyperlink" Target="https://unctad.org/page/data-protection-and-privacy-legislation-worldwide;%20https:/www.unicef.org/burkina-faso/" TargetMode="External" Id="rId13" /><Relationship Type="http://schemas.openxmlformats.org/officeDocument/2006/relationships/hyperlink" Target="https://unctad.org/page/data-protection-and-privacy-legislation-worldwide" TargetMode="External" Id="rId14" /><Relationship Type="http://schemas.openxmlformats.org/officeDocument/2006/relationships/hyperlink" Target="https://unctad.org/page/data-protection-and-privacy-legislation-worldwide" TargetMode="External" Id="rId15" /><Relationship Type="http://schemas.openxmlformats.org/officeDocument/2006/relationships/hyperlink" Target="https://unctad.org/page/data-protection-and-privacy-legislation-worldwide" TargetMode="External" Id="rId16" /><Relationship Type="http://schemas.openxmlformats.org/officeDocument/2006/relationships/hyperlink" Target="https://www.humandignitytrust.org/country-profile/burkina-faso/;%20https:/ilga.org/ilga-world-maps/" TargetMode="External" Id="rId17" /><Relationship Type="http://schemas.openxmlformats.org/officeDocument/2006/relationships/hyperlink" Target="https://ilga.org/ilga-world-maps/" TargetMode="External" Id="rId18" /><Relationship Type="http://schemas.openxmlformats.org/officeDocument/2006/relationships/hyperlink" Target="https://www.unicef.org/burkina-faso/" TargetMode="External" Id="rId1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20" /><Relationship Type="http://schemas.openxmlformats.org/officeDocument/2006/relationships/hyperlink" Target="https://en.unesco.org/artificial-intelligence/observatory/policies?country=CV;%20https://www.unesco.org/ethics-ai/en/global-hub" TargetMode="External" Id="rId21" /><Relationship Type="http://schemas.openxmlformats.org/officeDocument/2006/relationships/hyperlink" Target="https://unctad.org/page/data-protection-and-privacy-legislation-worldwide" TargetMode="External" Id="rId22" /><Relationship Type="http://schemas.openxmlformats.org/officeDocument/2006/relationships/hyperlink" Target="https://unctad.org/page/data-protection-and-privacy-legislation-worldwide;%20https:/www.unicef.org/cabo-verde/" TargetMode="External" Id="rId23" /><Relationship Type="http://schemas.openxmlformats.org/officeDocument/2006/relationships/hyperlink" Target="https://unctad.org/page/data-protection-and-privacy-legislation-worldwide" TargetMode="External" Id="rId24" /><Relationship Type="http://schemas.openxmlformats.org/officeDocument/2006/relationships/hyperlink" Target="https://unctad.org/page/data-protection-and-privacy-legislation-worldwide" TargetMode="External" Id="rId25" /><Relationship Type="http://schemas.openxmlformats.org/officeDocument/2006/relationships/hyperlink" Target="https://unctad.org/page/data-protection-and-privacy-legislation-worldwide" TargetMode="External" Id="rId26" /><Relationship Type="http://schemas.openxmlformats.org/officeDocument/2006/relationships/hyperlink" Target="https://www.humandignitytrust.org/country-profile/cabo-verde/;%20https:/ilga.org/ilga-world-maps/" TargetMode="External" Id="rId27" /><Relationship Type="http://schemas.openxmlformats.org/officeDocument/2006/relationships/hyperlink" Target="https://ilga.org/ilga-world-maps/" TargetMode="External" Id="rId28" /><Relationship Type="http://schemas.openxmlformats.org/officeDocument/2006/relationships/hyperlink" Target="https://www.unicef.org/cabo-verde/" TargetMode="External" Id="rId2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30" /><Relationship Type="http://schemas.openxmlformats.org/officeDocument/2006/relationships/hyperlink" Target="https://www.unesco.org/ethics-ai/en/global-hub" TargetMode="External" Id="rId31" /><Relationship Type="http://schemas.openxmlformats.org/officeDocument/2006/relationships/hyperlink" Target="https://unctad.org/page/data-protection-and-privacy-legislation-worldwide" TargetMode="External" Id="rId32" /><Relationship Type="http://schemas.openxmlformats.org/officeDocument/2006/relationships/hyperlink" Target="https://unctad.org/page/data-protection-and-privacy-legislation-worldwide;%20https:/www.unicef.org/cote-divoire/" TargetMode="External" Id="rId33" /><Relationship Type="http://schemas.openxmlformats.org/officeDocument/2006/relationships/hyperlink" Target="https://unctad.org/page/data-protection-and-privacy-legislation-worldwide" TargetMode="External" Id="rId34" /><Relationship Type="http://schemas.openxmlformats.org/officeDocument/2006/relationships/hyperlink" Target="https://unctad.org/page/data-protection-and-privacy-legislation-worldwide" TargetMode="External" Id="rId35" /><Relationship Type="http://schemas.openxmlformats.org/officeDocument/2006/relationships/hyperlink" Target="https://unctad.org/page/data-protection-and-privacy-legislation-worldwide" TargetMode="External" Id="rId36" /><Relationship Type="http://schemas.openxmlformats.org/officeDocument/2006/relationships/hyperlink" Target="https://www.humandignitytrust.org/country-profile/cote-divoire/;%20https:/ilga.org/ilga-world-maps/" TargetMode="External" Id="rId37" /><Relationship Type="http://schemas.openxmlformats.org/officeDocument/2006/relationships/hyperlink" Target="https://ilga.org/ilga-world-maps/" TargetMode="External" Id="rId38" /><Relationship Type="http://schemas.openxmlformats.org/officeDocument/2006/relationships/hyperlink" Target="https://www.unicef.org/cote-divoire/" TargetMode="External" Id="rId3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40" /><Relationship Type="http://schemas.openxmlformats.org/officeDocument/2006/relationships/hyperlink" Target="https://en.unesco.org/artificial-intelligence/observatory/policies?country=GM;%20https://www.unesco.org/ethics-ai/en/global-hub" TargetMode="External" Id="rId41" /><Relationship Type="http://schemas.openxmlformats.org/officeDocument/2006/relationships/hyperlink" Target="https://unctad.org/page/data-protection-and-privacy-legislation-worldwide" TargetMode="External" Id="rId42" /><Relationship Type="http://schemas.openxmlformats.org/officeDocument/2006/relationships/hyperlink" Target="https://www.unicef.org/gambia/" TargetMode="External" Id="rId43" /><Relationship Type="http://schemas.openxmlformats.org/officeDocument/2006/relationships/hyperlink" Target="https://unctad.org/page/data-protection-and-privacy-legislation-worldwide" TargetMode="External" Id="rId44" /><Relationship Type="http://schemas.openxmlformats.org/officeDocument/2006/relationships/hyperlink" Target="https://unctad.org/page/data-protection-and-privacy-legislation-worldwide" TargetMode="External" Id="rId45" /><Relationship Type="http://schemas.openxmlformats.org/officeDocument/2006/relationships/hyperlink" Target="https://unctad.org/page/data-protection-and-privacy-legislation-worldwide" TargetMode="External" Id="rId46" /><Relationship Type="http://schemas.openxmlformats.org/officeDocument/2006/relationships/hyperlink" Target="https://www.humandignitytrust.org/country-profile/gambia/;%20https:/ilga.org/ilga-world-maps/" TargetMode="External" Id="rId47" /><Relationship Type="http://schemas.openxmlformats.org/officeDocument/2006/relationships/hyperlink" Target="https://ilga.org/ilga-world-maps/" TargetMode="External" Id="rId48" /><Relationship Type="http://schemas.openxmlformats.org/officeDocument/2006/relationships/hyperlink" Target="https://www.unicef.org/gambia/" TargetMode="External" Id="rId4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50" /><Relationship Type="http://schemas.openxmlformats.org/officeDocument/2006/relationships/hyperlink" Target="https://en.unesco.org/artificial-intelligence/observatory/policies?country=GH;%20https://www.unesco.org/ethics-ai/en/global-hub" TargetMode="External" Id="rId51" /><Relationship Type="http://schemas.openxmlformats.org/officeDocument/2006/relationships/hyperlink" Target="https://unctad.org/page/data-protection-and-privacy-legislation-worldwide" TargetMode="External" Id="rId52" /><Relationship Type="http://schemas.openxmlformats.org/officeDocument/2006/relationships/hyperlink" Target="https://unctad.org/page/data-protection-and-privacy-legislation-worldwide;%20https:/www.unicef.org/ghana/" TargetMode="External" Id="rId53" /><Relationship Type="http://schemas.openxmlformats.org/officeDocument/2006/relationships/hyperlink" Target="https://unctad.org/page/data-protection-and-privacy-legislation-worldwide" TargetMode="External" Id="rId54" /><Relationship Type="http://schemas.openxmlformats.org/officeDocument/2006/relationships/hyperlink" Target="https://unctad.org/page/data-protection-and-privacy-legislation-worldwide" TargetMode="External" Id="rId55" /><Relationship Type="http://schemas.openxmlformats.org/officeDocument/2006/relationships/hyperlink" Target="https://unctad.org/page/data-protection-and-privacy-legislation-worldwide" TargetMode="External" Id="rId56" /><Relationship Type="http://schemas.openxmlformats.org/officeDocument/2006/relationships/hyperlink" Target="https://www.humandignitytrust.org/country-profile/ghana/;%20https:/ilga.org/ilga-world-maps/" TargetMode="External" Id="rId57" /><Relationship Type="http://schemas.openxmlformats.org/officeDocument/2006/relationships/hyperlink" Target="https://ilga.org/ilga-world-maps/" TargetMode="External" Id="rId58" /><Relationship Type="http://schemas.openxmlformats.org/officeDocument/2006/relationships/hyperlink" Target="https://www.unicef.org/ghana/" TargetMode="External" Id="rId5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60" /><Relationship Type="http://schemas.openxmlformats.org/officeDocument/2006/relationships/hyperlink" Target="https://en.unesco.org/artificial-intelligence/observatory/policies?country=GN;%20https://www.unesco.org/ethics-ai/en/global-hub" TargetMode="External" Id="rId61" /><Relationship Type="http://schemas.openxmlformats.org/officeDocument/2006/relationships/hyperlink" Target="https://unctad.org/page/data-protection-and-privacy-legislation-worldwide" TargetMode="External" Id="rId62" /><Relationship Type="http://schemas.openxmlformats.org/officeDocument/2006/relationships/hyperlink" Target="https://unctad.org/page/data-protection-and-privacy-legislation-worldwide;%20https:/www.unicef.org/guinea/" TargetMode="External" Id="rId63" /><Relationship Type="http://schemas.openxmlformats.org/officeDocument/2006/relationships/hyperlink" Target="https://unctad.org/page/data-protection-and-privacy-legislation-worldwide" TargetMode="External" Id="rId64" /><Relationship Type="http://schemas.openxmlformats.org/officeDocument/2006/relationships/hyperlink" Target="https://unctad.org/page/data-protection-and-privacy-legislation-worldwide" TargetMode="External" Id="rId65" /><Relationship Type="http://schemas.openxmlformats.org/officeDocument/2006/relationships/hyperlink" Target="https://unctad.org/page/data-protection-and-privacy-legislation-worldwide" TargetMode="External" Id="rId66" /><Relationship Type="http://schemas.openxmlformats.org/officeDocument/2006/relationships/hyperlink" Target="https://www.humandignitytrust.org/country-profile/guinea/;%20https:/ilga.org/ilga-world-maps/" TargetMode="External" Id="rId67" /><Relationship Type="http://schemas.openxmlformats.org/officeDocument/2006/relationships/hyperlink" Target="https://ilga.org/ilga-world-maps/" TargetMode="External" Id="rId68" /><Relationship Type="http://schemas.openxmlformats.org/officeDocument/2006/relationships/hyperlink" Target="https://www.unicef.org/guinea/" TargetMode="External" Id="rId6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70" /><Relationship Type="http://schemas.openxmlformats.org/officeDocument/2006/relationships/hyperlink" Target="https://en.unesco.org/artificial-intelligence/observatory/policies?country=GW;%20https://www.unesco.org/ethics-ai/en/global-hub" TargetMode="External" Id="rId71" /><Relationship Type="http://schemas.openxmlformats.org/officeDocument/2006/relationships/hyperlink" Target="https://unctad.org/page/data-protection-and-privacy-legislation-worldwide" TargetMode="External" Id="rId72" /><Relationship Type="http://schemas.openxmlformats.org/officeDocument/2006/relationships/hyperlink" Target="https://www.unicef.org/guinea-bissau/" TargetMode="External" Id="rId73" /><Relationship Type="http://schemas.openxmlformats.org/officeDocument/2006/relationships/hyperlink" Target="https://unctad.org/page/data-protection-and-privacy-legislation-worldwide" TargetMode="External" Id="rId74" /><Relationship Type="http://schemas.openxmlformats.org/officeDocument/2006/relationships/hyperlink" Target="https://unctad.org/page/data-protection-and-privacy-legislation-worldwide" TargetMode="External" Id="rId75" /><Relationship Type="http://schemas.openxmlformats.org/officeDocument/2006/relationships/hyperlink" Target="https://unctad.org/page/data-protection-and-privacy-legislation-worldwide" TargetMode="External" Id="rId76" /><Relationship Type="http://schemas.openxmlformats.org/officeDocument/2006/relationships/hyperlink" Target="https://www.humandignitytrust.org/country-profile/guinea-bissau/;%20https:/ilga.org/ilga-world-maps/" TargetMode="External" Id="rId77" /><Relationship Type="http://schemas.openxmlformats.org/officeDocument/2006/relationships/hyperlink" Target="https://ilga.org/ilga-world-maps/" TargetMode="External" Id="rId78" /><Relationship Type="http://schemas.openxmlformats.org/officeDocument/2006/relationships/hyperlink" Target="https://www.unicef.org/guinea-bissau/" TargetMode="External" Id="rId79" /><Relationship Type="http://schemas.openxmlformats.org/officeDocument/2006/relationships/hyperlink" Target="https://www.gsma.com/solutions-and-impact/connectivity-for-good/public-policy/mobile-policy-handbook/consumer-protection/mandatory-registration-of-prepaid-sims/" TargetMode="External" Id="rId80" /><Relationship Type="http://schemas.openxmlformats.org/officeDocument/2006/relationships/hyperlink" Target="https://en.unesco.org/artificial-intelligence/observatory/policies?country=LR;%20https://www.unesco.org/ethics-ai/en/global-hub" TargetMode="External" Id="rId81" /><Relationship Type="http://schemas.openxmlformats.org/officeDocument/2006/relationships/hyperlink" Target="https://unctad.org/page/data-protection-and-privacy-legislation-worldwide" TargetMode="External" Id="rId82" /><Relationship Type="http://schemas.openxmlformats.org/officeDocument/2006/relationships/hyperlink" Target="https://www.unicef.org/liberia/" TargetMode="External" Id="rId83" /><Relationship Type="http://schemas.openxmlformats.org/officeDocument/2006/relationships/hyperlink" Target="https://unctad.org/page/data-protection-and-privacy-legislation-worldwide" TargetMode="External" Id="rId84" /><Relationship Type="http://schemas.openxmlformats.org/officeDocument/2006/relationships/hyperlink" Target="https://unctad.org/page/data-protection-and-privacy-legislation-worldwide" TargetMode="External" Id="rId85" /><Relationship Type="http://schemas.openxmlformats.org/officeDocument/2006/relationships/hyperlink" Target="https://unctad.org/page/data-protection-and-privacy-legislation-worldwide" TargetMode="External" Id="rId86" /><Relationship Type="http://schemas.openxmlformats.org/officeDocument/2006/relationships/hyperlink" Target="https://www.humandignitytrust.org/country-profile/liberia/;%20https:/ilga.org/ilga-world-maps/" TargetMode="External" Id="rId87" /><Relationship Type="http://schemas.openxmlformats.org/officeDocument/2006/relationships/hyperlink" Target="https://ilga.org/ilga-world-maps/" TargetMode="External" Id="rId88" /><Relationship Type="http://schemas.openxmlformats.org/officeDocument/2006/relationships/hyperlink" Target="https://www.unicef.org/liberia/" TargetMode="External" Id="rId89" /><Relationship Type="http://schemas.openxmlformats.org/officeDocument/2006/relationships/hyperlink" Target="https://www.gsma.com/solutions-and-impact/connectivity-for-good/public-policy/mobile-policy-handbook/consumer-protection/mandatory-registration-of-prepaid-sims/" TargetMode="External" Id="rId90" /><Relationship Type="http://schemas.openxmlformats.org/officeDocument/2006/relationships/hyperlink" Target="https://en.unesco.org/artificial-intelligence/observatory/policies?country=NG;%20https://www.unesco.org/ethics-ai/en/global-hub" TargetMode="External" Id="rId91" /><Relationship Type="http://schemas.openxmlformats.org/officeDocument/2006/relationships/hyperlink" Target="https://unctad.org/page/data-protection-and-privacy-legislation-worldwide" TargetMode="External" Id="rId92" /><Relationship Type="http://schemas.openxmlformats.org/officeDocument/2006/relationships/hyperlink" Target="https://unctad.org/page/data-protection-and-privacy-legislation-worldwide;%20https:/www.unicef.org/nigeria/" TargetMode="External" Id="rId93" /><Relationship Type="http://schemas.openxmlformats.org/officeDocument/2006/relationships/hyperlink" Target="https://unctad.org/page/data-protection-and-privacy-legislation-worldwide" TargetMode="External" Id="rId94" /><Relationship Type="http://schemas.openxmlformats.org/officeDocument/2006/relationships/hyperlink" Target="https://unctad.org/page/data-protection-and-privacy-legislation-worldwide" TargetMode="External" Id="rId95" /><Relationship Type="http://schemas.openxmlformats.org/officeDocument/2006/relationships/hyperlink" Target="https://unctad.org/page/data-protection-and-privacy-legislation-worldwide" TargetMode="External" Id="rId96" /><Relationship Type="http://schemas.openxmlformats.org/officeDocument/2006/relationships/hyperlink" Target="https://www.humandignitytrust.org/country-profile/nigeria/;%20https:/ilga.org/ilga-world-maps/" TargetMode="External" Id="rId97" /><Relationship Type="http://schemas.openxmlformats.org/officeDocument/2006/relationships/hyperlink" Target="https://ilga.org/ilga-world-maps/" TargetMode="External" Id="rId98" /><Relationship Type="http://schemas.openxmlformats.org/officeDocument/2006/relationships/hyperlink" Target="https://www.unicef.org/nigeria/" TargetMode="External" Id="rId99" /><Relationship Type="http://schemas.openxmlformats.org/officeDocument/2006/relationships/hyperlink" Target="https://www.gsma.com/solutions-and-impact/connectivity-for-good/public-policy/mobile-policy-handbook/consumer-protection/mandatory-registration-of-prepaid-sims/;%20https:/privacyinternational.org/learn/sim-card-registration" TargetMode="External" Id="rId100" /><Relationship Type="http://schemas.openxmlformats.org/officeDocument/2006/relationships/hyperlink" Target="https://en.unesco.org/artificial-intelligence/observatory/policies?country=SN;%20https://www.unesco.org/ethics-ai/en/global-hub" TargetMode="External" Id="rId101" /><Relationship Type="http://schemas.openxmlformats.org/officeDocument/2006/relationships/hyperlink" Target="https://unctad.org/page/data-protection-and-privacy-legislation-worldwide" TargetMode="External" Id="rId102" /><Relationship Type="http://schemas.openxmlformats.org/officeDocument/2006/relationships/hyperlink" Target="https://unctad.org/page/data-protection-and-privacy-legislation-worldwide;%20https:/www.unicef.org/senegal/" TargetMode="External" Id="rId103" /><Relationship Type="http://schemas.openxmlformats.org/officeDocument/2006/relationships/hyperlink" Target="https://unctad.org/page/data-protection-and-privacy-legislation-worldwide" TargetMode="External" Id="rId104" /><Relationship Type="http://schemas.openxmlformats.org/officeDocument/2006/relationships/hyperlink" Target="https://unctad.org/page/data-protection-and-privacy-legislation-worldwide" TargetMode="External" Id="rId105" /><Relationship Type="http://schemas.openxmlformats.org/officeDocument/2006/relationships/hyperlink" Target="https://unctad.org/page/data-protection-and-privacy-legislation-worldwide" TargetMode="External" Id="rId106" /><Relationship Type="http://schemas.openxmlformats.org/officeDocument/2006/relationships/hyperlink" Target="https://www.humandignitytrust.org/country-profile/senegal/;%20https:/ilga.org/ilga-world-maps/" TargetMode="External" Id="rId107" /><Relationship Type="http://schemas.openxmlformats.org/officeDocument/2006/relationships/hyperlink" Target="https://ilga.org/ilga-world-maps/" TargetMode="External" Id="rId108" /><Relationship Type="http://schemas.openxmlformats.org/officeDocument/2006/relationships/hyperlink" Target="https://www.unicef.org/senegal/" TargetMode="External" Id="rId109" /><Relationship Type="http://schemas.openxmlformats.org/officeDocument/2006/relationships/hyperlink" Target="https://www.gsma.com/solutions-and-impact/connectivity-for-good/public-policy/mobile-policy-handbook/consumer-protection/mandatory-registration-of-prepaid-sims/" TargetMode="External" Id="rId110" /><Relationship Type="http://schemas.openxmlformats.org/officeDocument/2006/relationships/hyperlink" Target="https://en.unesco.org/artificial-intelligence/observatory/policies?country=SL;%20https://www.unesco.org/ethics-ai/en/global-hub" TargetMode="External" Id="rId111" /><Relationship Type="http://schemas.openxmlformats.org/officeDocument/2006/relationships/hyperlink" Target="https://unctad.org/page/data-protection-and-privacy-legislation-worldwide" TargetMode="External" Id="rId112" /><Relationship Type="http://schemas.openxmlformats.org/officeDocument/2006/relationships/hyperlink" Target="https://unctad.org/page/data-protection-and-privacy-legislation-worldwide;%20https:/www.unicef.org/sierra-leone/" TargetMode="External" Id="rId113" /><Relationship Type="http://schemas.openxmlformats.org/officeDocument/2006/relationships/hyperlink" Target="https://unctad.org/page/data-protection-and-privacy-legislation-worldwide" TargetMode="External" Id="rId114" /><Relationship Type="http://schemas.openxmlformats.org/officeDocument/2006/relationships/hyperlink" Target="https://unctad.org/page/data-protection-and-privacy-legislation-worldwide" TargetMode="External" Id="rId115" /><Relationship Type="http://schemas.openxmlformats.org/officeDocument/2006/relationships/hyperlink" Target="https://unctad.org/page/data-protection-and-privacy-legislation-worldwide" TargetMode="External" Id="rId116" /><Relationship Type="http://schemas.openxmlformats.org/officeDocument/2006/relationships/hyperlink" Target="https://www.humandignitytrust.org/country-profile/sierra-leone/;%20https:/ilga.org/ilga-world-maps/" TargetMode="External" Id="rId117" /><Relationship Type="http://schemas.openxmlformats.org/officeDocument/2006/relationships/hyperlink" Target="https://ilga.org/ilga-world-maps/" TargetMode="External" Id="rId118" /><Relationship Type="http://schemas.openxmlformats.org/officeDocument/2006/relationships/hyperlink" Target="https://www.unicef.org/sierra-leone/" TargetMode="External" Id="rId119" /><Relationship Type="http://schemas.openxmlformats.org/officeDocument/2006/relationships/hyperlink" Target="https://www.gsma.com/solutions-and-impact/connectivity-for-good/public-policy/mobile-policy-handbook/consumer-protection/mandatory-registration-of-prepaid-sims/" TargetMode="External" Id="rId120" /><Relationship Type="http://schemas.openxmlformats.org/officeDocument/2006/relationships/hyperlink" Target="https://en.unesco.org/artificial-intelligence/observatory/policies?country=TG;%20https://www.unesco.org/ethics-ai/en/global-hub" TargetMode="External" Id="rId121" /><Relationship Type="http://schemas.openxmlformats.org/officeDocument/2006/relationships/hyperlink" Target="https://unctad.org/page/data-protection-and-privacy-legislation-worldwide" TargetMode="External" Id="rId122" /><Relationship Type="http://schemas.openxmlformats.org/officeDocument/2006/relationships/hyperlink" Target="https://unctad.org/page/data-protection-and-privacy-legislation-worldwide;%20https:/www.unicef.org/togo/" TargetMode="External" Id="rId123" /><Relationship Type="http://schemas.openxmlformats.org/officeDocument/2006/relationships/hyperlink" Target="https://unctad.org/page/data-protection-and-privacy-legislation-worldwide" TargetMode="External" Id="rId124" /><Relationship Type="http://schemas.openxmlformats.org/officeDocument/2006/relationships/hyperlink" Target="https://unctad.org/page/data-protection-and-privacy-legislation-worldwide" TargetMode="External" Id="rId125" /><Relationship Type="http://schemas.openxmlformats.org/officeDocument/2006/relationships/hyperlink" Target="https://unctad.org/page/data-protection-and-privacy-legislation-worldwide" TargetMode="External" Id="rId126" /><Relationship Type="http://schemas.openxmlformats.org/officeDocument/2006/relationships/hyperlink" Target="https://www.humandignitytrust.org/country-profile/togo/;%20https:/ilga.org/ilga-world-maps/" TargetMode="External" Id="rId127" /><Relationship Type="http://schemas.openxmlformats.org/officeDocument/2006/relationships/hyperlink" Target="https://ilga.org/ilga-world-maps/" TargetMode="External" Id="rId128" /><Relationship Type="http://schemas.openxmlformats.org/officeDocument/2006/relationships/hyperlink" Target="https://www.unicef.org/togo/" TargetMode="External" Id="rId129" /><Relationship Type="http://schemas.openxmlformats.org/officeDocument/2006/relationships/hyperlink" Target="https://www.gsma.com/solutions-and-impact/connectivity-for-good/public-policy/mobile-policy-handbook/consumer-protection/mandatory-registration-of-prepaid-sims/" TargetMode="External" Id="rId130" /></Relationships>
</file>

<file path=xl/worksheets/sheet1.xml><?xml version="1.0" encoding="utf-8"?>
<worksheet xmlns="http://schemas.openxmlformats.org/spreadsheetml/2006/main">
  <sheetPr>
    <outlinePr summaryBelow="1" summaryRight="1"/>
    <pageSetUpPr/>
  </sheetPr>
  <dimension ref="A1:AR195"/>
  <sheetViews>
    <sheetView tabSelected="1" workbookViewId="0">
      <selection activeCell="W88" sqref="W88"/>
    </sheetView>
  </sheetViews>
  <sheetFormatPr baseColWidth="8" defaultColWidth="17.890625" defaultRowHeight="15"/>
  <cols>
    <col width="17.890625" customWidth="1" style="48" min="1" max="36"/>
    <col width="17.890625" customWidth="1" style="24" min="37" max="37"/>
    <col width="17.890625" customWidth="1" style="48" min="38" max="16384"/>
  </cols>
  <sheetData>
    <row r="1">
      <c r="A1" s="15" t="inlineStr">
        <is>
          <t>RowNumber</t>
        </is>
      </c>
      <c r="B1" s="15" t="inlineStr">
        <is>
          <t>Country</t>
        </is>
      </c>
      <c r="C1" s="15" t="inlineStr">
        <is>
          <t>Region - Broad</t>
        </is>
      </c>
      <c r="D1" s="15" t="inlineStr">
        <is>
          <t>Region - Specific</t>
        </is>
      </c>
      <c r="E1" s="15" t="inlineStr">
        <is>
          <t>Data_Protection_Law</t>
        </is>
      </c>
      <c r="F1" s="15" t="inlineStr">
        <is>
          <t>Data_Protection_Law_Source</t>
        </is>
      </c>
      <c r="G1" s="15" t="inlineStr">
        <is>
          <t>DPA_Independence</t>
        </is>
      </c>
      <c r="H1" s="15" t="inlineStr">
        <is>
          <t>DPA_Independence_Source</t>
        </is>
      </c>
      <c r="I1" s="15" t="inlineStr">
        <is>
          <t>Children_Data_Safeguards</t>
        </is>
      </c>
      <c r="J1" s="15" t="inlineStr">
        <is>
          <t>Children_Data_Safeguards_Source</t>
        </is>
      </c>
      <c r="K1" s="15" t="inlineStr">
        <is>
          <t>COP_Strategy</t>
        </is>
      </c>
      <c r="L1" s="15" t="inlineStr">
        <is>
          <t>COP_Strategy_Source</t>
        </is>
      </c>
      <c r="M1" s="15" t="inlineStr">
        <is>
          <t>SOGI_Sensitive_Data</t>
        </is>
      </c>
      <c r="N1" s="15" t="inlineStr">
        <is>
          <t>SOGI_Sensitive_Data_Source</t>
        </is>
      </c>
      <c r="O1" s="15" t="inlineStr">
        <is>
          <t>LGBTQ_Legal_Status</t>
        </is>
      </c>
      <c r="P1" s="15" t="inlineStr">
        <is>
          <t>LGBTQ_Legal_Status_Source</t>
        </is>
      </c>
      <c r="Q1" s="15" t="inlineStr">
        <is>
          <t>Promotion_Propaganda_Offences</t>
        </is>
      </c>
      <c r="R1" s="15" t="inlineStr">
        <is>
          <t>Promotion_Propaganda_Offences_Source</t>
        </is>
      </c>
      <c r="S1" s="15" t="inlineStr">
        <is>
          <t>AI_Policy_Status</t>
        </is>
      </c>
      <c r="T1" s="15" t="inlineStr">
        <is>
          <t>AI_Policy_Status_Source</t>
        </is>
      </c>
      <c r="U1" s="15" t="inlineStr">
        <is>
          <t>DPIA_Required_High_Risk_AI</t>
        </is>
      </c>
      <c r="V1" s="15" t="inlineStr">
        <is>
          <t>DPIA_Required_High_Risk_AI_Source</t>
        </is>
      </c>
      <c r="W1" s="15" t="inlineStr">
        <is>
          <t>SIM_Biometric_ID_Linkage</t>
        </is>
      </c>
      <c r="X1" s="15" t="inlineStr">
        <is>
          <t>SIM_Biometric_ID_Linkage_Source</t>
        </is>
      </c>
      <c r="Y1" s="25" t="inlineStr">
        <is>
          <t>DP</t>
        </is>
      </c>
      <c r="Z1" s="25" t="inlineStr">
        <is>
          <t>DI</t>
        </is>
      </c>
      <c r="AA1" s="25" t="inlineStr">
        <is>
          <t>CD</t>
        </is>
      </c>
      <c r="AB1" s="25" t="inlineStr">
        <is>
          <t>CS</t>
        </is>
      </c>
      <c r="AC1" s="25" t="inlineStr">
        <is>
          <t>SD</t>
        </is>
      </c>
      <c r="AD1" s="25" t="inlineStr">
        <is>
          <t>LS</t>
        </is>
      </c>
      <c r="AE1" s="25" t="inlineStr">
        <is>
          <t>PO</t>
        </is>
      </c>
      <c r="AF1" s="25" t="inlineStr">
        <is>
          <t>AI</t>
        </is>
      </c>
      <c r="AG1" s="25" t="inlineStr">
        <is>
          <t>HR</t>
        </is>
      </c>
      <c r="AH1" s="25" t="inlineStr">
        <is>
          <t>ID</t>
        </is>
      </c>
      <c r="AI1" s="25" t="inlineStr">
        <is>
          <t>protection_index</t>
        </is>
      </c>
      <c r="AJ1" s="25" t="inlineStr">
        <is>
          <t>Risk_index</t>
        </is>
      </c>
      <c r="AK1" s="26" t="inlineStr">
        <is>
          <t>region_norm</t>
        </is>
      </c>
      <c r="AL1" s="15" t="inlineStr">
        <is>
          <t>RowNumber.1</t>
        </is>
      </c>
      <c r="AM1" t="inlineStr">
        <is>
          <t>OLD_MAX</t>
        </is>
      </c>
      <c r="AN1" t="inlineStr">
        <is>
          <t>OLD_MIN</t>
        </is>
      </c>
      <c r="AO1" t="inlineStr">
        <is>
          <t>OLD_MAX - OLD_MIN</t>
        </is>
      </c>
      <c r="AP1" t="inlineStr">
        <is>
          <t>NEW_MAX</t>
        </is>
      </c>
      <c r="AQ1" t="inlineStr">
        <is>
          <t>NEW_MIN</t>
        </is>
      </c>
      <c r="AR1" t="inlineStr">
        <is>
          <t>NEW_MAX-NEW_MIN</t>
        </is>
      </c>
    </row>
    <row r="2" s="48">
      <c r="A2" s="41" t="n">
        <v>4</v>
      </c>
      <c r="B2" s="41" t="inlineStr">
        <is>
          <t>Algeria</t>
        </is>
      </c>
      <c r="C2" s="41" t="inlineStr">
        <is>
          <t>Africa</t>
        </is>
      </c>
      <c r="D2" s="41" t="inlineStr">
        <is>
          <t>AMU</t>
        </is>
      </c>
      <c r="E2" s="41" t="inlineStr">
        <is>
          <t>In force – Law 18-07 on Protection of Individuals in Processing of Personal Data (2018, weak enforcement)</t>
        </is>
      </c>
      <c r="F2" s="42" t="inlineStr">
        <is>
          <t>https://www.dlapiperdataprotection.com/index.html?t=law&amp;c=DZ; https://www.cnil.fr/en/data-protection-around-the-world#algeria</t>
        </is>
      </c>
      <c r="G2" s="41" t="inlineStr">
        <is>
          <t>DPA exists but not independent – National Authority for Protection of Personal Data, appointed by executive (Art.29, Law 18-07)</t>
        </is>
      </c>
      <c r="H2" s="42" t="inlineStr">
        <is>
          <t>https://www.dlapiperdataprotection.com/index.html?t=law&amp;c=DZ</t>
        </is>
      </c>
      <c r="I2" s="41" t="inlineStr">
        <is>
          <t>Partial – General DP law applies to children; no child-specific or online safety law</t>
        </is>
      </c>
      <c r="J2" s="42" t="inlineStr">
        <is>
          <t>https://www.dlapiperdataprotection.com/index.html?t=law&amp;c=DZ</t>
        </is>
      </c>
      <c r="K2" s="41" t="inlineStr">
        <is>
          <t>No – No national child online protection law; some general cybercrime law</t>
        </is>
      </c>
      <c r="L2" s="42" t="inlineStr">
        <is>
          <t>https://www.unicef.org/algeria/en/protection; https://www.dlapiperdataprotection.com/index.html?t=law&amp;c=DZ</t>
        </is>
      </c>
      <c r="M2" s="41" t="inlineStr">
        <is>
          <t>No – SOGI not listed as sensitive data in Law 18-07 (2018)</t>
        </is>
      </c>
      <c r="N2" s="42" t="inlineStr">
        <is>
          <t>https://www.cnil.fr/en/data-protection-around-the-world#algeria</t>
        </is>
      </c>
      <c r="O2" s="41" t="inlineStr">
        <is>
          <t>Criminalized – Same-sex acts illegal under Penal Code Art. 333/338; up to 3 years prison</t>
        </is>
      </c>
      <c r="P2" s="42" t="inlineStr">
        <is>
          <t>https://www.humandignitytrust.org/country-profile/algeria/; https://ilga.org/maps-sexual-orientation-laws</t>
        </is>
      </c>
      <c r="Q2" s="41" t="inlineStr">
        <is>
          <t>Yes – Morality and decency laws (Penal Code, 2020 amendment) restrict LGBTQ+ expression</t>
        </is>
      </c>
      <c r="R2" s="42" t="inlineStr">
        <is>
          <t>https://www.humandignitytrust.org/country-profile/algeria/; https://ilga.org/maps-sexual-orientation-laws</t>
        </is>
      </c>
      <c r="S2" s="41" t="inlineStr">
        <is>
          <t>None – No formal AI strategy; digital transformation working group (2022)</t>
        </is>
      </c>
      <c r="T2" s="42" t="inlineStr">
        <is>
          <t>https://www.itu.int/en/ITU-D/ICT-Applications/Pages/artificial-intelligence-policy-algeria.aspx</t>
        </is>
      </c>
      <c r="U2" s="41" t="inlineStr">
        <is>
          <t>No – No requirement for DPIA or AI risk assessment (2024)</t>
        </is>
      </c>
      <c r="V2" s="42" t="inlineStr">
        <is>
          <t>https://www.dlapiperdataprotection.com/index.html?t=law&amp;c=DZ</t>
        </is>
      </c>
      <c r="W2" s="41" t="inlineStr">
        <is>
          <t>ID mandatory – SIM registration with ID, not biometric (GSMA 2023)</t>
        </is>
      </c>
      <c r="X2" s="42" t="inlineStr">
        <is>
          <t>https://www.gsma.com/mobilefordevelopment/resources/mandatory-sim-registration-in-algeria/</t>
        </is>
      </c>
      <c r="AI2">
        <f>SUM(Y2:AH2)</f>
        <v/>
      </c>
      <c r="AJ2">
        <f>100-(AI2*(AI2/20))</f>
        <v/>
      </c>
      <c r="AK2" s="24">
        <f>MAX(AJ1:AJ164)-(AJ2*(AJ2/MAX(AJ1:AJ164)))</f>
        <v/>
      </c>
      <c r="AL2" t="n">
        <v>4</v>
      </c>
    </row>
    <row r="3">
      <c r="A3" s="41" t="n">
        <v>54</v>
      </c>
      <c r="B3" s="41" t="inlineStr">
        <is>
          <t>Egypt</t>
        </is>
      </c>
      <c r="C3" s="41" t="inlineStr">
        <is>
          <t>Africa</t>
        </is>
      </c>
      <c r="D3" s="41" t="inlineStr">
        <is>
          <t>AMU</t>
        </is>
      </c>
      <c r="E3" s="41" t="inlineStr">
        <is>
          <t>In force (Personal Data Protection Law No. 151, 2020)</t>
        </is>
      </c>
      <c r="F3" s="42" t="inlineStr">
        <is>
          <t>https://unctad.org/page/data-protection-and-privacy-legislation-worldwide</t>
        </is>
      </c>
      <c r="G3" s="41" t="inlineStr">
        <is>
          <t>Weak (under Ministry of Communications)</t>
        </is>
      </c>
      <c r="H3" s="42" t="inlineStr">
        <is>
          <t>https://unctad.org/page/data-protection-and-privacy-legislation-worldwide</t>
        </is>
      </c>
      <c r="I3" s="41" t="inlineStr">
        <is>
          <t>Partial (general child protections; no COP law)</t>
        </is>
      </c>
      <c r="J3" s="42" t="inlineStr">
        <is>
          <t>https://unctad.org/page/data-protection-and-privacy-legislation-worldwide; https://www.unicef.org/egypt/</t>
        </is>
      </c>
      <c r="K3" s="41" t="inlineStr">
        <is>
          <t>Partial (ICT education initiatives)</t>
        </is>
      </c>
      <c r="L3" s="42" t="inlineStr">
        <is>
          <t>https://www.unicef.org/egypt/</t>
        </is>
      </c>
      <c r="M3" s="41" t="inlineStr">
        <is>
          <t>No</t>
        </is>
      </c>
      <c r="N3" s="42" t="inlineStr">
        <is>
          <t>https://unctad.org/page/data-protection-and-privacy-legislation-worldwide</t>
        </is>
      </c>
      <c r="O3" s="41" t="inlineStr">
        <is>
          <t>Criminalised (via debauchery laws)</t>
        </is>
      </c>
      <c r="P3" s="42" t="inlineStr">
        <is>
          <t>https://www.humandignitytrust.org/country-profile/egypt/; https://ilga.org/ilga-world-maps/</t>
        </is>
      </c>
      <c r="Q3" s="41" t="inlineStr">
        <is>
          <t>Yes (anti-LGBTQ propaganda restrictions)</t>
        </is>
      </c>
      <c r="R3" s="42" t="inlineStr">
        <is>
          <t>https://ilga.org/ilga-world-maps/</t>
        </is>
      </c>
      <c r="S3" s="41" t="inlineStr">
        <is>
          <t>Adopted (National AI Strategy, 2021)</t>
        </is>
      </c>
      <c r="T3" s="42" t="inlineStr">
        <is>
          <t>https://en.unesco.org/artificial-intelligence/observatory/policies?country=EG; https://www.unesco.org/ethics-ai/en/global-hub</t>
        </is>
      </c>
      <c r="U3" s="41" t="inlineStr">
        <is>
          <t>No</t>
        </is>
      </c>
      <c r="V3" s="42" t="inlineStr">
        <is>
          <t>https://unctad.org/page/data-protection-and-privacy-legislation-worldwide</t>
        </is>
      </c>
      <c r="W3" s="41" t="inlineStr">
        <is>
          <t>Yes (SIMs tied to national ID)</t>
        </is>
      </c>
      <c r="X3" s="42" t="inlineStr">
        <is>
          <t>https://www.gsma.com/solutions-and-impact/connectivity-for-good/public-policy/mobile-policy-handbook/consumer-protection/mandatory-registration-of-prepaid-sims/</t>
        </is>
      </c>
      <c r="AI3">
        <f>SUM(Y3:AH3)</f>
        <v/>
      </c>
      <c r="AJ3">
        <f>100-(AI3*(AI3/20))</f>
        <v/>
      </c>
      <c r="AK3" s="24">
        <f>100-(AJ3*(AJ3/MAX(AJ1:AJ3)))</f>
        <v/>
      </c>
      <c r="AL3" t="n">
        <v>54</v>
      </c>
    </row>
    <row r="4">
      <c r="A4" s="41" t="n">
        <v>99</v>
      </c>
      <c r="B4" s="41" t="inlineStr">
        <is>
          <t>Libya</t>
        </is>
      </c>
      <c r="C4" s="41" t="inlineStr">
        <is>
          <t>Africa</t>
        </is>
      </c>
      <c r="D4" s="41" t="inlineStr">
        <is>
          <t>AMU</t>
        </is>
      </c>
      <c r="E4" s="41" t="inlineStr">
        <is>
          <t>Draft (no comprehensive law)</t>
        </is>
      </c>
      <c r="F4" s="42" t="inlineStr">
        <is>
          <t>https://unctad.org/page/data-protection-and-privacy-legislation-worldwide</t>
        </is>
      </c>
      <c r="G4" s="41" t="inlineStr">
        <is>
          <t>None</t>
        </is>
      </c>
      <c r="H4" s="42" t="inlineStr">
        <is>
          <t>https://unctad.org/page/data-protection-and-privacy-legislation-worldwide</t>
        </is>
      </c>
      <c r="I4" s="41" t="inlineStr">
        <is>
          <t>No</t>
        </is>
      </c>
      <c r="J4" s="42" t="inlineStr">
        <is>
          <t>https://www.unicef.org/libya/</t>
        </is>
      </c>
      <c r="K4" s="41" t="inlineStr">
        <is>
          <t>No</t>
        </is>
      </c>
      <c r="L4" s="42" t="inlineStr">
        <is>
          <t>https://www.unicef.org/libya/</t>
        </is>
      </c>
      <c r="M4" s="41" t="inlineStr">
        <is>
          <t>No</t>
        </is>
      </c>
      <c r="N4" s="42" t="inlineStr">
        <is>
          <t>https://unctad.org/page/data-protection-and-privacy-legislation-worldwide</t>
        </is>
      </c>
      <c r="O4" s="41" t="inlineStr">
        <is>
          <t>Criminalised (severe penalties)</t>
        </is>
      </c>
      <c r="P4" s="42" t="inlineStr">
        <is>
          <t>https://www.humandignitytrust.org/country-profile/libya/; https://ilga.org/ilga-world-maps/</t>
        </is>
      </c>
      <c r="Q4" s="41" t="inlineStr">
        <is>
          <t>Yes</t>
        </is>
      </c>
      <c r="R4" s="42" t="inlineStr">
        <is>
          <t>https://ilga.org/ilga-world-maps/</t>
        </is>
      </c>
      <c r="S4" s="41" t="inlineStr">
        <is>
          <t>None</t>
        </is>
      </c>
      <c r="T4" s="42" t="inlineStr">
        <is>
          <t>https://en.unesco.org/artificial-intelligence/observatory/policies?country=LY; https://www.unesco.org/ethics-ai/en/global-hub</t>
        </is>
      </c>
      <c r="U4" s="41" t="inlineStr">
        <is>
          <t>No</t>
        </is>
      </c>
      <c r="V4" s="42" t="inlineStr">
        <is>
          <t>https://unctad.org/page/data-protection-and-privacy-legislation-worldwide</t>
        </is>
      </c>
      <c r="W4" s="41" t="inlineStr">
        <is>
          <t>Yes (biometric SIM registration required)</t>
        </is>
      </c>
      <c r="X4" s="42" t="inlineStr">
        <is>
          <t>https://www.gsma.com/solutions-and-impact/connectivity-for-good/public-policy/mobile-policy-handbook/consumer-protection/mandatory-registration-of-prepaid-sims/; https://privacyinternational.org/learn/sim-card-registration</t>
        </is>
      </c>
      <c r="AI4">
        <f>SUM(Y4:AH4)</f>
        <v/>
      </c>
      <c r="AJ4">
        <f>100-(AI4*(AI4/20))</f>
        <v/>
      </c>
      <c r="AK4" s="24">
        <f>100-(AJ4*(AJ4/MAX(AJ1:AJ4)))</f>
        <v/>
      </c>
      <c r="AL4" t="n">
        <v>99</v>
      </c>
    </row>
    <row r="5">
      <c r="A5" s="41" t="n">
        <v>110</v>
      </c>
      <c r="B5" s="41" t="inlineStr">
        <is>
          <t>Mauritania</t>
        </is>
      </c>
      <c r="C5" s="41" t="inlineStr">
        <is>
          <t>Africa</t>
        </is>
      </c>
      <c r="D5" s="41" t="inlineStr">
        <is>
          <t>AMU</t>
        </is>
      </c>
      <c r="E5" s="41" t="inlineStr">
        <is>
          <t>In force (Law No. 2017-020 on Personal Data Protection)</t>
        </is>
      </c>
      <c r="F5" s="42" t="inlineStr">
        <is>
          <t>https://unctad.org/page/data-protection-and-privacy-legislation-worldwide</t>
        </is>
      </c>
      <c r="G5" s="41" t="inlineStr">
        <is>
          <t>Weak (regulator under government)</t>
        </is>
      </c>
      <c r="H5" s="42" t="inlineStr">
        <is>
          <t>https://unctad.org/page/data-protection-and-privacy-legislation-worldwide</t>
        </is>
      </c>
      <c r="I5" s="41" t="inlineStr">
        <is>
          <t>No</t>
        </is>
      </c>
      <c r="J5" s="42" t="inlineStr">
        <is>
          <t>https://www.unicef.org/mauritania/</t>
        </is>
      </c>
      <c r="K5" s="41" t="inlineStr">
        <is>
          <t>No</t>
        </is>
      </c>
      <c r="L5" s="42" t="inlineStr">
        <is>
          <t>https://www.unicef.org/mauritania/</t>
        </is>
      </c>
      <c r="M5" s="41" t="inlineStr">
        <is>
          <t>No</t>
        </is>
      </c>
      <c r="N5" s="42" t="inlineStr">
        <is>
          <t>https://unctad.org/page/data-protection-and-privacy-legislation-worldwide</t>
        </is>
      </c>
      <c r="O5" s="41" t="inlineStr">
        <is>
          <t>Criminalised (Sharia-based penalties)</t>
        </is>
      </c>
      <c r="P5" s="42" t="inlineStr">
        <is>
          <t>https://www.humandignitytrust.org/country-profile/mauritania/; https://ilga.org/ilga-world-maps/</t>
        </is>
      </c>
      <c r="Q5" s="41" t="inlineStr">
        <is>
          <t>Yes</t>
        </is>
      </c>
      <c r="R5" s="42" t="inlineStr">
        <is>
          <t>https://ilga.org/ilga-world-maps/</t>
        </is>
      </c>
      <c r="S5" s="41" t="inlineStr">
        <is>
          <t>None</t>
        </is>
      </c>
      <c r="T5" s="42" t="inlineStr">
        <is>
          <t>https://en.unesco.org/artificial-intelligence/observatory/policies?country=MR; https://www.unesco.org/ethics-ai/en/global-hub</t>
        </is>
      </c>
      <c r="U5" s="41" t="inlineStr">
        <is>
          <t>No</t>
        </is>
      </c>
      <c r="V5" s="42" t="inlineStr">
        <is>
          <t>https://unctad.org/page/data-protection-and-privacy-legislation-worldwide</t>
        </is>
      </c>
      <c r="W5" s="41" t="inlineStr">
        <is>
          <t>Yes</t>
        </is>
      </c>
      <c r="X5" s="42" t="inlineStr">
        <is>
          <t>https://www.gsma.com/solutions-and-impact/connectivity-for-good/public-policy/mobile-policy-handbook/consumer-protection/mandatory-registration-of-prepaid-sims/</t>
        </is>
      </c>
      <c r="AI5">
        <f>SUM(Y5:AH5)</f>
        <v/>
      </c>
      <c r="AJ5">
        <f>100-(AI5*(AI5/20))</f>
        <v/>
      </c>
      <c r="AK5" s="24">
        <f>100-(AJ5*(AJ5/MAX(AJ1:AJ5)))</f>
        <v/>
      </c>
      <c r="AL5" t="n">
        <v>110</v>
      </c>
    </row>
    <row r="6">
      <c r="A6" s="41" t="n">
        <v>117</v>
      </c>
      <c r="B6" s="41" t="inlineStr">
        <is>
          <t>Morocco</t>
        </is>
      </c>
      <c r="C6" s="41" t="inlineStr">
        <is>
          <t>Africa</t>
        </is>
      </c>
      <c r="D6" s="41" t="inlineStr">
        <is>
          <t>AMU</t>
        </is>
      </c>
      <c r="E6" s="41" t="inlineStr">
        <is>
          <t>In force (Law No. 09-08 on Personal Data Protection)</t>
        </is>
      </c>
      <c r="F6" s="42" t="inlineStr">
        <is>
          <t>https://unctad.org/page/data-protection-and-privacy-legislation-worldwide</t>
        </is>
      </c>
      <c r="G6" s="41" t="inlineStr">
        <is>
          <t>Weak (CNDP under government influence)</t>
        </is>
      </c>
      <c r="H6" s="42" t="inlineStr">
        <is>
          <t>https://unctad.org/page/data-protection-and-privacy-legislation-worldwide</t>
        </is>
      </c>
      <c r="I6" s="41" t="inlineStr">
        <is>
          <t>No</t>
        </is>
      </c>
      <c r="J6" s="42" t="inlineStr">
        <is>
          <t>https://www.unicef.org/morocco/</t>
        </is>
      </c>
      <c r="K6" s="41" t="inlineStr">
        <is>
          <t>No</t>
        </is>
      </c>
      <c r="L6" s="42" t="inlineStr">
        <is>
          <t>https://www.unicef.org/morocco/</t>
        </is>
      </c>
      <c r="M6" s="41" t="inlineStr">
        <is>
          <t>No</t>
        </is>
      </c>
      <c r="N6" s="42" t="inlineStr">
        <is>
          <t>https://unctad.org/page/data-protection-and-privacy-legislation-worldwide</t>
        </is>
      </c>
      <c r="O6" s="41" t="inlineStr">
        <is>
          <t>Criminalised (Penal Code Article 489)</t>
        </is>
      </c>
      <c r="P6" s="42" t="inlineStr">
        <is>
          <t>https://www.humandignitytrust.org/country-profile/morocco/; https://ilga.org/ilga-world-maps/</t>
        </is>
      </c>
      <c r="Q6" s="41" t="inlineStr">
        <is>
          <t>Yes</t>
        </is>
      </c>
      <c r="R6" s="42" t="inlineStr">
        <is>
          <t>https://ilga.org/ilga-world-maps/</t>
        </is>
      </c>
      <c r="S6" s="41" t="inlineStr">
        <is>
          <t>Draft/Early (Digital Morocco 2020; no formal AI strategy)</t>
        </is>
      </c>
      <c r="T6" s="42" t="inlineStr">
        <is>
          <t>https://en.unesco.org/artificial-intelligence/observatory/policies?country=MA; https://www.unesco.org/ethics-ai/en/global-hub</t>
        </is>
      </c>
      <c r="U6" s="41" t="inlineStr">
        <is>
          <t>No</t>
        </is>
      </c>
      <c r="V6" s="42" t="inlineStr">
        <is>
          <t>https://unctad.org/page/data-protection-and-privacy-legislation-worldwide</t>
        </is>
      </c>
      <c r="W6" s="41" t="inlineStr">
        <is>
          <t>Yes (ID required; biometrics used)</t>
        </is>
      </c>
      <c r="X6" s="42" t="inlineStr">
        <is>
          <t>https://www.gsma.com/solutions-and-impact/connectivity-for-good/public-policy/mobile-policy-handbook/consumer-protection/mandatory-registration-of-prepaid-sims/; https://privacyinternational.org/learn/sim-card-registration</t>
        </is>
      </c>
      <c r="AI6">
        <f>SUM(Y6:AH6)</f>
        <v/>
      </c>
      <c r="AJ6">
        <f>100-(AI6*(AI6/20))</f>
        <v/>
      </c>
      <c r="AK6" s="24">
        <f>100-(AJ6*(AJ6/MAX(AJ1:AJ6)))</f>
        <v/>
      </c>
      <c r="AL6" t="n">
        <v>117</v>
      </c>
    </row>
    <row r="7">
      <c r="A7" s="41" t="n">
        <v>179</v>
      </c>
      <c r="B7" s="41" t="inlineStr">
        <is>
          <t>Tunisia</t>
        </is>
      </c>
      <c r="C7" s="41" t="inlineStr">
        <is>
          <t>Africa</t>
        </is>
      </c>
      <c r="D7" s="41" t="inlineStr">
        <is>
          <t>AMU</t>
        </is>
      </c>
      <c r="E7" s="41" t="inlineStr">
        <is>
          <t>In force — Law No. 2004-63 on Data Protection</t>
        </is>
      </c>
      <c r="F7" s="42" t="inlineStr">
        <is>
          <t>https://unctad.org/page/data-protection-and-privacy-legislation-worldwide</t>
        </is>
      </c>
      <c r="G7" s="41" t="inlineStr">
        <is>
          <t>Moderate — INPDP regulator</t>
        </is>
      </c>
      <c r="H7" s="42" t="inlineStr">
        <is>
          <t>https://unctad.org/page/data-protection-and-privacy-legislation-worldwide</t>
        </is>
      </c>
      <c r="I7" s="41" t="inlineStr">
        <is>
          <t>Partial</t>
        </is>
      </c>
      <c r="J7" s="42" t="inlineStr">
        <is>
          <t>https://unctad.org/page/data-protection-and-privacy-legislation-worldwide; https://www.unicef.org/tunisia/</t>
        </is>
      </c>
      <c r="K7" s="41" t="inlineStr">
        <is>
          <t>No</t>
        </is>
      </c>
      <c r="L7" s="42" t="inlineStr">
        <is>
          <t>https://www.unicef.org/tunisia/</t>
        </is>
      </c>
      <c r="M7" s="41" t="inlineStr">
        <is>
          <t>No</t>
        </is>
      </c>
      <c r="N7" s="42" t="inlineStr">
        <is>
          <t>https://unctad.org/page/data-protection-and-privacy-legislation-worldwide</t>
        </is>
      </c>
      <c r="O7" s="41" t="inlineStr">
        <is>
          <t>Criminalised — Article 230 Penal Code</t>
        </is>
      </c>
      <c r="P7" s="42" t="inlineStr">
        <is>
          <t>https://www.humandignitytrust.org/country-profile/tunisia/; https://ilga.org/ilga-world-maps/</t>
        </is>
      </c>
      <c r="Q7" s="41" t="inlineStr">
        <is>
          <t>Yes</t>
        </is>
      </c>
      <c r="R7" s="42" t="inlineStr">
        <is>
          <t>https://ilga.org/ilga-world-maps/</t>
        </is>
      </c>
      <c r="S7" s="41" t="inlineStr">
        <is>
          <t>Draft/Early — AI initiatives under Digital 2020 plan</t>
        </is>
      </c>
      <c r="T7" s="42" t="inlineStr">
        <is>
          <t>https://en.unesco.org/artificial-intelligence/observatory/policies?country=TN; https://www.unesco.org/ethics-ai/en/global-hub</t>
        </is>
      </c>
      <c r="U7" s="41" t="inlineStr">
        <is>
          <t>No</t>
        </is>
      </c>
      <c r="V7" s="42" t="inlineStr">
        <is>
          <t>https://unctad.org/page/data-protection-and-privacy-legislation-worldwide</t>
        </is>
      </c>
      <c r="W7" s="41" t="inlineStr">
        <is>
          <t>Yes</t>
        </is>
      </c>
      <c r="X7" s="42" t="inlineStr">
        <is>
          <t>https://www.gsma.com/solutions-and-impact/connectivity-for-good/public-policy/mobile-policy-handbook/consumer-protection/mandatory-registration-of-prepaid-sims/</t>
        </is>
      </c>
      <c r="AI7">
        <f>SUM(Y7:AH7)</f>
        <v/>
      </c>
      <c r="AJ7">
        <f>100-(AI7*(AI7/20))</f>
        <v/>
      </c>
      <c r="AK7" s="24">
        <f>100-(AJ7*(AJ7/MAX(AJ1:AJ7)))</f>
        <v/>
      </c>
      <c r="AL7" t="n">
        <v>179</v>
      </c>
    </row>
    <row r="8">
      <c r="A8" t="n">
        <v>29</v>
      </c>
      <c r="B8" t="inlineStr">
        <is>
          <t>Burundi</t>
        </is>
      </c>
      <c r="C8" t="inlineStr">
        <is>
          <t>Africa</t>
        </is>
      </c>
      <c r="D8" t="inlineStr">
        <is>
          <t>EAC</t>
        </is>
      </c>
      <c r="E8" t="inlineStr">
        <is>
          <t>None (no comprehensive data protection law)</t>
        </is>
      </c>
      <c r="F8" s="50" t="inlineStr">
        <is>
          <t>https://unctad.org/page/data-protection-and-privacy-legislation-worldwide</t>
        </is>
      </c>
      <c r="G8" t="inlineStr">
        <is>
          <t>Weak (no independent DPA)</t>
        </is>
      </c>
      <c r="H8" s="50" t="inlineStr">
        <is>
          <t>https://unctad.org/page/data-protection-and-privacy-legislation-worldwide</t>
        </is>
      </c>
      <c r="I8" t="inlineStr">
        <is>
          <t>Partial (Child Protection Code; no COP strategy)</t>
        </is>
      </c>
      <c r="J8" s="50" t="inlineStr">
        <is>
          <t>https://unctad.org/page/data-protection-and-privacy-legislation-worldwide; https://www.unicef.org/burundi/</t>
        </is>
      </c>
      <c r="K8" t="inlineStr">
        <is>
          <t>No</t>
        </is>
      </c>
      <c r="L8" s="50" t="inlineStr">
        <is>
          <t>https://www.unicef.org/burundi/</t>
        </is>
      </c>
      <c r="M8" t="inlineStr">
        <is>
          <t>No</t>
        </is>
      </c>
      <c r="N8" s="50" t="inlineStr">
        <is>
          <t>https://unctad.org/page/data-protection-and-privacy-legislation-worldwide</t>
        </is>
      </c>
      <c r="O8" t="inlineStr">
        <is>
          <t>Criminalised (same-sex acts illegal under Penal Code)</t>
        </is>
      </c>
      <c r="P8" s="50" t="inlineStr">
        <is>
          <t>https://www.humandignitytrust.org/country-profile/burundi/; https://ilga.org/ilga-world-maps/</t>
        </is>
      </c>
      <c r="Q8" t="inlineStr">
        <is>
          <t>Yes (restrictions under Penal Code)</t>
        </is>
      </c>
      <c r="R8" s="50" t="inlineStr">
        <is>
          <t>https://ilga.org/ilga-world-maps/</t>
        </is>
      </c>
      <c r="S8" t="inlineStr">
        <is>
          <t>None (no AI strategy identified)</t>
        </is>
      </c>
      <c r="T8" s="50" t="inlineStr">
        <is>
          <t>https://en.unesco.org/artificial-intelligence/observatory/policies?country=BI; https://www.unesco.org/ethics-ai/en/global-hub</t>
        </is>
      </c>
      <c r="U8" t="inlineStr">
        <is>
          <t>No</t>
        </is>
      </c>
      <c r="V8" s="50" t="inlineStr">
        <is>
          <t>https://unctad.org/page/data-protection-and-privacy-legislation-worldwide</t>
        </is>
      </c>
      <c r="W8" t="inlineStr">
        <is>
          <t>Yes (biometric SIM registration required)</t>
        </is>
      </c>
      <c r="X8" s="50" t="inlineStr">
        <is>
          <t>https://www.gsma.com/solutions-and-impact/connectivity-for-good/public-policy/mobile-policy-handbook/consumer-protection/mandatory-registration-of-prepaid-sims/; https://privacyinternational.org/learn/sim-card-registration</t>
        </is>
      </c>
      <c r="AI8">
        <f>SUM(Y8:AH8)</f>
        <v/>
      </c>
      <c r="AJ8">
        <f>100-(AI8*(AI8/20))</f>
        <v/>
      </c>
      <c r="AK8" s="24">
        <f>100-(AJ8*(AJ8/MAX(AJ1:AJ8)))</f>
        <v/>
      </c>
      <c r="AL8" t="n">
        <v>29</v>
      </c>
    </row>
    <row r="9">
      <c r="A9" t="n">
        <v>90</v>
      </c>
      <c r="B9" t="inlineStr">
        <is>
          <t>Kenya</t>
        </is>
      </c>
      <c r="C9" t="inlineStr">
        <is>
          <t>Africa</t>
        </is>
      </c>
      <c r="D9" t="inlineStr">
        <is>
          <t>EAC</t>
        </is>
      </c>
      <c r="E9" t="inlineStr">
        <is>
          <t>In force (Data Protection Act, 2019)</t>
        </is>
      </c>
      <c r="F9" s="50" t="inlineStr">
        <is>
          <t>https://unctad.org/page/data-protection-and-privacy-legislation-worldwide</t>
        </is>
      </c>
      <c r="G9" t="inlineStr">
        <is>
          <t>Moderate (ODPC semi-independent)</t>
        </is>
      </c>
      <c r="H9" s="50" t="inlineStr">
        <is>
          <t>https://unctad.org/page/data-protection-and-privacy-legislation-worldwide</t>
        </is>
      </c>
      <c r="I9" t="inlineStr">
        <is>
          <t>Partial (children’s data covered in DPA)</t>
        </is>
      </c>
      <c r="J9" s="50" t="inlineStr">
        <is>
          <t>https://unctad.org/page/data-protection-and-privacy-legislation-worldwide; https://www.unicef.org/kenya/</t>
        </is>
      </c>
      <c r="K9" t="inlineStr">
        <is>
          <t>Partial (child online safety initiatives with ICT Authority)</t>
        </is>
      </c>
      <c r="L9" s="50" t="inlineStr">
        <is>
          <t>https://www.unicef.org/kenya/</t>
        </is>
      </c>
      <c r="M9" t="inlineStr">
        <is>
          <t>No</t>
        </is>
      </c>
      <c r="N9" s="50" t="inlineStr">
        <is>
          <t>https://unctad.org/page/data-protection-and-privacy-legislation-worldwide</t>
        </is>
      </c>
      <c r="O9" t="inlineStr">
        <is>
          <t>Criminalised (Penal Code provisions)</t>
        </is>
      </c>
      <c r="P9" s="50" t="inlineStr">
        <is>
          <t>https://www.humandignitytrust.org/country-profile/kenya/; https://ilga.org/ilga-world-maps/</t>
        </is>
      </c>
      <c r="Q9" t="inlineStr">
        <is>
          <t>Yes (morality restrictions applied)</t>
        </is>
      </c>
      <c r="R9" s="50" t="inlineStr">
        <is>
          <t>https://ilga.org/ilga-world-maps/</t>
        </is>
      </c>
      <c r="S9" t="inlineStr">
        <is>
          <t>Draft/Early (strategy in development; digital economy blueprint includes AI)</t>
        </is>
      </c>
      <c r="T9" s="50" t="inlineStr">
        <is>
          <t>https://en.unesco.org/artificial-intelligence/observatory/policies?country=KE; https://www.unesco.org/ethics-ai/en/global-hub</t>
        </is>
      </c>
      <c r="U9" t="inlineStr">
        <is>
          <t>Yes (required under DPA for high-risk processing)</t>
        </is>
      </c>
      <c r="V9" s="50" t="inlineStr">
        <is>
          <t>https://unctad.org/page/data-protection-and-privacy-legislation-worldwide</t>
        </is>
      </c>
      <c r="W9" t="inlineStr">
        <is>
          <t>Yes (mandatory biometric SIM registration via Huduma Namba)</t>
        </is>
      </c>
      <c r="X9" s="50" t="inlineStr">
        <is>
          <t>https://www.gsma.com/solutions-and-impact/connectivity-for-good/public-policy/mobile-policy-handbook/consumer-protection/mandatory-registration-of-prepaid-sims/; https://privacyinternational.org/learn/sim-card-registration</t>
        </is>
      </c>
      <c r="AI9">
        <f>SUM(Y9:AH9)</f>
        <v/>
      </c>
      <c r="AJ9">
        <f>100-(AI9*(AI9/20))</f>
        <v/>
      </c>
      <c r="AK9" s="24">
        <f>100-(AJ9*(AJ9/MAX(AJ1:AJ9)))</f>
        <v/>
      </c>
      <c r="AL9" t="n">
        <v>90</v>
      </c>
    </row>
    <row r="10">
      <c r="A10" t="n">
        <v>145</v>
      </c>
      <c r="B10" t="inlineStr">
        <is>
          <t>Rwanda</t>
        </is>
      </c>
      <c r="C10" t="inlineStr">
        <is>
          <t>Africa</t>
        </is>
      </c>
      <c r="D10" t="inlineStr">
        <is>
          <t>EAC</t>
        </is>
      </c>
      <c r="E10" t="inlineStr">
        <is>
          <t>In force — Data Protection and Privacy Law (2021)</t>
        </is>
      </c>
      <c r="F10" s="50" t="inlineStr">
        <is>
          <t>https://unctad.org/page/data-protection-and-privacy-legislation-worldwide</t>
        </is>
      </c>
      <c r="G10" t="inlineStr">
        <is>
          <t>Moderate — regulator under NCSA</t>
        </is>
      </c>
      <c r="H10" s="50" t="inlineStr">
        <is>
          <t>https://unctad.org/page/data-protection-and-privacy-legislation-worldwide</t>
        </is>
      </c>
      <c r="I10" t="inlineStr">
        <is>
          <t>Partial</t>
        </is>
      </c>
      <c r="J10" s="50" t="inlineStr">
        <is>
          <t>https://unctad.org/page/data-protection-and-privacy-legislation-worldwide; https://www.unicef.org/rwanda/</t>
        </is>
      </c>
      <c r="K10" t="inlineStr">
        <is>
          <t>Partial</t>
        </is>
      </c>
      <c r="L10" s="50" t="inlineStr">
        <is>
          <t>https://www.unicef.org/rwanda/</t>
        </is>
      </c>
      <c r="M10" t="inlineStr">
        <is>
          <t>No</t>
        </is>
      </c>
      <c r="N10" s="50" t="inlineStr">
        <is>
          <t>https://unctad.org/page/data-protection-and-privacy-legislation-worldwide</t>
        </is>
      </c>
      <c r="O10" t="inlineStr">
        <is>
          <t>Legal — no recognition</t>
        </is>
      </c>
      <c r="P10" s="50" t="inlineStr">
        <is>
          <t>https://www.humandignitytrust.org/country-profile/rwanda/; https://ilga.org/ilga-world-maps/</t>
        </is>
      </c>
      <c r="Q10" t="inlineStr">
        <is>
          <t>No</t>
        </is>
      </c>
      <c r="R10" s="50" t="inlineStr">
        <is>
          <t>https://ilga.org/ilga-world-maps/</t>
        </is>
      </c>
      <c r="S10" t="inlineStr">
        <is>
          <t>Draft/Early — Smart Rwanda Master Plan</t>
        </is>
      </c>
      <c r="T10" s="50" t="inlineStr">
        <is>
          <t>https://en.unesco.org/artificial-intelligence/observatory/policies?country=RW; https://www.unesco.org/ethics-ai/en/global-hub</t>
        </is>
      </c>
      <c r="U10" t="inlineStr">
        <is>
          <t>No</t>
        </is>
      </c>
      <c r="V10" s="50" t="inlineStr">
        <is>
          <t>https://unctad.org/page/data-protection-and-privacy-legislation-worldwide</t>
        </is>
      </c>
      <c r="W10" t="inlineStr">
        <is>
          <t>Yes</t>
        </is>
      </c>
      <c r="X10" s="50" t="inlineStr">
        <is>
          <t>https://www.gsma.com/solutions-and-impact/connectivity-for-good/public-policy/mobile-policy-handbook/consumer-protection/mandatory-registration-of-prepaid-sims/</t>
        </is>
      </c>
      <c r="AI10">
        <f>SUM(Y10:AH10)</f>
        <v/>
      </c>
      <c r="AJ10">
        <f>100-(AI10*(AI10/20))</f>
        <v/>
      </c>
      <c r="AK10" s="24">
        <f>100-(AJ10*(AJ10/MAX(AJ1:AJ10)))</f>
        <v/>
      </c>
      <c r="AL10" t="n">
        <v>145</v>
      </c>
    </row>
    <row r="11">
      <c r="A11" t="n">
        <v>183</v>
      </c>
      <c r="B11" t="inlineStr">
        <is>
          <t>Uganda</t>
        </is>
      </c>
      <c r="C11" t="inlineStr">
        <is>
          <t>Africa</t>
        </is>
      </c>
      <c r="D11" t="inlineStr">
        <is>
          <t>EAC</t>
        </is>
      </c>
      <c r="E11" t="inlineStr">
        <is>
          <t>In force — Data Protection and Privacy Act 2019</t>
        </is>
      </c>
      <c r="F11" s="50" t="inlineStr">
        <is>
          <t>https://unctad.org/page/data-protection-and-privacy-legislation-worldwide</t>
        </is>
      </c>
      <c r="G11" t="inlineStr">
        <is>
          <t>Weak — National Information Technology Authority</t>
        </is>
      </c>
      <c r="H11" s="50" t="inlineStr">
        <is>
          <t>https://unctad.org/page/data-protection-and-privacy-legislation-worldwide</t>
        </is>
      </c>
      <c r="I11" t="inlineStr">
        <is>
          <t>Partial</t>
        </is>
      </c>
      <c r="J11" s="50" t="inlineStr">
        <is>
          <t>https://unctad.org/page/data-protection-and-privacy-legislation-worldwide; https://www.unicef.org/uganda/</t>
        </is>
      </c>
      <c r="K11" t="inlineStr">
        <is>
          <t>No</t>
        </is>
      </c>
      <c r="L11" s="50" t="inlineStr">
        <is>
          <t>https://www.unicef.org/uganda/</t>
        </is>
      </c>
      <c r="M11" t="inlineStr">
        <is>
          <t>No</t>
        </is>
      </c>
      <c r="N11" s="50" t="inlineStr">
        <is>
          <t>https://unctad.org/page/data-protection-and-privacy-legislation-worldwide</t>
        </is>
      </c>
      <c r="O11" t="inlineStr">
        <is>
          <t>Criminalised — Anti-Homosexuality Act 2023</t>
        </is>
      </c>
      <c r="P11" s="50" t="inlineStr">
        <is>
          <t>https://www.humandignitytrust.org/country-profile/uganda/; https://ilga.org/ilga-world-maps/</t>
        </is>
      </c>
      <c r="Q11" t="inlineStr">
        <is>
          <t>Yes</t>
        </is>
      </c>
      <c r="R11" s="50" t="inlineStr">
        <is>
          <t>https://ilga.org/ilga-world-maps/</t>
        </is>
      </c>
      <c r="S11" t="inlineStr">
        <is>
          <t>None</t>
        </is>
      </c>
      <c r="T11" s="50" t="inlineStr">
        <is>
          <t>https://en.unesco.org/artificial-intelligence/observatory/policies?country=UG; https://www.unesco.org/ethics-ai/en/global-hub</t>
        </is>
      </c>
      <c r="U11" t="inlineStr">
        <is>
          <t>No</t>
        </is>
      </c>
      <c r="V11" s="50" t="inlineStr">
        <is>
          <t>https://unctad.org/page/data-protection-and-privacy-legislation-worldwide</t>
        </is>
      </c>
      <c r="W11" t="inlineStr">
        <is>
          <t>Yes — biometric SIM registration mandatory</t>
        </is>
      </c>
      <c r="X11" s="50" t="inlineStr">
        <is>
          <t>https://www.gsma.com/solutions-and-impact/connectivity-for-good/public-policy/mobile-policy-handbook/consumer-protection/mandatory-registration-of-prepaid-sims/; https://privacyinternational.org/learn/sim-card-registration</t>
        </is>
      </c>
      <c r="AI11">
        <f>SUM(Y11:AH11)</f>
        <v/>
      </c>
      <c r="AJ11">
        <f>100-(AI11*(AI11/20))</f>
        <v/>
      </c>
      <c r="AK11" s="24">
        <f>100-(AJ11*(AJ11/MAX(AJ1:AJ11)))</f>
        <v/>
      </c>
      <c r="AL11" t="n">
        <v>183</v>
      </c>
    </row>
    <row r="12">
      <c r="A12" t="n">
        <v>32</v>
      </c>
      <c r="B12" t="inlineStr">
        <is>
          <t>Cameroon</t>
        </is>
      </c>
      <c r="C12" t="inlineStr">
        <is>
          <t>Africa</t>
        </is>
      </c>
      <c r="D12" t="inlineStr">
        <is>
          <t>ECCAS</t>
        </is>
      </c>
      <c r="E12" t="inlineStr">
        <is>
          <t>In force (Law No. 2010/012 on Cybersecurity and Cybercrime)</t>
        </is>
      </c>
      <c r="F12" s="50" t="inlineStr">
        <is>
          <t>https://unctad.org/page/data-protection-and-privacy-legislation-worldwide</t>
        </is>
      </c>
      <c r="G12" t="inlineStr">
        <is>
          <t>Weak (no independent DPA; MINPOSTEL oversees data issues)</t>
        </is>
      </c>
      <c r="H12" s="50" t="inlineStr">
        <is>
          <t>https://unctad.org/page/data-protection-and-privacy-legislation-worldwide</t>
        </is>
      </c>
      <c r="I12" t="inlineStr">
        <is>
          <t>Partial (Child Protection Code; no COP strategy)</t>
        </is>
      </c>
      <c r="J12" s="50" t="inlineStr">
        <is>
          <t>https://unctad.org/page/data-protection-and-privacy-legislation-worldwide; https://www.unicef.org/cameroon/</t>
        </is>
      </c>
      <c r="K12" t="inlineStr">
        <is>
          <t>No</t>
        </is>
      </c>
      <c r="L12" s="50" t="inlineStr">
        <is>
          <t>https://www.unicef.org/cameroon/</t>
        </is>
      </c>
      <c r="M12" t="inlineStr">
        <is>
          <t>No</t>
        </is>
      </c>
      <c r="N12" s="50" t="inlineStr">
        <is>
          <t>https://unctad.org/page/data-protection-and-privacy-legislation-worldwide</t>
        </is>
      </c>
      <c r="O12" t="inlineStr">
        <is>
          <t>Criminalised (Penal Code criminalises same-sex conduct)</t>
        </is>
      </c>
      <c r="P12" s="50" t="inlineStr">
        <is>
          <t>https://www.humandignitytrust.org/country-profile/cameroon/; https://ilga.org/ilga-world-maps/</t>
        </is>
      </c>
      <c r="Q12" t="inlineStr">
        <is>
          <t>Yes (restrictions in law)</t>
        </is>
      </c>
      <c r="R12" s="50" t="inlineStr">
        <is>
          <t>https://ilga.org/ilga-world-maps/</t>
        </is>
      </c>
      <c r="S12" t="inlineStr">
        <is>
          <t>None (no AI strategy identified)</t>
        </is>
      </c>
      <c r="T12" s="50" t="inlineStr">
        <is>
          <t>https://en.unesco.org/artificial-intelligence/observatory/policies?country=CM; https://www.unesco.org/ethics-ai/en/global-hub</t>
        </is>
      </c>
      <c r="U12" t="inlineStr">
        <is>
          <t>No</t>
        </is>
      </c>
      <c r="V12" s="50" t="inlineStr">
        <is>
          <t>https://unctad.org/page/data-protection-and-privacy-legislation-worldwide</t>
        </is>
      </c>
      <c r="W12" t="inlineStr">
        <is>
          <t>Yes (mandatory biometric SIM registration)</t>
        </is>
      </c>
      <c r="X12" s="50" t="inlineStr">
        <is>
          <t>https://www.gsma.com/solutions-and-impact/connectivity-for-good/public-policy/mobile-policy-handbook/consumer-protection/mandatory-registration-of-prepaid-sims/; https://privacyinternational.org/learn/sim-card-registration</t>
        </is>
      </c>
      <c r="AI12">
        <f>SUM(Y12:AH12)</f>
        <v/>
      </c>
      <c r="AJ12">
        <f>100-(AI12*(AI12/20))</f>
        <v/>
      </c>
      <c r="AK12" s="24">
        <f>100-(AJ12*(AJ12/MAX(AJ1:AJ12)))</f>
        <v/>
      </c>
      <c r="AL12" t="n">
        <v>32</v>
      </c>
    </row>
    <row r="13">
      <c r="A13" t="n">
        <v>34</v>
      </c>
      <c r="B13" t="inlineStr">
        <is>
          <t>Central African Republic</t>
        </is>
      </c>
      <c r="C13" t="inlineStr">
        <is>
          <t>Africa</t>
        </is>
      </c>
      <c r="D13" t="inlineStr">
        <is>
          <t>ECCAS</t>
        </is>
      </c>
      <c r="E13" t="inlineStr">
        <is>
          <t>In force (Law No. 18.007 on Protection of Personal Data, 2018)</t>
        </is>
      </c>
      <c r="F13" s="50" t="inlineStr">
        <is>
          <t>https://unctad.org/page/data-protection-and-privacy-legislation-worldwide</t>
        </is>
      </c>
      <c r="G13" t="inlineStr">
        <is>
          <t>Moderate (Data Protection Authority ANPDP established)</t>
        </is>
      </c>
      <c r="H13" s="50" t="inlineStr">
        <is>
          <t>https://unctad.org/page/data-protection-and-privacy-legislation-worldwide</t>
        </is>
      </c>
      <c r="I13" t="inlineStr">
        <is>
          <t>Partial (Child Protection Code; no COP strategy)</t>
        </is>
      </c>
      <c r="J13" s="50" t="inlineStr">
        <is>
          <t>https://unctad.org/page/data-protection-and-privacy-legislation-worldwide; https://www.unicef.org/central-african-republic/</t>
        </is>
      </c>
      <c r="K13" t="inlineStr">
        <is>
          <t>No</t>
        </is>
      </c>
      <c r="L13" s="50" t="inlineStr">
        <is>
          <t>https://www.unicef.org/central-african-republic/</t>
        </is>
      </c>
      <c r="M13" t="inlineStr">
        <is>
          <t>No</t>
        </is>
      </c>
      <c r="N13" s="50" t="inlineStr">
        <is>
          <t>https://unctad.org/page/data-protection-and-privacy-legislation-worldwide</t>
        </is>
      </c>
      <c r="O13" t="inlineStr">
        <is>
          <t>Legal (same-sex relations not criminalised; no recognition)</t>
        </is>
      </c>
      <c r="P13" s="50" t="inlineStr">
        <is>
          <t>https://www.humandignitytrust.org/country-profile/central-african-republic/; https://ilga.org/ilga-world-maps/</t>
        </is>
      </c>
      <c r="Q13" t="inlineStr">
        <is>
          <t>No/Annulled</t>
        </is>
      </c>
      <c r="R13" s="50" t="inlineStr">
        <is>
          <t>https://ilga.org/ilga-world-maps/</t>
        </is>
      </c>
      <c r="S13" t="inlineStr">
        <is>
          <t>None (no AI strategy identified)</t>
        </is>
      </c>
      <c r="T13" s="50" t="inlineStr">
        <is>
          <t>https://en.unesco.org/artificial-intelligence/observatory/policies?country=CF; https://www.unesco.org/ethics-ai/en/global-hub</t>
        </is>
      </c>
      <c r="U13" t="inlineStr">
        <is>
          <t>No</t>
        </is>
      </c>
      <c r="V13" s="50" t="inlineStr">
        <is>
          <t>https://unctad.org/page/data-protection-and-privacy-legislation-worldwide</t>
        </is>
      </c>
      <c r="W13" t="inlineStr">
        <is>
          <t>Yes (mandatory biometric SIM registration)</t>
        </is>
      </c>
      <c r="X13" s="50" t="inlineStr">
        <is>
          <t>https://www.gsma.com/solutions-and-impact/connectivity-for-good/public-policy/mobile-policy-handbook/consumer-protection/mandatory-registration-of-prepaid-sims/; https://privacyinternational.org/learn/sim-card-registration</t>
        </is>
      </c>
      <c r="AI13">
        <f>SUM(Y13:AH13)</f>
        <v/>
      </c>
      <c r="AJ13">
        <f>100-(AI13*(AI13/20))</f>
        <v/>
      </c>
      <c r="AK13" s="24">
        <f>100-(AJ13*(AJ13/MAX(AJ1:AJ13)))</f>
        <v/>
      </c>
      <c r="AL13" t="n">
        <v>34</v>
      </c>
    </row>
    <row r="14">
      <c r="A14" t="n">
        <v>35</v>
      </c>
      <c r="B14" t="inlineStr">
        <is>
          <t>Chad</t>
        </is>
      </c>
      <c r="C14" t="inlineStr">
        <is>
          <t>Africa</t>
        </is>
      </c>
      <c r="D14" t="inlineStr">
        <is>
          <t>ECCAS</t>
        </is>
      </c>
      <c r="E14" t="inlineStr">
        <is>
          <t>In force (Law No. 007/PR/2015 on Protection of Personal Data)</t>
        </is>
      </c>
      <c r="F14" s="50" t="inlineStr">
        <is>
          <t>https://unctad.org/page/data-protection-and-privacy-legislation-worldwide</t>
        </is>
      </c>
      <c r="G14" t="inlineStr">
        <is>
          <t>Moderate (ANPDP created as authority)</t>
        </is>
      </c>
      <c r="H14" s="50" t="inlineStr">
        <is>
          <t>https://unctad.org/page/data-protection-and-privacy-legislation-worldwide</t>
        </is>
      </c>
      <c r="I14" t="inlineStr">
        <is>
          <t>Partial (Child Protection Code; no COP strategy)</t>
        </is>
      </c>
      <c r="J14" s="50" t="inlineStr">
        <is>
          <t>https://unctad.org/page/data-protection-and-privacy-legislation-worldwide; https://www.unicef.org/chad/</t>
        </is>
      </c>
      <c r="K14" t="inlineStr">
        <is>
          <t>No</t>
        </is>
      </c>
      <c r="L14" s="50" t="inlineStr">
        <is>
          <t>https://www.unicef.org/chad/</t>
        </is>
      </c>
      <c r="M14" t="inlineStr">
        <is>
          <t>No</t>
        </is>
      </c>
      <c r="N14" s="50" t="inlineStr">
        <is>
          <t>https://unctad.org/page/data-protection-and-privacy-legislation-worldwide</t>
        </is>
      </c>
      <c r="O14" t="inlineStr">
        <is>
          <t>Criminalised (same-sex relations criminalised in Penal Code 2017)</t>
        </is>
      </c>
      <c r="P14" s="50" t="inlineStr">
        <is>
          <t>https://www.humandignitytrust.org/country-profile/chad/; https://ilga.org/ilga-world-maps/</t>
        </is>
      </c>
      <c r="Q14" t="inlineStr">
        <is>
          <t>Yes (anti-LGBT provisions)</t>
        </is>
      </c>
      <c r="R14" s="50" t="inlineStr">
        <is>
          <t>https://ilga.org/ilga-world-maps/</t>
        </is>
      </c>
      <c r="S14" t="inlineStr">
        <is>
          <t>None (no AI strategy identified)</t>
        </is>
      </c>
      <c r="T14" s="50" t="inlineStr">
        <is>
          <t>https://en.unesco.org/artificial-intelligence/observatory/policies?country=TD; https://www.unesco.org/ethics-ai/en/global-hub</t>
        </is>
      </c>
      <c r="U14" t="inlineStr">
        <is>
          <t>No</t>
        </is>
      </c>
      <c r="V14" s="50" t="inlineStr">
        <is>
          <t>https://unctad.org/page/data-protection-and-privacy-legislation-worldwide</t>
        </is>
      </c>
      <c r="W14" t="inlineStr">
        <is>
          <t>Yes (biometric SIM registration required)</t>
        </is>
      </c>
      <c r="X14" s="50" t="inlineStr">
        <is>
          <t>https://www.gsma.com/solutions-and-impact/connectivity-for-good/public-policy/mobile-policy-handbook/consumer-protection/mandatory-registration-of-prepaid-sims/; https://privacyinternational.org/learn/sim-card-registration</t>
        </is>
      </c>
      <c r="AI14">
        <f>SUM(Y14:AH14)</f>
        <v/>
      </c>
      <c r="AJ14">
        <f>100-(AI14*(AI14/20))</f>
        <v/>
      </c>
      <c r="AK14" s="24">
        <f>100-(AJ14*(AJ14/MAX(AJ1:AJ14)))</f>
        <v/>
      </c>
      <c r="AL14" t="n">
        <v>35</v>
      </c>
    </row>
    <row r="15">
      <c r="A15" t="n">
        <v>40</v>
      </c>
      <c r="B15" t="inlineStr">
        <is>
          <t>Congo (Republic of the)</t>
        </is>
      </c>
      <c r="C15" t="inlineStr">
        <is>
          <t>Africa</t>
        </is>
      </c>
      <c r="D15" t="inlineStr">
        <is>
          <t>ECCAS</t>
        </is>
      </c>
      <c r="E15" t="inlineStr">
        <is>
          <t>In force (Law No. 29-2019 on Protection of Personal Data)</t>
        </is>
      </c>
      <c r="F15" s="50" t="inlineStr">
        <is>
          <t>https://unctad.org/page/data-protection-and-privacy-legislation-worldwide</t>
        </is>
      </c>
      <c r="G15" t="inlineStr">
        <is>
          <t>Moderate (CNIL established as data protection authority)</t>
        </is>
      </c>
      <c r="H15" s="50" t="inlineStr">
        <is>
          <t>https://unctad.org/page/data-protection-and-privacy-legislation-worldwide</t>
        </is>
      </c>
      <c r="I15" t="inlineStr">
        <is>
          <t>Partial (Child Protection laws; no COP strategy)</t>
        </is>
      </c>
      <c r="J15" s="50" t="inlineStr">
        <is>
          <t>https://unctad.org/page/data-protection-and-privacy-legislation-worldwide; https://www.unicef.org/congo-republic-of-the/</t>
        </is>
      </c>
      <c r="K15" t="inlineStr">
        <is>
          <t>No</t>
        </is>
      </c>
      <c r="L15" s="50" t="inlineStr">
        <is>
          <t>https://www.unicef.org/congo-republic-of-the/</t>
        </is>
      </c>
      <c r="M15" t="inlineStr">
        <is>
          <t>No</t>
        </is>
      </c>
      <c r="N15" s="50" t="inlineStr">
        <is>
          <t>https://unctad.org/page/data-protection-and-privacy-legislation-worldwide</t>
        </is>
      </c>
      <c r="O15" t="inlineStr">
        <is>
          <t>Criminalised (Penal Code criminalises same-sex acts)</t>
        </is>
      </c>
      <c r="P15" s="50" t="inlineStr">
        <is>
          <t>https://www.humandignitytrust.org/country-profile/congo-republic-of-the/; https://ilga.org/ilga-world-maps/</t>
        </is>
      </c>
      <c r="Q15" t="inlineStr">
        <is>
          <t>Yes (morality law restrictions)</t>
        </is>
      </c>
      <c r="R15" s="50" t="inlineStr">
        <is>
          <t>https://ilga.org/ilga-world-maps/</t>
        </is>
      </c>
      <c r="S15" t="inlineStr">
        <is>
          <t>None (no AI strategy identified)</t>
        </is>
      </c>
      <c r="T15" s="50" t="inlineStr">
        <is>
          <t>https://www.unesco.org/ethics-ai/en/global-hub</t>
        </is>
      </c>
      <c r="U15" t="inlineStr">
        <is>
          <t>No</t>
        </is>
      </c>
      <c r="V15" s="50" t="inlineStr">
        <is>
          <t>https://unctad.org/page/data-protection-and-privacy-legislation-worldwide</t>
        </is>
      </c>
      <c r="W15" t="inlineStr">
        <is>
          <t>Yes (biometric SIM registration required)</t>
        </is>
      </c>
      <c r="X15" s="50" t="inlineStr">
        <is>
          <t>https://www.gsma.com/solutions-and-impact/connectivity-for-good/public-policy/mobile-policy-handbook/consumer-protection/mandatory-registration-of-prepaid-sims/; https://privacyinternational.org/learn/sim-card-registration</t>
        </is>
      </c>
      <c r="AI15">
        <f>SUM(Y15:AH15)</f>
        <v/>
      </c>
      <c r="AJ15">
        <f>100-(AI15*(AI15/20))</f>
        <v/>
      </c>
      <c r="AK15" s="24">
        <f>100-(AJ15*(AJ15/MAX(AJ1:AJ15)))</f>
        <v/>
      </c>
      <c r="AL15" t="n">
        <v>40</v>
      </c>
    </row>
    <row r="16">
      <c r="A16" t="n">
        <v>56</v>
      </c>
      <c r="B16" t="inlineStr">
        <is>
          <t>Equatorial Guinea</t>
        </is>
      </c>
      <c r="C16" t="inlineStr">
        <is>
          <t>Africa</t>
        </is>
      </c>
      <c r="D16" t="inlineStr">
        <is>
          <t>ECCAS</t>
        </is>
      </c>
      <c r="E16" t="inlineStr">
        <is>
          <t>None</t>
        </is>
      </c>
      <c r="F16" s="50" t="inlineStr">
        <is>
          <t>https://unctad.org/page/data-protection-and-privacy-legislation-worldwide</t>
        </is>
      </c>
      <c r="G16" t="inlineStr">
        <is>
          <t>None (no authority)</t>
        </is>
      </c>
      <c r="H16" s="50" t="inlineStr">
        <is>
          <t>https://unctad.org/page/data-protection-and-privacy-legislation-worldwide</t>
        </is>
      </c>
      <c r="I16" t="inlineStr">
        <is>
          <t>No</t>
        </is>
      </c>
      <c r="J16" s="50" t="inlineStr">
        <is>
          <t>https://www.unicef.org/equatorial-guinea/</t>
        </is>
      </c>
      <c r="K16" t="inlineStr">
        <is>
          <t>No</t>
        </is>
      </c>
      <c r="L16" s="50" t="inlineStr">
        <is>
          <t>https://www.unicef.org/equatorial-guinea/</t>
        </is>
      </c>
      <c r="M16" t="inlineStr">
        <is>
          <t>No</t>
        </is>
      </c>
      <c r="N16" s="50" t="inlineStr">
        <is>
          <t>https://unctad.org/page/data-protection-and-privacy-legislation-worldwide</t>
        </is>
      </c>
      <c r="O16" t="inlineStr">
        <is>
          <t>Criminalised</t>
        </is>
      </c>
      <c r="P16" s="50" t="inlineStr">
        <is>
          <t>https://www.humandignitytrust.org/country-profile/equatorial-guinea/; https://ilga.org/ilga-world-maps/</t>
        </is>
      </c>
      <c r="Q16" t="inlineStr">
        <is>
          <t>Yes (morality provisions)</t>
        </is>
      </c>
      <c r="R16" s="50" t="inlineStr">
        <is>
          <t>https://ilga.org/ilga-world-maps/</t>
        </is>
      </c>
      <c r="S16" t="inlineStr">
        <is>
          <t>None</t>
        </is>
      </c>
      <c r="T16" s="50" t="inlineStr">
        <is>
          <t>https://en.unesco.org/artificial-intelligence/observatory/policies?country=GQ; https://www.unesco.org/ethics-ai/en/global-hub</t>
        </is>
      </c>
      <c r="U16" t="inlineStr">
        <is>
          <t>No</t>
        </is>
      </c>
      <c r="V16" s="50" t="inlineStr">
        <is>
          <t>https://unctad.org/page/data-protection-and-privacy-legislation-worldwide</t>
        </is>
      </c>
      <c r="W16" t="inlineStr">
        <is>
          <t>Yes (mandatory biometric SIM registration)</t>
        </is>
      </c>
      <c r="X16" s="50" t="inlineStr">
        <is>
          <t>https://www.gsma.com/solutions-and-impact/connectivity-for-good/public-policy/mobile-policy-handbook/consumer-protection/mandatory-registration-of-prepaid-sims/; https://privacyinternational.org/learn/sim-card-registration</t>
        </is>
      </c>
      <c r="AI16">
        <f>SUM(Y16:AH16)</f>
        <v/>
      </c>
      <c r="AJ16">
        <f>100-(AI16*(AI16/20))</f>
        <v/>
      </c>
      <c r="AK16" s="24">
        <f>100-(AJ16*(AJ16/MAX(AJ1:AJ16)))</f>
        <v/>
      </c>
      <c r="AL16" t="n">
        <v>56</v>
      </c>
    </row>
    <row r="17">
      <c r="A17" t="n">
        <v>64</v>
      </c>
      <c r="B17" t="inlineStr">
        <is>
          <t>Gabon</t>
        </is>
      </c>
      <c r="C17" t="inlineStr">
        <is>
          <t>Africa</t>
        </is>
      </c>
      <c r="D17" t="inlineStr">
        <is>
          <t>ECCAS</t>
        </is>
      </c>
      <c r="E17" t="inlineStr">
        <is>
          <t>In force (Law No. 001/2011 on Personal Data Protection)</t>
        </is>
      </c>
      <c r="F17" s="50" t="inlineStr">
        <is>
          <t>https://unctad.org/page/data-protection-and-privacy-legislation-worldwide</t>
        </is>
      </c>
      <c r="G17" t="inlineStr">
        <is>
          <t>Moderate (CNPDCP exists, limited independence)</t>
        </is>
      </c>
      <c r="H17" s="50" t="inlineStr">
        <is>
          <t>https://unctad.org/page/data-protection-and-privacy-legislation-worldwide</t>
        </is>
      </c>
      <c r="I17" t="inlineStr">
        <is>
          <t>Partial (general child protections; no COP framework)</t>
        </is>
      </c>
      <c r="J17" s="50" t="inlineStr">
        <is>
          <t>https://unctad.org/page/data-protection-and-privacy-legislation-worldwide; https://www.unicef.org/gabon/</t>
        </is>
      </c>
      <c r="K17" t="inlineStr">
        <is>
          <t>No</t>
        </is>
      </c>
      <c r="L17" s="50" t="inlineStr">
        <is>
          <t>https://www.unicef.org/gabon/</t>
        </is>
      </c>
      <c r="M17" t="inlineStr">
        <is>
          <t>No</t>
        </is>
      </c>
      <c r="N17" s="50" t="inlineStr">
        <is>
          <t>https://unctad.org/page/data-protection-and-privacy-legislation-worldwide</t>
        </is>
      </c>
      <c r="O17" t="inlineStr">
        <is>
          <t>Decriminalised (2019 recriminalisation repealed 2020)</t>
        </is>
      </c>
      <c r="P17" s="50" t="inlineStr">
        <is>
          <t>https://www.humandignitytrust.org/country-profile/gabon/; https://ilga.org/ilga-world-maps/</t>
        </is>
      </c>
      <c r="Q17" t="inlineStr">
        <is>
          <t>No</t>
        </is>
      </c>
      <c r="R17" s="50" t="inlineStr">
        <is>
          <t>https://ilga.org/ilga-world-maps/</t>
        </is>
      </c>
      <c r="S17" t="inlineStr">
        <is>
          <t>None</t>
        </is>
      </c>
      <c r="T17" s="50" t="inlineStr">
        <is>
          <t>https://en.unesco.org/artificial-intelligence/observatory/policies?country=GA; https://www.unesco.org/ethics-ai/en/global-hub</t>
        </is>
      </c>
      <c r="U17" t="inlineStr">
        <is>
          <t>No</t>
        </is>
      </c>
      <c r="V17" s="50" t="inlineStr">
        <is>
          <t>https://unctad.org/page/data-protection-and-privacy-legislation-worldwide</t>
        </is>
      </c>
      <c r="W17" t="inlineStr">
        <is>
          <t>Yes (mandatory SIM registration with ID)</t>
        </is>
      </c>
      <c r="X17" s="50" t="inlineStr">
        <is>
          <t>https://www.gsma.com/solutions-and-impact/connectivity-for-good/public-policy/mobile-policy-handbook/consumer-protection/mandatory-registration-of-prepaid-sims/</t>
        </is>
      </c>
      <c r="AI17">
        <f>SUM(Y17:AH17)</f>
        <v/>
      </c>
      <c r="AJ17">
        <f>100-(AI17*(AI17/20))</f>
        <v/>
      </c>
      <c r="AK17" s="24">
        <f>100-(AJ17*(AJ17/MAX(AJ2:AJ17)))</f>
        <v/>
      </c>
      <c r="AL17" t="n">
        <v>64</v>
      </c>
    </row>
    <row r="18">
      <c r="A18" t="n">
        <v>151</v>
      </c>
      <c r="B18" t="inlineStr">
        <is>
          <t>Sao Tome and Principe</t>
        </is>
      </c>
      <c r="C18" t="inlineStr">
        <is>
          <t>Africa</t>
        </is>
      </c>
      <c r="D18" t="inlineStr">
        <is>
          <t>ECCAS</t>
        </is>
      </c>
      <c r="E18" t="inlineStr">
        <is>
          <t>None</t>
        </is>
      </c>
      <c r="F18" s="50" t="inlineStr">
        <is>
          <t>https://unctad.org/page/data-protection-and-privacy-legislation-worldwide</t>
        </is>
      </c>
      <c r="G18" t="inlineStr">
        <is>
          <t>None</t>
        </is>
      </c>
      <c r="H18" s="50" t="inlineStr">
        <is>
          <t>https://unctad.org/page/data-protection-and-privacy-legislation-worldwide</t>
        </is>
      </c>
      <c r="I18" t="inlineStr">
        <is>
          <t>No</t>
        </is>
      </c>
      <c r="J18" s="50" t="inlineStr">
        <is>
          <t>https://www.unicef.org/sao-tome-and-principe/</t>
        </is>
      </c>
      <c r="K18" t="inlineStr">
        <is>
          <t>No</t>
        </is>
      </c>
      <c r="L18" s="50" t="inlineStr">
        <is>
          <t>https://www.unicef.org/sao-tome-and-principe/</t>
        </is>
      </c>
      <c r="M18" t="inlineStr">
        <is>
          <t>No</t>
        </is>
      </c>
      <c r="N18" s="50" t="inlineStr">
        <is>
          <t>https://unctad.org/page/data-protection-and-privacy-legislation-worldwide</t>
        </is>
      </c>
      <c r="O18" t="inlineStr">
        <is>
          <t>Legal — decriminalised 2012, no recognition</t>
        </is>
      </c>
      <c r="P18" s="50" t="inlineStr">
        <is>
          <t>https://www.humandignitytrust.org/country-profile/sao-tome-and-principe/; https://ilga.org/ilga-world-maps/</t>
        </is>
      </c>
      <c r="Q18" t="inlineStr">
        <is>
          <t>No</t>
        </is>
      </c>
      <c r="R18" s="50" t="inlineStr">
        <is>
          <t>https://ilga.org/ilga-world-maps/</t>
        </is>
      </c>
      <c r="S18" t="inlineStr">
        <is>
          <t>None</t>
        </is>
      </c>
      <c r="T18" s="50" t="inlineStr">
        <is>
          <t>https://en.unesco.org/artificial-intelligence/observatory/policies?country=ST; https://www.unesco.org/ethics-ai/en/global-hub</t>
        </is>
      </c>
      <c r="U18" t="inlineStr">
        <is>
          <t>No</t>
        </is>
      </c>
      <c r="V18" s="50" t="inlineStr">
        <is>
          <t>https://unctad.org/page/data-protection-and-privacy-legislation-worldwide</t>
        </is>
      </c>
      <c r="W18" t="inlineStr">
        <is>
          <t>Yes</t>
        </is>
      </c>
      <c r="X18" s="50" t="inlineStr">
        <is>
          <t>https://www.gsma.com/solutions-and-impact/connectivity-for-good/public-policy/mobile-policy-handbook/consumer-protection/mandatory-registration-of-prepaid-sims/</t>
        </is>
      </c>
      <c r="AI18">
        <f>SUM(Y18:AH18)</f>
        <v/>
      </c>
      <c r="AJ18">
        <f>100-(AI18*(AI18/20))</f>
        <v/>
      </c>
      <c r="AK18" s="24">
        <f>100-(AJ18*(AJ18/MAX(AJ3:AJ18)))</f>
        <v/>
      </c>
      <c r="AL18" t="n">
        <v>151</v>
      </c>
    </row>
    <row r="19">
      <c r="A19" s="19" t="n">
        <v>20</v>
      </c>
      <c r="B19" s="19" t="inlineStr">
        <is>
          <t>Benin</t>
        </is>
      </c>
      <c r="C19" s="19" t="inlineStr">
        <is>
          <t>Africa</t>
        </is>
      </c>
      <c r="D19" s="19" t="inlineStr">
        <is>
          <t>ECOWAS</t>
        </is>
      </c>
      <c r="E19" s="19" t="inlineStr">
        <is>
          <t>In force (Law No. 2009-09 on Personal Data Protection)</t>
        </is>
      </c>
      <c r="F19" s="20" t="inlineStr">
        <is>
          <t>https://unctad.org/page/data-protection-and-privacy-legislation-worldwide</t>
        </is>
      </c>
      <c r="G19" s="19" t="inlineStr">
        <is>
          <t>Moderate (APDP operational)</t>
        </is>
      </c>
      <c r="H19" s="20" t="inlineStr">
        <is>
          <t>https://unctad.org/page/data-protection-and-privacy-legislation-worldwide</t>
        </is>
      </c>
      <c r="I19" s="19" t="inlineStr">
        <is>
          <t>Partial (Child Code; no national COP strategy)</t>
        </is>
      </c>
      <c r="J19" s="20" t="inlineStr">
        <is>
          <t>https://unctad.org/page/data-protection-and-privacy-legislation-worldwide; https://www.unicef.org/benin/</t>
        </is>
      </c>
      <c r="K19" s="19" t="inlineStr">
        <is>
          <t>No</t>
        </is>
      </c>
      <c r="L19" s="20" t="inlineStr">
        <is>
          <t>https://www.unicef.org/benin/</t>
        </is>
      </c>
      <c r="M19" s="19" t="inlineStr">
        <is>
          <t>No</t>
        </is>
      </c>
      <c r="N19" s="20" t="inlineStr">
        <is>
          <t>https://unctad.org/page/data-protection-and-privacy-legislation-worldwide</t>
        </is>
      </c>
      <c r="O19" s="19" t="inlineStr">
        <is>
          <t>Legal (no criminalisation; no recognition)</t>
        </is>
      </c>
      <c r="P19" s="20" t="inlineStr">
        <is>
          <t>https://www.humandignitytrust.org/country-profile/benin/; https://ilga.org/ilga-world-maps/</t>
        </is>
      </c>
      <c r="Q19" s="19" t="inlineStr">
        <is>
          <t>No/Annulled</t>
        </is>
      </c>
      <c r="R19" s="20" t="inlineStr">
        <is>
          <t>https://ilga.org/ilga-world-maps/</t>
        </is>
      </c>
      <c r="S19" s="19" t="inlineStr">
        <is>
          <t>Draft/Early (AI policy referenced in Digital Strategy 2021)</t>
        </is>
      </c>
      <c r="T19" s="20" t="inlineStr">
        <is>
          <t>https://en.unesco.org/artificial-intelligence/observatory/policies?country=BJ; https://www.unesco.org/ethics-ai/en/global-hub</t>
        </is>
      </c>
      <c r="U19" s="19" t="inlineStr">
        <is>
          <t>No</t>
        </is>
      </c>
      <c r="V19" s="20" t="inlineStr">
        <is>
          <t>https://unctad.org/page/data-protection-and-privacy-legislation-worldwide</t>
        </is>
      </c>
      <c r="W19" s="19" t="inlineStr">
        <is>
          <t>Yes (SIM biometric registration required)</t>
        </is>
      </c>
      <c r="X19" s="20" t="inlineStr">
        <is>
          <t>https://www.gsma.com/solutions-and-impact/connectivity-for-good/public-policy/mobile-policy-handbook/consumer-protection/mandatory-registration-of-prepaid-sims/; https://privacyinternational.org/learn/sim-card-registration</t>
        </is>
      </c>
      <c r="Y19" t="n">
        <v>2</v>
      </c>
      <c r="Z19" t="n">
        <v>2</v>
      </c>
      <c r="AA19" t="n">
        <v>2</v>
      </c>
      <c r="AB19" t="n">
        <v>1</v>
      </c>
      <c r="AC19" t="n">
        <v>2</v>
      </c>
      <c r="AD19" t="n">
        <v>1</v>
      </c>
      <c r="AE19" t="n">
        <v>2</v>
      </c>
      <c r="AF19" t="n">
        <v>1</v>
      </c>
      <c r="AG19" t="n">
        <v>1</v>
      </c>
      <c r="AH19" t="n">
        <v>2</v>
      </c>
      <c r="AI19">
        <f>SUM(Y19:AH19)</f>
        <v/>
      </c>
      <c r="AJ19">
        <f>100-(AI19*(AI19/20))</f>
        <v/>
      </c>
      <c r="AK19" s="24">
        <f>MAX(AJ19:AJ31)-(AJ19*(AJ19/MAX(AJ19:AJ31)))</f>
        <v/>
      </c>
      <c r="AL19" s="19" t="n">
        <v>20</v>
      </c>
    </row>
    <row r="20">
      <c r="A20" s="19" t="n">
        <v>28</v>
      </c>
      <c r="B20" s="19" t="inlineStr">
        <is>
          <t>Burkina Faso</t>
        </is>
      </c>
      <c r="C20" s="19" t="inlineStr">
        <is>
          <t>Africa</t>
        </is>
      </c>
      <c r="D20" s="19" t="inlineStr">
        <is>
          <t>ECOWAS</t>
        </is>
      </c>
      <c r="E20" s="19" t="inlineStr">
        <is>
          <t>In force (Law No. 001-2021/AN on Personal Data Protection)</t>
        </is>
      </c>
      <c r="F20" s="20" t="inlineStr">
        <is>
          <t>https://unctad.org/page/data-protection-and-privacy-legislation-worldwide</t>
        </is>
      </c>
      <c r="G20" s="19" t="inlineStr">
        <is>
          <t>Moderate (CIL created as independent authority)</t>
        </is>
      </c>
      <c r="H20" s="20" t="inlineStr">
        <is>
          <t>https://unctad.org/page/data-protection-and-privacy-legislation-worldwide</t>
        </is>
      </c>
      <c r="I20" s="19" t="inlineStr">
        <is>
          <t>Partial (Child Protection Code; no COP strategy)</t>
        </is>
      </c>
      <c r="J20" s="20" t="inlineStr">
        <is>
          <t>https://unctad.org/page/data-protection-and-privacy-legislation-worldwide; https://www.unicef.org/burkina-faso/</t>
        </is>
      </c>
      <c r="K20" s="19" t="inlineStr">
        <is>
          <t>No</t>
        </is>
      </c>
      <c r="L20" s="20" t="inlineStr">
        <is>
          <t>https://www.unicef.org/burkina-faso/</t>
        </is>
      </c>
      <c r="M20" s="19" t="inlineStr">
        <is>
          <t>No</t>
        </is>
      </c>
      <c r="N20" s="20" t="inlineStr">
        <is>
          <t>https://unctad.org/page/data-protection-and-privacy-legislation-worldwide</t>
        </is>
      </c>
      <c r="O20" s="19" t="inlineStr">
        <is>
          <t>Legal (same-sex relations not criminalised; no recognition)</t>
        </is>
      </c>
      <c r="P20" s="20" t="inlineStr">
        <is>
          <t>https://www.humandignitytrust.org/country-profile/burkina-faso/; https://ilga.org/ilga-world-maps/</t>
        </is>
      </c>
      <c r="Q20" s="19" t="inlineStr">
        <is>
          <t>No/Annulled</t>
        </is>
      </c>
      <c r="R20" s="20" t="inlineStr">
        <is>
          <t>https://ilga.org/ilga-world-maps/</t>
        </is>
      </c>
      <c r="S20" s="19" t="inlineStr">
        <is>
          <t>None (no AI strategy identified)</t>
        </is>
      </c>
      <c r="T20" s="20" t="inlineStr">
        <is>
          <t>https://en.unesco.org/artificial-intelligence/observatory/policies?country=BF; https://www.unesco.org/ethics-ai/en/global-hub</t>
        </is>
      </c>
      <c r="U20" s="19" t="inlineStr">
        <is>
          <t>No</t>
        </is>
      </c>
      <c r="V20" s="20" t="inlineStr">
        <is>
          <t>https://unctad.org/page/data-protection-and-privacy-legislation-worldwide</t>
        </is>
      </c>
      <c r="W20" s="19" t="inlineStr">
        <is>
          <t>Yes (SIM biometric registration mandatory)</t>
        </is>
      </c>
      <c r="X20" s="20" t="inlineStr">
        <is>
          <t>https://www.gsma.com/solutions-and-impact/connectivity-for-good/public-policy/mobile-policy-handbook/consumer-protection/mandatory-registration-of-prepaid-sims/; https://privacyinternational.org/learn/sim-card-registration</t>
        </is>
      </c>
      <c r="Y20" t="n">
        <v>2</v>
      </c>
      <c r="Z20" t="n">
        <v>2</v>
      </c>
      <c r="AA20" t="n">
        <v>2</v>
      </c>
      <c r="AB20" t="n">
        <v>1</v>
      </c>
      <c r="AC20" t="n">
        <v>2</v>
      </c>
      <c r="AD20" t="n">
        <v>1</v>
      </c>
      <c r="AE20" t="n">
        <v>2</v>
      </c>
      <c r="AF20" t="n">
        <v>1</v>
      </c>
      <c r="AG20" t="n">
        <v>1</v>
      </c>
      <c r="AH20" t="n">
        <v>2</v>
      </c>
      <c r="AI20">
        <f>SUM(Y20:AH20)</f>
        <v/>
      </c>
      <c r="AJ20">
        <f>100-(AI20*(AI20/20))</f>
        <v/>
      </c>
      <c r="AK20" s="24">
        <f>MAX(AJ19:AJ31)-(AJ20*(AJ20/MAX(AJ19:AJ31)))</f>
        <v/>
      </c>
      <c r="AL20" s="19" t="n">
        <v>28</v>
      </c>
    </row>
    <row r="21">
      <c r="A21" s="19" t="n">
        <v>30</v>
      </c>
      <c r="B21" s="19" t="inlineStr">
        <is>
          <t>Cabo Verde</t>
        </is>
      </c>
      <c r="C21" s="19" t="inlineStr">
        <is>
          <t>Africa</t>
        </is>
      </c>
      <c r="D21" s="19" t="inlineStr">
        <is>
          <t>ECOWAS</t>
        </is>
      </c>
      <c r="E21" s="19" t="inlineStr">
        <is>
          <t>In force (Law No. 133/V/2001, updated 2013)</t>
        </is>
      </c>
      <c r="F21" s="20" t="inlineStr">
        <is>
          <t>https://unctad.org/page/data-protection-and-privacy-legislation-worldwide</t>
        </is>
      </c>
      <c r="G21" s="19" t="inlineStr">
        <is>
          <t>Moderate (CNPD created as authority)</t>
        </is>
      </c>
      <c r="H21" s="20" t="inlineStr">
        <is>
          <t>https://unctad.org/page/data-protection-and-privacy-legislation-worldwide</t>
        </is>
      </c>
      <c r="I21" s="19" t="inlineStr">
        <is>
          <t>Partial (Child and Adolescent Code; no COP strategy)</t>
        </is>
      </c>
      <c r="J21" s="20" t="inlineStr">
        <is>
          <t>https://unctad.org/page/data-protection-and-privacy-legislation-worldwide; https://www.unicef.org/cabo-verde/</t>
        </is>
      </c>
      <c r="K21" s="19" t="inlineStr">
        <is>
          <t>No</t>
        </is>
      </c>
      <c r="L21" s="20" t="inlineStr">
        <is>
          <t>https://www.unicef.org/cabo-verde/</t>
        </is>
      </c>
      <c r="M21" s="19" t="inlineStr">
        <is>
          <t>No (not explicitly in law)</t>
        </is>
      </c>
      <c r="N21" s="20" t="inlineStr">
        <is>
          <t>https://unctad.org/page/data-protection-and-privacy-legislation-worldwide</t>
        </is>
      </c>
      <c r="O21" s="19" t="inlineStr">
        <is>
          <t>Legal (same-sex relations decriminalised 2004; no recognition)</t>
        </is>
      </c>
      <c r="P21" s="20" t="inlineStr">
        <is>
          <t>https://www.humandignitytrust.org/country-profile/cabo-verde/; https://ilga.org/ilga-world-maps/</t>
        </is>
      </c>
      <c r="Q21" s="19" t="inlineStr">
        <is>
          <t>No/Annulled</t>
        </is>
      </c>
      <c r="R21" s="20" t="inlineStr">
        <is>
          <t>https://ilga.org/ilga-world-maps/</t>
        </is>
      </c>
      <c r="S21" s="19" t="inlineStr">
        <is>
          <t>Draft/Early (AI elements in Digital Strategy 2021–2030)</t>
        </is>
      </c>
      <c r="T21" s="20" t="inlineStr">
        <is>
          <t>https://en.unesco.org/artificial-intelligence/observatory/policies?country=CV; https://www.unesco.org/ethics-ai/en/global-hub</t>
        </is>
      </c>
      <c r="U21" s="19" t="inlineStr">
        <is>
          <t>No</t>
        </is>
      </c>
      <c r="V21" s="20" t="inlineStr">
        <is>
          <t>https://unctad.org/page/data-protection-and-privacy-legislation-worldwide</t>
        </is>
      </c>
      <c r="W21" s="19" t="inlineStr">
        <is>
          <t>Yes (SIM registration with ID and biometric data required)</t>
        </is>
      </c>
      <c r="X21" s="20" t="inlineStr">
        <is>
          <t>https://www.gsma.com/solutions-and-impact/connectivity-for-good/public-policy/mobile-policy-handbook/consumer-protection/mandatory-registration-of-prepaid-sims/; https://privacyinternational.org/learn/sim-card-registration</t>
        </is>
      </c>
      <c r="Y21" t="n">
        <v>2</v>
      </c>
      <c r="Z21" t="n">
        <v>2</v>
      </c>
      <c r="AA21" t="n">
        <v>2</v>
      </c>
      <c r="AB21" t="n">
        <v>1</v>
      </c>
      <c r="AC21" t="n">
        <v>2</v>
      </c>
      <c r="AD21" t="n">
        <v>1</v>
      </c>
      <c r="AE21" t="n">
        <v>2</v>
      </c>
      <c r="AF21" t="n">
        <v>1</v>
      </c>
      <c r="AG21" t="n">
        <v>1</v>
      </c>
      <c r="AH21" t="n">
        <v>2</v>
      </c>
      <c r="AI21">
        <f>SUM(Y21:AH21)</f>
        <v/>
      </c>
      <c r="AJ21">
        <f>100-(AI21*(AI21/20))</f>
        <v/>
      </c>
      <c r="AK21" s="24">
        <f>MAX(AJ19:AJ31)-(AJ21*(AJ21/MAX(AJ19:AJ31)))</f>
        <v/>
      </c>
      <c r="AL21" s="19" t="n">
        <v>30</v>
      </c>
    </row>
    <row r="22">
      <c r="A22" s="19" t="n">
        <v>46</v>
      </c>
      <c r="B22" s="19" t="inlineStr">
        <is>
          <t>Côte d’Ivoire</t>
        </is>
      </c>
      <c r="C22" s="19" t="inlineStr">
        <is>
          <t>Africa</t>
        </is>
      </c>
      <c r="D22" s="19" t="inlineStr">
        <is>
          <t>ECOWAS</t>
        </is>
      </c>
      <c r="E22" s="19" t="inlineStr">
        <is>
          <t>In force (Law No. 2013-450; ARTCI regulator)</t>
        </is>
      </c>
      <c r="F22" s="20" t="inlineStr">
        <is>
          <t>https://unctad.org/page/data-protection-and-privacy-legislation-worldwide</t>
        </is>
      </c>
      <c r="G22" s="19" t="inlineStr">
        <is>
          <t>Moderate (ARTCI operational)</t>
        </is>
      </c>
      <c r="H22" s="20" t="inlineStr">
        <is>
          <t>https://unctad.org/page/data-protection-and-privacy-legislation-worldwide</t>
        </is>
      </c>
      <c r="I22" s="19" t="inlineStr">
        <is>
          <t>Partial (laws exist; no national COP strategy)</t>
        </is>
      </c>
      <c r="J22" s="20" t="inlineStr">
        <is>
          <t>https://unctad.org/page/data-protection-and-privacy-legislation-worldwide; https://www.unicef.org/cote-divoire/</t>
        </is>
      </c>
      <c r="K22" s="19" t="inlineStr">
        <is>
          <t>No</t>
        </is>
      </c>
      <c r="L22" s="20" t="inlineStr">
        <is>
          <t>https://www.unicef.org/cote-divoire/</t>
        </is>
      </c>
      <c r="M22" s="19" t="inlineStr">
        <is>
          <t>No</t>
        </is>
      </c>
      <c r="N22" s="20" t="inlineStr">
        <is>
          <t>https://unctad.org/page/data-protection-and-privacy-legislation-worldwide</t>
        </is>
      </c>
      <c r="O22" s="19" t="inlineStr">
        <is>
          <t>Criminalised</t>
        </is>
      </c>
      <c r="P22" s="20" t="inlineStr">
        <is>
          <t>https://www.humandignitytrust.org/country-profile/cote-divoire/; https://ilga.org/ilga-world-maps/</t>
        </is>
      </c>
      <c r="Q22" s="19" t="inlineStr">
        <is>
          <t>Yes (morality-based restrictions)</t>
        </is>
      </c>
      <c r="R22" s="20" t="inlineStr">
        <is>
          <t>https://ilga.org/ilga-world-maps/</t>
        </is>
      </c>
      <c r="S22" s="19" t="inlineStr">
        <is>
          <t>Draft/Early (AI in Digital Plan 2021–2025)</t>
        </is>
      </c>
      <c r="T22" s="20" t="inlineStr">
        <is>
          <t>https://www.unesco.org/ethics-ai/en/global-hub</t>
        </is>
      </c>
      <c r="U22" s="19" t="inlineStr">
        <is>
          <t>No</t>
        </is>
      </c>
      <c r="V22" s="20" t="inlineStr">
        <is>
          <t>https://unctad.org/page/data-protection-and-privacy-legislation-worldwide</t>
        </is>
      </c>
      <c r="W22" s="19" t="inlineStr">
        <is>
          <t>Yes (mandatory biometric SIM registration)</t>
        </is>
      </c>
      <c r="X22" s="20" t="inlineStr">
        <is>
          <t>https://www.gsma.com/solutions-and-impact/connectivity-for-good/public-policy/mobile-policy-handbook/consumer-protection/mandatory-registration-of-prepaid-sims/; https://privacyinternational.org/learn/sim-card-registration</t>
        </is>
      </c>
      <c r="Y22" t="n">
        <v>2</v>
      </c>
      <c r="Z22" t="n">
        <v>2</v>
      </c>
      <c r="AA22" t="n">
        <v>2</v>
      </c>
      <c r="AB22" t="n">
        <v>1</v>
      </c>
      <c r="AC22" t="n">
        <v>2</v>
      </c>
      <c r="AD22" t="n">
        <v>1</v>
      </c>
      <c r="AE22" t="n">
        <v>2</v>
      </c>
      <c r="AF22" t="n">
        <v>1</v>
      </c>
      <c r="AG22" t="n">
        <v>1</v>
      </c>
      <c r="AH22" t="n">
        <v>2</v>
      </c>
      <c r="AI22">
        <f>SUM(Y22:AH22)</f>
        <v/>
      </c>
      <c r="AJ22">
        <f>100-(AI22*(AI22/20))</f>
        <v/>
      </c>
      <c r="AK22" s="24">
        <f>MAX(AJ19:AJ31)-(AJ22*(AJ22/MAX(AJ19:AJ31)))</f>
        <v/>
      </c>
      <c r="AL22" s="19" t="n">
        <v>46</v>
      </c>
    </row>
    <row r="23">
      <c r="A23" s="19" t="n">
        <v>65</v>
      </c>
      <c r="B23" s="19" t="inlineStr">
        <is>
          <t>Gambia</t>
        </is>
      </c>
      <c r="C23" s="19" t="inlineStr">
        <is>
          <t>Africa</t>
        </is>
      </c>
      <c r="D23" s="19" t="inlineStr">
        <is>
          <t>ECOWAS</t>
        </is>
      </c>
      <c r="E23" s="19" t="inlineStr">
        <is>
          <t>Draft (bill pending)</t>
        </is>
      </c>
      <c r="F23" s="20" t="inlineStr">
        <is>
          <t>https://unctad.org/page/data-protection-and-privacy-legislation-worldwide</t>
        </is>
      </c>
      <c r="G23" s="19" t="inlineStr">
        <is>
          <t>None</t>
        </is>
      </c>
      <c r="H23" s="20" t="inlineStr">
        <is>
          <t>https://unctad.org/page/data-protection-and-privacy-legislation-worldwide</t>
        </is>
      </c>
      <c r="I23" s="19" t="inlineStr">
        <is>
          <t>No</t>
        </is>
      </c>
      <c r="J23" s="20" t="inlineStr">
        <is>
          <t>https://www.unicef.org/gambia/</t>
        </is>
      </c>
      <c r="K23" s="19" t="inlineStr">
        <is>
          <t>No</t>
        </is>
      </c>
      <c r="L23" s="20" t="inlineStr">
        <is>
          <t>https://www.unicef.org/gambia/</t>
        </is>
      </c>
      <c r="M23" s="19" t="inlineStr">
        <is>
          <t>No</t>
        </is>
      </c>
      <c r="N23" s="20" t="inlineStr">
        <is>
          <t>https://unctad.org/page/data-protection-and-privacy-legislation-worldwide</t>
        </is>
      </c>
      <c r="O23" s="19" t="inlineStr">
        <is>
          <t>Criminalised</t>
        </is>
      </c>
      <c r="P23" s="20" t="inlineStr">
        <is>
          <t>https://www.humandignitytrust.org/country-profile/gambia/; https://ilga.org/ilga-world-maps/</t>
        </is>
      </c>
      <c r="Q23" s="19" t="inlineStr">
        <is>
          <t>Yes (restrictions on LGBTQ expression)</t>
        </is>
      </c>
      <c r="R23" s="20" t="inlineStr">
        <is>
          <t>https://ilga.org/ilga-world-maps/</t>
        </is>
      </c>
      <c r="S23" s="19" t="inlineStr">
        <is>
          <t>None</t>
        </is>
      </c>
      <c r="T23" s="20" t="inlineStr">
        <is>
          <t>https://en.unesco.org/artificial-intelligence/observatory/policies?country=GM; https://www.unesco.org/ethics-ai/en/global-hub</t>
        </is>
      </c>
      <c r="U23" s="19" t="inlineStr">
        <is>
          <t>No</t>
        </is>
      </c>
      <c r="V23" s="20" t="inlineStr">
        <is>
          <t>https://unctad.org/page/data-protection-and-privacy-legislation-worldwide</t>
        </is>
      </c>
      <c r="W23" s="19" t="inlineStr">
        <is>
          <t>Yes (mandatory biometric SIM registration)</t>
        </is>
      </c>
      <c r="X23" s="20" t="inlineStr">
        <is>
          <t>https://www.gsma.com/solutions-and-impact/connectivity-for-good/public-policy/mobile-policy-handbook/consumer-protection/mandatory-registration-of-prepaid-sims/; https://privacyinternational.org/learn/sim-card-registration</t>
        </is>
      </c>
      <c r="Y23" t="n">
        <v>2</v>
      </c>
      <c r="Z23" t="n">
        <v>2</v>
      </c>
      <c r="AA23" t="n">
        <v>2</v>
      </c>
      <c r="AB23" t="n">
        <v>1</v>
      </c>
      <c r="AC23" t="n">
        <v>2</v>
      </c>
      <c r="AD23" t="n">
        <v>1</v>
      </c>
      <c r="AE23" t="n">
        <v>2</v>
      </c>
      <c r="AF23" t="n">
        <v>1</v>
      </c>
      <c r="AG23" t="n">
        <v>1</v>
      </c>
      <c r="AH23" t="n">
        <v>2</v>
      </c>
      <c r="AI23">
        <f>SUM(Y23:AH23)</f>
        <v/>
      </c>
      <c r="AJ23">
        <f>100-(AI23*(AI23/20))</f>
        <v/>
      </c>
      <c r="AK23" s="24">
        <f>MAX(AJ19:AJ31)-(AJ23*(AJ23/MAX(AJ19:AJ31)))</f>
        <v/>
      </c>
      <c r="AL23" s="19" t="n">
        <v>65</v>
      </c>
    </row>
    <row r="24">
      <c r="A24" s="19" t="n">
        <v>68</v>
      </c>
      <c r="B24" s="19" t="inlineStr">
        <is>
          <t>Ghana</t>
        </is>
      </c>
      <c r="C24" s="19" t="inlineStr">
        <is>
          <t>Africa</t>
        </is>
      </c>
      <c r="D24" s="19" t="inlineStr">
        <is>
          <t>ECOWAS</t>
        </is>
      </c>
      <c r="E24" s="19" t="inlineStr">
        <is>
          <t>In force (Data Protection Act, 2012)</t>
        </is>
      </c>
      <c r="F24" s="20" t="inlineStr">
        <is>
          <t>https://unctad.org/page/data-protection-and-privacy-legislation-worldwide</t>
        </is>
      </c>
      <c r="G24" s="19" t="inlineStr">
        <is>
          <t>Moderate (Data Protection Commission; limited capacity)</t>
        </is>
      </c>
      <c r="H24" s="20" t="inlineStr">
        <is>
          <t>https://unctad.org/page/data-protection-and-privacy-legislation-worldwide</t>
        </is>
      </c>
      <c r="I24" s="19" t="inlineStr">
        <is>
          <t>Partial (general child rights; no COP framework)</t>
        </is>
      </c>
      <c r="J24" s="20" t="inlineStr">
        <is>
          <t>https://unctad.org/page/data-protection-and-privacy-legislation-worldwide; https://www.unicef.org/ghana/</t>
        </is>
      </c>
      <c r="K24" s="19" t="inlineStr">
        <is>
          <t>Partial (digital literacy programs)</t>
        </is>
      </c>
      <c r="L24" s="20" t="inlineStr">
        <is>
          <t>https://www.unicef.org/ghana/</t>
        </is>
      </c>
      <c r="M24" s="19" t="inlineStr">
        <is>
          <t>No</t>
        </is>
      </c>
      <c r="N24" s="20" t="inlineStr">
        <is>
          <t>https://unctad.org/page/data-protection-and-privacy-legislation-worldwide</t>
        </is>
      </c>
      <c r="O24" s="19" t="inlineStr">
        <is>
          <t>Criminalised</t>
        </is>
      </c>
      <c r="P24" s="20" t="inlineStr">
        <is>
          <t>https://www.humandignitytrust.org/country-profile/ghana/; https://ilga.org/ilga-world-maps/</t>
        </is>
      </c>
      <c r="Q24" s="19" t="inlineStr">
        <is>
          <t>Proposed/Unclear (2021 anti-LGBTQ bill pending)</t>
        </is>
      </c>
      <c r="R24" s="20" t="inlineStr">
        <is>
          <t>https://ilga.org/ilga-world-maps/</t>
        </is>
      </c>
      <c r="S24" s="19" t="inlineStr">
        <is>
          <t>Draft/Early (digital transformation program; no standalone AI strategy)</t>
        </is>
      </c>
      <c r="T24" s="20" t="inlineStr">
        <is>
          <t>https://en.unesco.org/artificial-intelligence/observatory/policies?country=GH; https://www.unesco.org/ethics-ai/en/global-hub</t>
        </is>
      </c>
      <c r="U24" s="19" t="inlineStr">
        <is>
          <t>No</t>
        </is>
      </c>
      <c r="V24" s="20" t="inlineStr">
        <is>
          <t>https://unctad.org/page/data-protection-and-privacy-legislation-worldwide</t>
        </is>
      </c>
      <c r="W24" s="19" t="inlineStr">
        <is>
          <t>Yes (mandatory biometric SIM registration since 2021)</t>
        </is>
      </c>
      <c r="X24" s="20" t="inlineStr">
        <is>
          <t>https://www.gsma.com/solutions-and-impact/connectivity-for-good/public-policy/mobile-policy-handbook/consumer-protection/mandatory-registration-of-prepaid-sims/; https://privacyinternational.org/learn/sim-card-registration</t>
        </is>
      </c>
      <c r="Y24" t="n">
        <v>2</v>
      </c>
      <c r="Z24" t="n">
        <v>2</v>
      </c>
      <c r="AA24" t="n">
        <v>2</v>
      </c>
      <c r="AB24" t="n">
        <v>1</v>
      </c>
      <c r="AC24" t="n">
        <v>2</v>
      </c>
      <c r="AD24" t="n">
        <v>1</v>
      </c>
      <c r="AE24" t="n">
        <v>2</v>
      </c>
      <c r="AF24" t="n">
        <v>1</v>
      </c>
      <c r="AG24" t="n">
        <v>1</v>
      </c>
      <c r="AH24" t="n">
        <v>2</v>
      </c>
      <c r="AI24">
        <f>SUM(Y24:AH24)</f>
        <v/>
      </c>
      <c r="AJ24">
        <f>100-(AI24*(AI24/20))</f>
        <v/>
      </c>
      <c r="AK24" s="24">
        <f>MAX(AJ19:AJ31)-(AJ24*(AJ24/MAX(AJ19:AJ31)))</f>
        <v/>
      </c>
      <c r="AL24" s="19" t="n">
        <v>68</v>
      </c>
    </row>
    <row r="25">
      <c r="A25" s="19" t="n">
        <v>72</v>
      </c>
      <c r="B25" s="19" t="inlineStr">
        <is>
          <t>Guinea</t>
        </is>
      </c>
      <c r="C25" s="19" t="inlineStr">
        <is>
          <t>Africa</t>
        </is>
      </c>
      <c r="D25" s="19" t="inlineStr">
        <is>
          <t>ECOWAS</t>
        </is>
      </c>
      <c r="E25" s="19" t="inlineStr">
        <is>
          <t>In force (Law L/2016/037/AN on Personal Data Protection)</t>
        </is>
      </c>
      <c r="F25" s="20" t="inlineStr">
        <is>
          <t>https://unctad.org/page/data-protection-and-privacy-legislation-worldwide</t>
        </is>
      </c>
      <c r="G25" s="19" t="inlineStr">
        <is>
          <t>Weak (authority exists, limited independence)</t>
        </is>
      </c>
      <c r="H25" s="20" t="inlineStr">
        <is>
          <t>https://unctad.org/page/data-protection-and-privacy-legislation-worldwide</t>
        </is>
      </c>
      <c r="I25" s="19" t="inlineStr">
        <is>
          <t>Partial (general child protections)</t>
        </is>
      </c>
      <c r="J25" s="20" t="inlineStr">
        <is>
          <t>https://unctad.org/page/data-protection-and-privacy-legislation-worldwide; https://www.unicef.org/guinea/</t>
        </is>
      </c>
      <c r="K25" s="19" t="inlineStr">
        <is>
          <t>No</t>
        </is>
      </c>
      <c r="L25" s="20" t="inlineStr">
        <is>
          <t>https://www.unicef.org/guinea/</t>
        </is>
      </c>
      <c r="M25" s="19" t="inlineStr">
        <is>
          <t>No</t>
        </is>
      </c>
      <c r="N25" s="20" t="inlineStr">
        <is>
          <t>https://unctad.org/page/data-protection-and-privacy-legislation-worldwide</t>
        </is>
      </c>
      <c r="O25" s="19" t="inlineStr">
        <is>
          <t>Criminalised</t>
        </is>
      </c>
      <c r="P25" s="20" t="inlineStr">
        <is>
          <t>https://www.humandignitytrust.org/country-profile/guinea/; https://ilga.org/ilga-world-maps/</t>
        </is>
      </c>
      <c r="Q25" s="19" t="inlineStr">
        <is>
          <t>Yes</t>
        </is>
      </c>
      <c r="R25" s="20" t="inlineStr">
        <is>
          <t>https://ilga.org/ilga-world-maps/</t>
        </is>
      </c>
      <c r="S25" s="19" t="inlineStr">
        <is>
          <t>None</t>
        </is>
      </c>
      <c r="T25" s="20" t="inlineStr">
        <is>
          <t>https://en.unesco.org/artificial-intelligence/observatory/policies?country=GN; https://www.unesco.org/ethics-ai/en/global-hub</t>
        </is>
      </c>
      <c r="U25" s="19" t="inlineStr">
        <is>
          <t>No</t>
        </is>
      </c>
      <c r="V25" s="20" t="inlineStr">
        <is>
          <t>https://unctad.org/page/data-protection-and-privacy-legislation-worldwide</t>
        </is>
      </c>
      <c r="W25" s="19" t="inlineStr">
        <is>
          <t>Yes (biometric SIM registration required)</t>
        </is>
      </c>
      <c r="X25" s="20" t="inlineStr">
        <is>
          <t>https://www.gsma.com/solutions-and-impact/connectivity-for-good/public-policy/mobile-policy-handbook/consumer-protection/mandatory-registration-of-prepaid-sims/; https://privacyinternational.org/learn/sim-card-registration</t>
        </is>
      </c>
      <c r="Y25" t="n">
        <v>2</v>
      </c>
      <c r="Z25" t="n">
        <v>2</v>
      </c>
      <c r="AA25" t="n">
        <v>2</v>
      </c>
      <c r="AB25" t="n">
        <v>1</v>
      </c>
      <c r="AC25" t="n">
        <v>2</v>
      </c>
      <c r="AD25" t="n">
        <v>1</v>
      </c>
      <c r="AE25" t="n">
        <v>2</v>
      </c>
      <c r="AF25" t="n">
        <v>1</v>
      </c>
      <c r="AG25" t="n">
        <v>1</v>
      </c>
      <c r="AH25" t="n">
        <v>2</v>
      </c>
      <c r="AI25">
        <f>SUM(Y25:AH25)</f>
        <v/>
      </c>
      <c r="AJ25">
        <f>100-(AI25*(AI25/20))</f>
        <v/>
      </c>
      <c r="AK25" s="24">
        <f>MAX(AJ19:AJ31)-(AJ25*(AJ25/MAX(AJ19:AJ31)))</f>
        <v/>
      </c>
      <c r="AL25" s="19" t="n">
        <v>72</v>
      </c>
    </row>
    <row r="26">
      <c r="A26" s="19" t="n">
        <v>73</v>
      </c>
      <c r="B26" s="19" t="inlineStr">
        <is>
          <t>Guinea-Bissau</t>
        </is>
      </c>
      <c r="C26" s="19" t="inlineStr">
        <is>
          <t>Africa</t>
        </is>
      </c>
      <c r="D26" s="19" t="inlineStr">
        <is>
          <t>ECOWAS</t>
        </is>
      </c>
      <c r="E26" s="19" t="inlineStr">
        <is>
          <t>None</t>
        </is>
      </c>
      <c r="F26" s="20" t="inlineStr">
        <is>
          <t>https://unctad.org/page/data-protection-and-privacy-legislation-worldwide</t>
        </is>
      </c>
      <c r="G26" s="19" t="inlineStr">
        <is>
          <t>None</t>
        </is>
      </c>
      <c r="H26" s="20" t="inlineStr">
        <is>
          <t>https://unctad.org/page/data-protection-and-privacy-legislation-worldwide</t>
        </is>
      </c>
      <c r="I26" s="19" t="inlineStr">
        <is>
          <t>No</t>
        </is>
      </c>
      <c r="J26" s="20" t="inlineStr">
        <is>
          <t>https://www.unicef.org/guinea-bissau/</t>
        </is>
      </c>
      <c r="K26" s="19" t="inlineStr">
        <is>
          <t>No</t>
        </is>
      </c>
      <c r="L26" s="20" t="inlineStr">
        <is>
          <t>https://www.unicef.org/guinea-bissau/</t>
        </is>
      </c>
      <c r="M26" s="19" t="inlineStr">
        <is>
          <t>No</t>
        </is>
      </c>
      <c r="N26" s="20" t="inlineStr">
        <is>
          <t>https://unctad.org/page/data-protection-and-privacy-legislation-worldwide</t>
        </is>
      </c>
      <c r="O26" s="19" t="inlineStr">
        <is>
          <t>Criminalised</t>
        </is>
      </c>
      <c r="P26" s="20" t="inlineStr">
        <is>
          <t>https://www.humandignitytrust.org/country-profile/guinea-bissau/; https://ilga.org/ilga-world-maps/</t>
        </is>
      </c>
      <c r="Q26" s="19" t="inlineStr">
        <is>
          <t>Yes</t>
        </is>
      </c>
      <c r="R26" s="20" t="inlineStr">
        <is>
          <t>https://ilga.org/ilga-world-maps/</t>
        </is>
      </c>
      <c r="S26" s="19" t="inlineStr">
        <is>
          <t>None</t>
        </is>
      </c>
      <c r="T26" s="20" t="inlineStr">
        <is>
          <t>https://en.unesco.org/artificial-intelligence/observatory/policies?country=GW; https://www.unesco.org/ethics-ai/en/global-hub</t>
        </is>
      </c>
      <c r="U26" s="19" t="inlineStr">
        <is>
          <t>No</t>
        </is>
      </c>
      <c r="V26" s="20" t="inlineStr">
        <is>
          <t>https://unctad.org/page/data-protection-and-privacy-legislation-worldwide</t>
        </is>
      </c>
      <c r="W26" s="19" t="inlineStr">
        <is>
          <t>Yes (mandatory SIM registration with ID)</t>
        </is>
      </c>
      <c r="X26" s="20" t="inlineStr">
        <is>
          <t>https://www.gsma.com/solutions-and-impact/connectivity-for-good/public-policy/mobile-policy-handbook/consumer-protection/mandatory-registration-of-prepaid-sims/</t>
        </is>
      </c>
      <c r="Y26" t="n">
        <v>2</v>
      </c>
      <c r="Z26" t="n">
        <v>2</v>
      </c>
      <c r="AA26" t="n">
        <v>2</v>
      </c>
      <c r="AB26" t="n">
        <v>1</v>
      </c>
      <c r="AC26" t="n">
        <v>2</v>
      </c>
      <c r="AD26" t="n">
        <v>1</v>
      </c>
      <c r="AE26" t="n">
        <v>2</v>
      </c>
      <c r="AF26" t="n">
        <v>1</v>
      </c>
      <c r="AG26" t="n">
        <v>1</v>
      </c>
      <c r="AH26" t="n">
        <v>2</v>
      </c>
      <c r="AI26">
        <f>SUM(Y26:AH26)</f>
        <v/>
      </c>
      <c r="AJ26">
        <f>100-(AI26*(AI26/20))</f>
        <v/>
      </c>
      <c r="AK26" s="24">
        <f>MAX(AJ19:AJ31)-(AJ26*(AJ26/MAX(AJ19:AJ31)))</f>
        <v/>
      </c>
      <c r="AL26" s="19" t="n">
        <v>73</v>
      </c>
    </row>
    <row r="27">
      <c r="A27" s="19" t="n">
        <v>98</v>
      </c>
      <c r="B27" s="19" t="inlineStr">
        <is>
          <t>Liberia</t>
        </is>
      </c>
      <c r="C27" s="19" t="inlineStr">
        <is>
          <t>Africa</t>
        </is>
      </c>
      <c r="D27" s="19" t="inlineStr">
        <is>
          <t>ECOWAS</t>
        </is>
      </c>
      <c r="E27" s="19" t="inlineStr">
        <is>
          <t>None</t>
        </is>
      </c>
      <c r="F27" s="20" t="inlineStr">
        <is>
          <t>https://unctad.org/page/data-protection-and-privacy-legislation-worldwide</t>
        </is>
      </c>
      <c r="G27" s="19" t="inlineStr">
        <is>
          <t>None</t>
        </is>
      </c>
      <c r="H27" s="20" t="inlineStr">
        <is>
          <t>https://unctad.org/page/data-protection-and-privacy-legislation-worldwide</t>
        </is>
      </c>
      <c r="I27" s="19" t="inlineStr">
        <is>
          <t>No</t>
        </is>
      </c>
      <c r="J27" s="20" t="inlineStr">
        <is>
          <t>https://www.unicef.org/liberia/</t>
        </is>
      </c>
      <c r="K27" s="19" t="inlineStr">
        <is>
          <t>No</t>
        </is>
      </c>
      <c r="L27" s="20" t="inlineStr">
        <is>
          <t>https://www.unicef.org/liberia/</t>
        </is>
      </c>
      <c r="M27" s="19" t="inlineStr">
        <is>
          <t>No</t>
        </is>
      </c>
      <c r="N27" s="20" t="inlineStr">
        <is>
          <t>https://unctad.org/page/data-protection-and-privacy-legislation-worldwide</t>
        </is>
      </c>
      <c r="O27" s="19" t="inlineStr">
        <is>
          <t>Criminalised (Penal Code Article 14.74)</t>
        </is>
      </c>
      <c r="P27" s="20" t="inlineStr">
        <is>
          <t>https://www.humandignitytrust.org/country-profile/liberia/; https://ilga.org/ilga-world-maps/</t>
        </is>
      </c>
      <c r="Q27" s="19" t="inlineStr">
        <is>
          <t>Yes</t>
        </is>
      </c>
      <c r="R27" s="20" t="inlineStr">
        <is>
          <t>https://ilga.org/ilga-world-maps/</t>
        </is>
      </c>
      <c r="S27" s="19" t="inlineStr">
        <is>
          <t>None</t>
        </is>
      </c>
      <c r="T27" s="20" t="inlineStr">
        <is>
          <t>https://en.unesco.org/artificial-intelligence/observatory/policies?country=LR; https://www.unesco.org/ethics-ai/en/global-hub</t>
        </is>
      </c>
      <c r="U27" s="19" t="inlineStr">
        <is>
          <t>No</t>
        </is>
      </c>
      <c r="V27" s="20" t="inlineStr">
        <is>
          <t>https://unctad.org/page/data-protection-and-privacy-legislation-worldwide</t>
        </is>
      </c>
      <c r="W27" s="19" t="inlineStr">
        <is>
          <t>Yes (mandatory SIM ID registration)</t>
        </is>
      </c>
      <c r="X27" s="20" t="inlineStr">
        <is>
          <t>https://www.gsma.com/solutions-and-impact/connectivity-for-good/public-policy/mobile-policy-handbook/consumer-protection/mandatory-registration-of-prepaid-sims/</t>
        </is>
      </c>
      <c r="Y27" t="n">
        <v>2</v>
      </c>
      <c r="Z27" t="n">
        <v>2</v>
      </c>
      <c r="AA27" t="n">
        <v>2</v>
      </c>
      <c r="AB27" t="n">
        <v>1</v>
      </c>
      <c r="AC27" t="n">
        <v>2</v>
      </c>
      <c r="AD27" t="n">
        <v>1</v>
      </c>
      <c r="AE27" t="n">
        <v>2</v>
      </c>
      <c r="AF27" t="n">
        <v>1</v>
      </c>
      <c r="AG27" t="n">
        <v>1</v>
      </c>
      <c r="AH27" t="n">
        <v>2</v>
      </c>
      <c r="AI27">
        <f>SUM(Y27:AH27)</f>
        <v/>
      </c>
      <c r="AJ27">
        <f>100-(AI27*(AI27/20))</f>
        <v/>
      </c>
      <c r="AK27" s="24">
        <f>MAX(AJ19:AJ31)-(AJ27*(AJ27/MAX(AJ19:AJ31)))</f>
        <v/>
      </c>
      <c r="AL27" s="19" t="n">
        <v>98</v>
      </c>
    </row>
    <row r="28">
      <c r="A28" t="n">
        <v>107</v>
      </c>
      <c r="B28" t="inlineStr">
        <is>
          <t>Mali</t>
        </is>
      </c>
      <c r="C28" t="inlineStr">
        <is>
          <t>Africa</t>
        </is>
      </c>
      <c r="D28" t="inlineStr">
        <is>
          <t>ECOWAS</t>
        </is>
      </c>
      <c r="E28" t="inlineStr">
        <is>
          <t>In force (Law No. 2013-015 on Personal Data Protection)</t>
        </is>
      </c>
      <c r="F28" s="50" t="inlineStr">
        <is>
          <t>https://unctad.org/page/data-protection-and-privacy-legislation-worldwide</t>
        </is>
      </c>
      <c r="G28" t="inlineStr">
        <is>
          <t>Moderate (Malian DPA established)</t>
        </is>
      </c>
      <c r="H28" s="50" t="inlineStr">
        <is>
          <t>https://unctad.org/page/data-protection-and-privacy-legislation-worldwide</t>
        </is>
      </c>
      <c r="I28" t="inlineStr">
        <is>
          <t>No</t>
        </is>
      </c>
      <c r="J28" s="50" t="inlineStr">
        <is>
          <t>https://www.unicef.org/mali/</t>
        </is>
      </c>
      <c r="K28" t="inlineStr">
        <is>
          <t>No</t>
        </is>
      </c>
      <c r="L28" s="50" t="inlineStr">
        <is>
          <t>https://www.unicef.org/mali/</t>
        </is>
      </c>
      <c r="M28" t="inlineStr">
        <is>
          <t>No</t>
        </is>
      </c>
      <c r="N28" s="50" t="inlineStr">
        <is>
          <t>https://unctad.org/page/data-protection-and-privacy-legislation-worldwide</t>
        </is>
      </c>
      <c r="O28" t="inlineStr">
        <is>
          <t>Criminalised (Penal Code provisions)</t>
        </is>
      </c>
      <c r="P28" s="50" t="inlineStr">
        <is>
          <t>https://www.humandignitytrust.org/country-profile/mali/; https://ilga.org/ilga-world-maps/</t>
        </is>
      </c>
      <c r="Q28" t="inlineStr">
        <is>
          <t>Yes</t>
        </is>
      </c>
      <c r="R28" s="50" t="inlineStr">
        <is>
          <t>https://ilga.org/ilga-world-maps/</t>
        </is>
      </c>
      <c r="S28" t="inlineStr">
        <is>
          <t>None</t>
        </is>
      </c>
      <c r="T28" s="50" t="inlineStr">
        <is>
          <t>https://en.unesco.org/artificial-intelligence/observatory/policies?country=ML; https://www.unesco.org/ethics-ai/en/global-hub</t>
        </is>
      </c>
      <c r="U28" t="inlineStr">
        <is>
          <t>No</t>
        </is>
      </c>
      <c r="V28" s="50" t="inlineStr">
        <is>
          <t>https://unctad.org/page/data-protection-and-privacy-legislation-worldwide</t>
        </is>
      </c>
      <c r="W28" t="inlineStr">
        <is>
          <t>Yes (biometric SIM registration mandatory)</t>
        </is>
      </c>
      <c r="X28" s="50" t="inlineStr">
        <is>
          <t>https://www.gsma.com/solutions-and-impact/connectivity-for-good/public-policy/mobile-policy-handbook/consumer-protection/mandatory-registration-of-prepaid-sims/; https://privacyinternational.org/learn/sim-card-registration</t>
        </is>
      </c>
      <c r="AI28">
        <f>SUM(Y28:AH28)</f>
        <v/>
      </c>
      <c r="AJ28">
        <f>100-(AI28*(AI28/20))</f>
        <v/>
      </c>
      <c r="AK28" s="24">
        <f>100-(AJ28*(AJ28/MAX(AJ13:AJ28)))</f>
        <v/>
      </c>
      <c r="AL28" t="n">
        <v>107</v>
      </c>
    </row>
    <row r="29">
      <c r="A29" t="n">
        <v>126</v>
      </c>
      <c r="B29" t="inlineStr">
        <is>
          <t>Niger</t>
        </is>
      </c>
      <c r="C29" t="inlineStr">
        <is>
          <t>Africa</t>
        </is>
      </c>
      <c r="D29" t="inlineStr">
        <is>
          <t>ECOWAS</t>
        </is>
      </c>
      <c r="E29" t="inlineStr">
        <is>
          <t>Draft — no comprehensive law</t>
        </is>
      </c>
      <c r="F29" s="50" t="inlineStr">
        <is>
          <t>https://unctad.org/page/data-protection-and-privacy-legislation-worldwide</t>
        </is>
      </c>
      <c r="G29" t="inlineStr">
        <is>
          <t>None</t>
        </is>
      </c>
      <c r="H29" s="50" t="inlineStr">
        <is>
          <t>https://unctad.org/page/data-protection-and-privacy-legislation-worldwide</t>
        </is>
      </c>
      <c r="I29" t="inlineStr">
        <is>
          <t>No</t>
        </is>
      </c>
      <c r="J29" s="50" t="inlineStr">
        <is>
          <t>https://www.unicef.org/niger/</t>
        </is>
      </c>
      <c r="K29" t="inlineStr">
        <is>
          <t>No</t>
        </is>
      </c>
      <c r="L29" s="50" t="inlineStr">
        <is>
          <t>https://www.unicef.org/niger/</t>
        </is>
      </c>
      <c r="M29" t="inlineStr">
        <is>
          <t>No</t>
        </is>
      </c>
      <c r="N29" s="50" t="inlineStr">
        <is>
          <t>https://unctad.org/page/data-protection-and-privacy-legislation-worldwide</t>
        </is>
      </c>
      <c r="O29" t="inlineStr">
        <is>
          <t>Criminalised (Penal Code Art. 282)</t>
        </is>
      </c>
      <c r="P29" s="50" t="inlineStr">
        <is>
          <t>https://www.humandignitytrust.org/country-profile/niger/; https://ilga.org/ilga-world-maps/</t>
        </is>
      </c>
      <c r="Q29" t="inlineStr">
        <is>
          <t>Yes</t>
        </is>
      </c>
      <c r="R29" s="50" t="inlineStr">
        <is>
          <t>https://ilga.org/ilga-world-maps/</t>
        </is>
      </c>
      <c r="S29" t="inlineStr">
        <is>
          <t>None</t>
        </is>
      </c>
      <c r="T29" s="50" t="inlineStr">
        <is>
          <t>https://en.unesco.org/artificial-intelligence/observatory/policies?country=NE; https://www.unesco.org/ethics-ai/en/global-hub</t>
        </is>
      </c>
      <c r="U29" t="inlineStr">
        <is>
          <t>No</t>
        </is>
      </c>
      <c r="V29" s="50" t="inlineStr">
        <is>
          <t>https://unctad.org/page/data-protection-and-privacy-legislation-worldwide</t>
        </is>
      </c>
      <c r="W29" t="inlineStr">
        <is>
          <t>Yes — biometric SIM registration mandatory</t>
        </is>
      </c>
      <c r="X29" s="50" t="inlineStr">
        <is>
          <t>https://www.gsma.com/solutions-and-impact/connectivity-for-good/public-policy/mobile-policy-handbook/consumer-protection/mandatory-registration-of-prepaid-sims/; https://privacyinternational.org/learn/sim-card-registration</t>
        </is>
      </c>
      <c r="AI29">
        <f>SUM(Y29:AH29)</f>
        <v/>
      </c>
      <c r="AJ29">
        <f>100-(AI29*(AI29/20))</f>
        <v/>
      </c>
      <c r="AK29" s="24">
        <f>100-(AJ29*(AJ29/MAX(AJ14:AJ29)))</f>
        <v/>
      </c>
      <c r="AL29" t="n">
        <v>126</v>
      </c>
    </row>
    <row r="30">
      <c r="A30" s="19" t="n">
        <v>127</v>
      </c>
      <c r="B30" s="19" t="inlineStr">
        <is>
          <t>Nigeria</t>
        </is>
      </c>
      <c r="C30" s="19" t="inlineStr">
        <is>
          <t>Africa</t>
        </is>
      </c>
      <c r="D30" s="19" t="inlineStr">
        <is>
          <t>ECOWAS</t>
        </is>
      </c>
      <c r="E30" s="19" t="inlineStr">
        <is>
          <t>In force — Nigeria Data Protection Act (2023)</t>
        </is>
      </c>
      <c r="F30" s="20" t="inlineStr">
        <is>
          <t>https://unctad.org/page/data-protection-and-privacy-legislation-worldwide</t>
        </is>
      </c>
      <c r="G30" s="19" t="inlineStr">
        <is>
          <t>Moderate — NDPB (2022) under Ministry</t>
        </is>
      </c>
      <c r="H30" s="20" t="inlineStr">
        <is>
          <t>https://unctad.org/page/data-protection-and-privacy-legislation-worldwide</t>
        </is>
      </c>
      <c r="I30" s="19" t="inlineStr">
        <is>
          <t>Partial</t>
        </is>
      </c>
      <c r="J30" s="20" t="inlineStr">
        <is>
          <t>https://unctad.org/page/data-protection-and-privacy-legislation-worldwide; https://www.unicef.org/nigeria/</t>
        </is>
      </c>
      <c r="K30" s="19" t="inlineStr">
        <is>
          <t>No</t>
        </is>
      </c>
      <c r="L30" s="20" t="inlineStr">
        <is>
          <t>https://www.unicef.org/nigeria/</t>
        </is>
      </c>
      <c r="M30" s="19" t="inlineStr">
        <is>
          <t>No</t>
        </is>
      </c>
      <c r="N30" s="20" t="inlineStr">
        <is>
          <t>https://unctad.org/page/data-protection-and-privacy-legislation-worldwide</t>
        </is>
      </c>
      <c r="O30" s="19" t="inlineStr">
        <is>
          <t>Criminalised — Same-Sex Marriage (Prohibition) Act (2014)</t>
        </is>
      </c>
      <c r="P30" s="20" t="inlineStr">
        <is>
          <t>https://www.humandignitytrust.org/country-profile/nigeria/; https://ilga.org/ilga-world-maps/</t>
        </is>
      </c>
      <c r="Q30" s="19" t="inlineStr">
        <is>
          <t>Yes</t>
        </is>
      </c>
      <c r="R30" s="20" t="inlineStr">
        <is>
          <t>https://ilga.org/ilga-world-maps/</t>
        </is>
      </c>
      <c r="S30" s="19" t="inlineStr">
        <is>
          <t>Draft/Early — National AI Strategy in development (2023)</t>
        </is>
      </c>
      <c r="T30" s="20" t="inlineStr">
        <is>
          <t>https://en.unesco.org/artificial-intelligence/observatory/policies?country=NG; https://www.unesco.org/ethics-ai/en/global-hub</t>
        </is>
      </c>
      <c r="U30" s="19" t="inlineStr">
        <is>
          <t>No</t>
        </is>
      </c>
      <c r="V30" s="20" t="inlineStr">
        <is>
          <t>https://unctad.org/page/data-protection-and-privacy-legislation-worldwide</t>
        </is>
      </c>
      <c r="W30" s="19" t="inlineStr">
        <is>
          <t>Yes — SIM-NIN biometric linkage mandatory</t>
        </is>
      </c>
      <c r="X30" s="20" t="inlineStr">
        <is>
          <t>https://www.gsma.com/solutions-and-impact/connectivity-for-good/public-policy/mobile-policy-handbook/consumer-protection/mandatory-registration-of-prepaid-sims/; https://privacyinternational.org/learn/sim-card-registration</t>
        </is>
      </c>
      <c r="Y30" t="n">
        <v>2</v>
      </c>
      <c r="Z30" t="n">
        <v>2</v>
      </c>
      <c r="AA30" t="n">
        <v>2</v>
      </c>
      <c r="AB30" t="n">
        <v>1</v>
      </c>
      <c r="AC30" t="n">
        <v>2</v>
      </c>
      <c r="AD30" t="n">
        <v>1</v>
      </c>
      <c r="AE30" t="n">
        <v>2</v>
      </c>
      <c r="AF30" t="n">
        <v>1</v>
      </c>
      <c r="AG30" t="n">
        <v>1</v>
      </c>
      <c r="AH30" t="n">
        <v>2</v>
      </c>
      <c r="AI30">
        <f>SUM(Y30:AH30)</f>
        <v/>
      </c>
      <c r="AJ30">
        <f>100-(AI30*(AI30/20))</f>
        <v/>
      </c>
      <c r="AK30" s="24">
        <f>MAX(AJ21:AJ33)-(AJ30*(AJ30/MAX(AJ21:AJ33)))</f>
        <v/>
      </c>
      <c r="AL30" s="19" t="n">
        <v>127</v>
      </c>
    </row>
    <row r="31">
      <c r="A31" s="19" t="n">
        <v>153</v>
      </c>
      <c r="B31" s="19" t="inlineStr">
        <is>
          <t>Senegal</t>
        </is>
      </c>
      <c r="C31" s="19" t="inlineStr">
        <is>
          <t>Africa</t>
        </is>
      </c>
      <c r="D31" s="19" t="inlineStr">
        <is>
          <t>ECOWAS</t>
        </is>
      </c>
      <c r="E31" s="19" t="inlineStr">
        <is>
          <t>In force — Law 2008-12 on Personal Data Protection</t>
        </is>
      </c>
      <c r="F31" s="20" t="inlineStr">
        <is>
          <t>https://unctad.org/page/data-protection-and-privacy-legislation-worldwide</t>
        </is>
      </c>
      <c r="G31" s="19" t="inlineStr">
        <is>
          <t>Moderate — CDP</t>
        </is>
      </c>
      <c r="H31" s="20" t="inlineStr">
        <is>
          <t>https://unctad.org/page/data-protection-and-privacy-legislation-worldwide</t>
        </is>
      </c>
      <c r="I31" s="19" t="inlineStr">
        <is>
          <t>Partial</t>
        </is>
      </c>
      <c r="J31" s="20" t="inlineStr">
        <is>
          <t>https://unctad.org/page/data-protection-and-privacy-legislation-worldwide; https://www.unicef.org/senegal/</t>
        </is>
      </c>
      <c r="K31" s="19" t="inlineStr">
        <is>
          <t>Partial</t>
        </is>
      </c>
      <c r="L31" s="20" t="inlineStr">
        <is>
          <t>https://www.unicef.org/senegal/</t>
        </is>
      </c>
      <c r="M31" s="19" t="inlineStr">
        <is>
          <t>No</t>
        </is>
      </c>
      <c r="N31" s="20" t="inlineStr">
        <is>
          <t>https://unctad.org/page/data-protection-and-privacy-legislation-worldwide</t>
        </is>
      </c>
      <c r="O31" s="19" t="inlineStr">
        <is>
          <t>Criminalised — Penal Code Art. 319</t>
        </is>
      </c>
      <c r="P31" s="20" t="inlineStr">
        <is>
          <t>https://www.humandignitytrust.org/country-profile/senegal/; https://ilga.org/ilga-world-maps/</t>
        </is>
      </c>
      <c r="Q31" s="19" t="inlineStr">
        <is>
          <t>Yes</t>
        </is>
      </c>
      <c r="R31" s="20" t="inlineStr">
        <is>
          <t>https://ilga.org/ilga-world-maps/</t>
        </is>
      </c>
      <c r="S31" s="19" t="inlineStr">
        <is>
          <t>Draft/Early — AI included in Digital Senegal Strategy 2025</t>
        </is>
      </c>
      <c r="T31" s="20" t="inlineStr">
        <is>
          <t>https://en.unesco.org/artificial-intelligence/observatory/policies?country=SN; https://www.unesco.org/ethics-ai/en/global-hub</t>
        </is>
      </c>
      <c r="U31" s="19" t="inlineStr">
        <is>
          <t>No</t>
        </is>
      </c>
      <c r="V31" s="20" t="inlineStr">
        <is>
          <t>https://unctad.org/page/data-protection-and-privacy-legislation-worldwide</t>
        </is>
      </c>
      <c r="W31" s="19" t="inlineStr">
        <is>
          <t>Yes</t>
        </is>
      </c>
      <c r="X31" s="20" t="inlineStr">
        <is>
          <t>https://www.gsma.com/solutions-and-impact/connectivity-for-good/public-policy/mobile-policy-handbook/consumer-protection/mandatory-registration-of-prepaid-sims/</t>
        </is>
      </c>
      <c r="Y31" t="n">
        <v>2</v>
      </c>
      <c r="Z31" t="n">
        <v>2</v>
      </c>
      <c r="AA31" t="n">
        <v>2</v>
      </c>
      <c r="AB31" t="n">
        <v>1</v>
      </c>
      <c r="AC31" t="n">
        <v>2</v>
      </c>
      <c r="AD31" t="n">
        <v>1</v>
      </c>
      <c r="AE31" t="n">
        <v>2</v>
      </c>
      <c r="AF31" t="n">
        <v>1</v>
      </c>
      <c r="AG31" t="n">
        <v>1</v>
      </c>
      <c r="AH31" t="n">
        <v>2</v>
      </c>
      <c r="AI31">
        <f>SUM(Y31:AH31)</f>
        <v/>
      </c>
      <c r="AJ31">
        <f>100-(AI31*(AI31/20))</f>
        <v/>
      </c>
      <c r="AK31" s="24">
        <f>MAX(AJ21:AJ33)-(AJ31*(AJ31/MAX(AJ21:AJ33)))</f>
        <v/>
      </c>
      <c r="AL31" s="19" t="n">
        <v>153</v>
      </c>
    </row>
    <row r="32">
      <c r="A32" s="19" t="n">
        <v>156</v>
      </c>
      <c r="B32" s="19" t="inlineStr">
        <is>
          <t>Sierra Leone</t>
        </is>
      </c>
      <c r="C32" s="19" t="inlineStr">
        <is>
          <t>Africa</t>
        </is>
      </c>
      <c r="D32" s="19" t="inlineStr">
        <is>
          <t>ECOWAS</t>
        </is>
      </c>
      <c r="E32" s="19" t="inlineStr">
        <is>
          <t>In force — Data Protection Act 2023</t>
        </is>
      </c>
      <c r="F32" s="20" t="inlineStr">
        <is>
          <t>https://unctad.org/page/data-protection-and-privacy-legislation-worldwide</t>
        </is>
      </c>
      <c r="G32" s="19" t="inlineStr">
        <is>
          <t>Moderate — Data Protection Commission (new)</t>
        </is>
      </c>
      <c r="H32" s="20" t="inlineStr">
        <is>
          <t>https://unctad.org/page/data-protection-and-privacy-legislation-worldwide</t>
        </is>
      </c>
      <c r="I32" s="19" t="inlineStr">
        <is>
          <t>Partial — provisions under Child Rights Act</t>
        </is>
      </c>
      <c r="J32" s="20" t="inlineStr">
        <is>
          <t>https://unctad.org/page/data-protection-and-privacy-legislation-worldwide; https://www.unicef.org/sierra-leone/</t>
        </is>
      </c>
      <c r="K32" s="19" t="inlineStr">
        <is>
          <t>No</t>
        </is>
      </c>
      <c r="L32" s="20" t="inlineStr">
        <is>
          <t>https://www.unicef.org/sierra-leone/</t>
        </is>
      </c>
      <c r="M32" s="19" t="inlineStr">
        <is>
          <t>No</t>
        </is>
      </c>
      <c r="N32" s="20" t="inlineStr">
        <is>
          <t>https://unctad.org/page/data-protection-and-privacy-legislation-worldwide</t>
        </is>
      </c>
      <c r="O32" s="19" t="inlineStr">
        <is>
          <t>Criminalised — colonial-era sodomy laws remain</t>
        </is>
      </c>
      <c r="P32" s="20" t="inlineStr">
        <is>
          <t>https://www.humandignitytrust.org/country-profile/sierra-leone/; https://ilga.org/ilga-world-maps/</t>
        </is>
      </c>
      <c r="Q32" s="19" t="inlineStr">
        <is>
          <t>Yes</t>
        </is>
      </c>
      <c r="R32" s="20" t="inlineStr">
        <is>
          <t>https://ilga.org/ilga-world-maps/</t>
        </is>
      </c>
      <c r="S32" s="19" t="inlineStr">
        <is>
          <t>None</t>
        </is>
      </c>
      <c r="T32" s="20" t="inlineStr">
        <is>
          <t>https://en.unesco.org/artificial-intelligence/observatory/policies?country=SL; https://www.unesco.org/ethics-ai/en/global-hub</t>
        </is>
      </c>
      <c r="U32" s="19" t="inlineStr">
        <is>
          <t>No</t>
        </is>
      </c>
      <c r="V32" s="20" t="inlineStr">
        <is>
          <t>https://unctad.org/page/data-protection-and-privacy-legislation-worldwide</t>
        </is>
      </c>
      <c r="W32" s="19" t="inlineStr">
        <is>
          <t>Yes</t>
        </is>
      </c>
      <c r="X32" s="20" t="inlineStr">
        <is>
          <t>https://www.gsma.com/solutions-and-impact/connectivity-for-good/public-policy/mobile-policy-handbook/consumer-protection/mandatory-registration-of-prepaid-sims/</t>
        </is>
      </c>
      <c r="Y32" t="n">
        <v>2</v>
      </c>
      <c r="Z32" t="n">
        <v>2</v>
      </c>
      <c r="AA32" t="n">
        <v>2</v>
      </c>
      <c r="AB32" t="n">
        <v>1</v>
      </c>
      <c r="AC32" t="n">
        <v>2</v>
      </c>
      <c r="AD32" t="n">
        <v>1</v>
      </c>
      <c r="AE32" t="n">
        <v>2</v>
      </c>
      <c r="AF32" t="n">
        <v>1</v>
      </c>
      <c r="AG32" t="n">
        <v>1</v>
      </c>
      <c r="AH32" t="n">
        <v>2</v>
      </c>
      <c r="AI32">
        <f>SUM(Y32:AH32)</f>
        <v/>
      </c>
      <c r="AJ32">
        <f>100-(AI32*(AI32/20))</f>
        <v/>
      </c>
      <c r="AK32" s="24">
        <f>MAX(AJ21:AJ33)-(AJ32*(AJ32/MAX(AJ21:AJ33)))</f>
        <v/>
      </c>
      <c r="AL32" s="19" t="n">
        <v>156</v>
      </c>
    </row>
    <row r="33">
      <c r="A33" s="19" t="n">
        <v>176</v>
      </c>
      <c r="B33" s="19" t="inlineStr">
        <is>
          <t>Togo</t>
        </is>
      </c>
      <c r="C33" s="19" t="inlineStr">
        <is>
          <t>Africa</t>
        </is>
      </c>
      <c r="D33" s="19" t="inlineStr">
        <is>
          <t>ECOWAS</t>
        </is>
      </c>
      <c r="E33" s="19" t="inlineStr">
        <is>
          <t>In force — Law No. 2019-014 on Personal Data Protection</t>
        </is>
      </c>
      <c r="F33" s="20" t="inlineStr">
        <is>
          <t>https://unctad.org/page/data-protection-and-privacy-legislation-worldwide</t>
        </is>
      </c>
      <c r="G33" s="19" t="inlineStr">
        <is>
          <t>Moderate — Autorité de Protection des Données Personnelles (APDP)</t>
        </is>
      </c>
      <c r="H33" s="20" t="inlineStr">
        <is>
          <t>https://unctad.org/page/data-protection-and-privacy-legislation-worldwide</t>
        </is>
      </c>
      <c r="I33" s="19" t="inlineStr">
        <is>
          <t>Partial</t>
        </is>
      </c>
      <c r="J33" s="20" t="inlineStr">
        <is>
          <t>https://unctad.org/page/data-protection-and-privacy-legislation-worldwide; https://www.unicef.org/togo/</t>
        </is>
      </c>
      <c r="K33" s="19" t="inlineStr">
        <is>
          <t>No</t>
        </is>
      </c>
      <c r="L33" s="20" t="inlineStr">
        <is>
          <t>https://www.unicef.org/togo/</t>
        </is>
      </c>
      <c r="M33" s="19" t="inlineStr">
        <is>
          <t>No</t>
        </is>
      </c>
      <c r="N33" s="20" t="inlineStr">
        <is>
          <t>https://unctad.org/page/data-protection-and-privacy-legislation-worldwide</t>
        </is>
      </c>
      <c r="O33" s="19" t="inlineStr">
        <is>
          <t>Criminalised — Penal Code 1980, Sec. 88</t>
        </is>
      </c>
      <c r="P33" s="20" t="inlineStr">
        <is>
          <t>https://www.humandignitytrust.org/country-profile/togo/; https://ilga.org/ilga-world-maps/</t>
        </is>
      </c>
      <c r="Q33" s="19" t="inlineStr">
        <is>
          <t>Yes</t>
        </is>
      </c>
      <c r="R33" s="20" t="inlineStr">
        <is>
          <t>https://ilga.org/ilga-world-maps/</t>
        </is>
      </c>
      <c r="S33" s="19" t="inlineStr">
        <is>
          <t>None</t>
        </is>
      </c>
      <c r="T33" s="20" t="inlineStr">
        <is>
          <t>https://en.unesco.org/artificial-intelligence/observatory/policies?country=TG; https://www.unesco.org/ethics-ai/en/global-hub</t>
        </is>
      </c>
      <c r="U33" s="19" t="inlineStr">
        <is>
          <t>No</t>
        </is>
      </c>
      <c r="V33" s="20" t="inlineStr">
        <is>
          <t>https://unctad.org/page/data-protection-and-privacy-legislation-worldwide</t>
        </is>
      </c>
      <c r="W33" s="19" t="inlineStr">
        <is>
          <t>Yes — SIMs linked to ID</t>
        </is>
      </c>
      <c r="X33" s="20" t="inlineStr">
        <is>
          <t>https://www.gsma.com/solutions-and-impact/connectivity-for-good/public-policy/mobile-policy-handbook/consumer-protection/mandatory-registration-of-prepaid-sims/</t>
        </is>
      </c>
      <c r="Y33" t="n">
        <v>2</v>
      </c>
      <c r="Z33" t="n">
        <v>2</v>
      </c>
      <c r="AA33" t="n">
        <v>2</v>
      </c>
      <c r="AB33" t="n">
        <v>1</v>
      </c>
      <c r="AC33" t="n">
        <v>2</v>
      </c>
      <c r="AD33" t="n">
        <v>1</v>
      </c>
      <c r="AE33" t="n">
        <v>2</v>
      </c>
      <c r="AF33" t="n">
        <v>1</v>
      </c>
      <c r="AG33" t="n">
        <v>1</v>
      </c>
      <c r="AH33" t="n">
        <v>2</v>
      </c>
      <c r="AI33">
        <f>SUM(Y33:AH33)</f>
        <v/>
      </c>
      <c r="AJ33">
        <f>100-(AI33*(AI33/20))</f>
        <v/>
      </c>
      <c r="AK33" s="24">
        <f>MAX(AJ21:AJ33)-(AJ33*(AJ33/MAX(AJ21:AJ33)))</f>
        <v/>
      </c>
      <c r="AL33" s="19" t="n">
        <v>176</v>
      </c>
    </row>
    <row r="34">
      <c r="A34" t="n">
        <v>50</v>
      </c>
      <c r="B34" t="inlineStr">
        <is>
          <t>Djibouti</t>
        </is>
      </c>
      <c r="C34" t="inlineStr">
        <is>
          <t>Africa</t>
        </is>
      </c>
      <c r="D34" t="inlineStr">
        <is>
          <t>IGAD</t>
        </is>
      </c>
      <c r="E34" t="inlineStr">
        <is>
          <t>Draft (Law on Protection of Personal Data, not yet adopted)</t>
        </is>
      </c>
      <c r="F34" s="50" t="inlineStr">
        <is>
          <t>https://unctad.org/page/data-protection-and-privacy-legislation-worldwide</t>
        </is>
      </c>
      <c r="G34" t="inlineStr">
        <is>
          <t>Weak (no functioning authority)</t>
        </is>
      </c>
      <c r="H34" s="50" t="inlineStr">
        <is>
          <t>https://unctad.org/page/data-protection-and-privacy-legislation-worldwide</t>
        </is>
      </c>
      <c r="I34" t="inlineStr">
        <is>
          <t>No</t>
        </is>
      </c>
      <c r="J34" s="50" t="inlineStr">
        <is>
          <t>https://www.unicef.org/djibouti/</t>
        </is>
      </c>
      <c r="K34" t="inlineStr">
        <is>
          <t>No</t>
        </is>
      </c>
      <c r="L34" s="50" t="inlineStr">
        <is>
          <t>https://www.unicef.org/djibouti/</t>
        </is>
      </c>
      <c r="M34" t="inlineStr">
        <is>
          <t>No</t>
        </is>
      </c>
      <c r="N34" s="50" t="inlineStr">
        <is>
          <t>https://unctad.org/page/data-protection-and-privacy-legislation-worldwide</t>
        </is>
      </c>
      <c r="O34" t="inlineStr">
        <is>
          <t>Criminalised</t>
        </is>
      </c>
      <c r="P34" s="50" t="inlineStr">
        <is>
          <t>https://www.humandignitytrust.org/country-profile/djibouti/; https://ilga.org/ilga-world-maps/</t>
        </is>
      </c>
      <c r="Q34" t="inlineStr">
        <is>
          <t>Yes (morality/public decency restrictions)</t>
        </is>
      </c>
      <c r="R34" s="50" t="inlineStr">
        <is>
          <t>https://ilga.org/ilga-world-maps/</t>
        </is>
      </c>
      <c r="S34" t="inlineStr">
        <is>
          <t>None (no AI strategy)</t>
        </is>
      </c>
      <c r="T34" s="50" t="inlineStr">
        <is>
          <t>https://en.unesco.org/artificial-intelligence/observatory/policies?country=DJ; https://www.unesco.org/ethics-ai/en/global-hub</t>
        </is>
      </c>
      <c r="U34" t="inlineStr">
        <is>
          <t>No</t>
        </is>
      </c>
      <c r="V34" s="50" t="inlineStr">
        <is>
          <t>https://unctad.org/page/data-protection-and-privacy-legislation-worldwide</t>
        </is>
      </c>
      <c r="W34" t="inlineStr">
        <is>
          <t>Yes (mandatory biometric SIM registration)</t>
        </is>
      </c>
      <c r="X34" s="50" t="inlineStr">
        <is>
          <t>https://www.gsma.com/solutions-and-impact/connectivity-for-good/public-policy/mobile-policy-handbook/consumer-protection/mandatory-registration-of-prepaid-sims/; https://privacyinternational.org/learn/sim-card-registration</t>
        </is>
      </c>
      <c r="AI34">
        <f>SUM(Y34:AH34)</f>
        <v/>
      </c>
      <c r="AJ34">
        <f>100-(AI34*(AI34/20))</f>
        <v/>
      </c>
      <c r="AK34" s="24">
        <f>100-(AJ34*(AJ34/MAX(AJ19:AJ34)))</f>
        <v/>
      </c>
      <c r="AL34" t="n">
        <v>50</v>
      </c>
    </row>
    <row r="35">
      <c r="A35" t="n">
        <v>57</v>
      </c>
      <c r="B35" t="inlineStr">
        <is>
          <t>Eritrea</t>
        </is>
      </c>
      <c r="C35" t="inlineStr">
        <is>
          <t>Africa</t>
        </is>
      </c>
      <c r="D35" t="inlineStr">
        <is>
          <t>IGAD</t>
        </is>
      </c>
      <c r="E35" t="inlineStr">
        <is>
          <t>None</t>
        </is>
      </c>
      <c r="F35" s="50" t="inlineStr">
        <is>
          <t>https://unctad.org/page/data-protection-and-privacy-legislation-worldwide</t>
        </is>
      </c>
      <c r="G35" t="inlineStr">
        <is>
          <t>None</t>
        </is>
      </c>
      <c r="H35" s="50" t="inlineStr">
        <is>
          <t>https://unctad.org/page/data-protection-and-privacy-legislation-worldwide</t>
        </is>
      </c>
      <c r="I35" t="inlineStr">
        <is>
          <t>No</t>
        </is>
      </c>
      <c r="J35" s="50" t="inlineStr">
        <is>
          <t>https://www.unicef.org/eritrea/</t>
        </is>
      </c>
      <c r="K35" t="inlineStr">
        <is>
          <t>No</t>
        </is>
      </c>
      <c r="L35" s="50" t="inlineStr">
        <is>
          <t>https://www.unicef.org/eritrea/</t>
        </is>
      </c>
      <c r="M35" t="inlineStr">
        <is>
          <t>No</t>
        </is>
      </c>
      <c r="N35" s="50" t="inlineStr">
        <is>
          <t>https://unctad.org/page/data-protection-and-privacy-legislation-worldwide</t>
        </is>
      </c>
      <c r="O35" t="inlineStr">
        <is>
          <t>Criminalised</t>
        </is>
      </c>
      <c r="P35" s="50" t="inlineStr">
        <is>
          <t>https://www.humandignitytrust.org/country-profile/eritrea/; https://ilga.org/ilga-world-maps/</t>
        </is>
      </c>
      <c r="Q35" t="inlineStr">
        <is>
          <t>Yes (morality/public decency laws)</t>
        </is>
      </c>
      <c r="R35" s="50" t="inlineStr">
        <is>
          <t>https://ilga.org/ilga-world-maps/</t>
        </is>
      </c>
      <c r="S35" t="inlineStr">
        <is>
          <t>None (no AI strategy)</t>
        </is>
      </c>
      <c r="T35" s="50" t="inlineStr">
        <is>
          <t>https://en.unesco.org/artificial-intelligence/observatory/policies?country=ER; https://www.unesco.org/ethics-ai/en/global-hub</t>
        </is>
      </c>
      <c r="U35" t="inlineStr">
        <is>
          <t>No</t>
        </is>
      </c>
      <c r="V35" s="50" t="inlineStr">
        <is>
          <t>https://unctad.org/page/data-protection-and-privacy-legislation-worldwide</t>
        </is>
      </c>
      <c r="W35" t="inlineStr">
        <is>
          <t>Yes (SIMs linked to national ID; biometric registration reported)</t>
        </is>
      </c>
      <c r="X35" s="50" t="inlineStr">
        <is>
          <t>https://www.gsma.com/solutions-and-impact/connectivity-for-good/public-policy/mobile-policy-handbook/consumer-protection/mandatory-registration-of-prepaid-sims/; https://privacyinternational.org/learn/sim-card-registration</t>
        </is>
      </c>
      <c r="AI35">
        <f>SUM(Y35:AH35)</f>
        <v/>
      </c>
      <c r="AJ35">
        <f>100-(AI35*(AI35/20))</f>
        <v/>
      </c>
      <c r="AK35" s="24">
        <f>100-(AJ35*(AJ35/MAX(AJ20:AJ35)))</f>
        <v/>
      </c>
      <c r="AL35" t="n">
        <v>57</v>
      </c>
    </row>
    <row r="36">
      <c r="A36" t="n">
        <v>60</v>
      </c>
      <c r="B36" t="inlineStr">
        <is>
          <t>Ethiopia</t>
        </is>
      </c>
      <c r="C36" t="inlineStr">
        <is>
          <t>Africa</t>
        </is>
      </c>
      <c r="D36" t="inlineStr">
        <is>
          <t>IGAD</t>
        </is>
      </c>
      <c r="E36" t="inlineStr">
        <is>
          <t>Draft (bill circulated; not yet law)</t>
        </is>
      </c>
      <c r="F36" s="50" t="inlineStr">
        <is>
          <t>https://unctad.org/page/data-protection-and-privacy-legislation-worldwide</t>
        </is>
      </c>
      <c r="G36" t="inlineStr">
        <is>
          <t>None (draft proposes authority)</t>
        </is>
      </c>
      <c r="H36" s="50" t="inlineStr">
        <is>
          <t>https://unctad.org/page/data-protection-and-privacy-legislation-worldwide</t>
        </is>
      </c>
      <c r="I36" t="inlineStr">
        <is>
          <t>Partial (general protections; no COP law)</t>
        </is>
      </c>
      <c r="J36" s="50" t="inlineStr">
        <is>
          <t>https://unctad.org/page/data-protection-and-privacy-legislation-worldwide; https://www.unicef.org/ethiopia/</t>
        </is>
      </c>
      <c r="K36" t="inlineStr">
        <is>
          <t>No</t>
        </is>
      </c>
      <c r="L36" s="50" t="inlineStr">
        <is>
          <t>https://www.unicef.org/ethiopia/</t>
        </is>
      </c>
      <c r="M36" t="inlineStr">
        <is>
          <t>No</t>
        </is>
      </c>
      <c r="N36" s="50" t="inlineStr">
        <is>
          <t>https://unctad.org/page/data-protection-and-privacy-legislation-worldwide</t>
        </is>
      </c>
      <c r="O36" t="inlineStr">
        <is>
          <t>Criminalised</t>
        </is>
      </c>
      <c r="P36" s="50" t="inlineStr">
        <is>
          <t>https://www.humandignitytrust.org/country-profile/ethiopia/; https://ilga.org/ilga-world-maps/</t>
        </is>
      </c>
      <c r="Q36" t="inlineStr">
        <is>
          <t>Yes (morality laws)</t>
        </is>
      </c>
      <c r="R36" s="50" t="inlineStr">
        <is>
          <t>https://ilga.org/ilga-world-maps/</t>
        </is>
      </c>
      <c r="S36" t="inlineStr">
        <is>
          <t>Adopted (National AI Strategy, 2020)</t>
        </is>
      </c>
      <c r="T36" s="50" t="inlineStr">
        <is>
          <t>https://en.unesco.org/artificial-intelligence/observatory/policies?country=ET; https://www.unesco.org/ethics-ai/en/global-hub</t>
        </is>
      </c>
      <c r="U36" t="inlineStr">
        <is>
          <t>No</t>
        </is>
      </c>
      <c r="V36" s="50" t="inlineStr">
        <is>
          <t>https://unctad.org/page/data-protection-and-privacy-legislation-worldwide</t>
        </is>
      </c>
      <c r="W36" t="inlineStr">
        <is>
          <t>Yes (biometric SIM registration mandatory)</t>
        </is>
      </c>
      <c r="X36" s="50" t="inlineStr">
        <is>
          <t>https://www.gsma.com/solutions-and-impact/connectivity-for-good/public-policy/mobile-policy-handbook/consumer-protection/mandatory-registration-of-prepaid-sims/; https://privacyinternational.org/learn/sim-card-registration</t>
        </is>
      </c>
      <c r="AI36">
        <f>SUM(Y36:AH36)</f>
        <v/>
      </c>
      <c r="AJ36">
        <f>100-(AI36*(AI36/20))</f>
        <v/>
      </c>
      <c r="AK36" s="24">
        <f>100-(AJ36*(AJ36/MAX(AJ21:AJ36)))</f>
        <v/>
      </c>
      <c r="AL36" t="n">
        <v>60</v>
      </c>
    </row>
    <row r="37">
      <c r="A37" t="n">
        <v>161</v>
      </c>
      <c r="B37" t="inlineStr">
        <is>
          <t>Somalia</t>
        </is>
      </c>
      <c r="C37" t="inlineStr">
        <is>
          <t>Africa</t>
        </is>
      </c>
      <c r="D37" t="inlineStr">
        <is>
          <t>IGAD</t>
        </is>
      </c>
      <c r="E37" t="inlineStr">
        <is>
          <t>None</t>
        </is>
      </c>
      <c r="F37" s="50" t="inlineStr">
        <is>
          <t>https://unctad.org/page/data-protection-and-privacy-legislation-worldwide</t>
        </is>
      </c>
      <c r="G37" t="inlineStr">
        <is>
          <t>None</t>
        </is>
      </c>
      <c r="H37" s="50" t="inlineStr">
        <is>
          <t>https://unctad.org/page/data-protection-and-privacy-legislation-worldwide</t>
        </is>
      </c>
      <c r="I37" t="inlineStr">
        <is>
          <t>No</t>
        </is>
      </c>
      <c r="J37" s="50" t="inlineStr">
        <is>
          <t>https://www.unicef.org/somalia/</t>
        </is>
      </c>
      <c r="K37" t="inlineStr">
        <is>
          <t>No</t>
        </is>
      </c>
      <c r="L37" s="50" t="inlineStr">
        <is>
          <t>https://www.unicef.org/somalia/</t>
        </is>
      </c>
      <c r="M37" t="inlineStr">
        <is>
          <t>No</t>
        </is>
      </c>
      <c r="N37" s="50" t="inlineStr">
        <is>
          <t>https://unctad.org/page/data-protection-and-privacy-legislation-worldwide</t>
        </is>
      </c>
      <c r="O37" t="inlineStr">
        <is>
          <t>Criminalised — harsh penalties</t>
        </is>
      </c>
      <c r="P37" s="50" t="inlineStr">
        <is>
          <t>https://www.humandignitytrust.org/country-profile/somalia/; https://ilga.org/ilga-world-maps/</t>
        </is>
      </c>
      <c r="Q37" t="inlineStr">
        <is>
          <t>Yes</t>
        </is>
      </c>
      <c r="R37" s="50" t="inlineStr">
        <is>
          <t>https://ilga.org/ilga-world-maps/</t>
        </is>
      </c>
      <c r="S37" t="inlineStr">
        <is>
          <t>None</t>
        </is>
      </c>
      <c r="T37" s="50" t="inlineStr">
        <is>
          <t>https://en.unesco.org/artificial-intelligence/observatory/policies?country=SO; https://www.unesco.org/ethics-ai/en/global-hub</t>
        </is>
      </c>
      <c r="U37" t="inlineStr">
        <is>
          <t>No</t>
        </is>
      </c>
      <c r="V37" s="50" t="inlineStr">
        <is>
          <t>https://unctad.org/page/data-protection-and-privacy-legislation-worldwide</t>
        </is>
      </c>
      <c r="W37" t="inlineStr">
        <is>
          <t>Yes — mandatory SIM registration</t>
        </is>
      </c>
      <c r="X37" s="50" t="inlineStr">
        <is>
          <t>https://www.gsma.com/solutions-and-impact/connectivity-for-good/public-policy/mobile-policy-handbook/consumer-protection/mandatory-registration-of-prepaid-sims/</t>
        </is>
      </c>
      <c r="AI37">
        <f>SUM(Y37:AH37)</f>
        <v/>
      </c>
      <c r="AJ37">
        <f>100-(AI37*(AI37/20))</f>
        <v/>
      </c>
      <c r="AK37" s="24">
        <f>100-(AJ37*(AJ37/MAX(AJ22:AJ37)))</f>
        <v/>
      </c>
      <c r="AL37" t="n">
        <v>161</v>
      </c>
    </row>
    <row r="38">
      <c r="A38" t="n">
        <v>163</v>
      </c>
      <c r="B38" t="inlineStr">
        <is>
          <t>South Sudan</t>
        </is>
      </c>
      <c r="C38" t="inlineStr">
        <is>
          <t>Africa</t>
        </is>
      </c>
      <c r="D38" t="inlineStr">
        <is>
          <t>IGAD</t>
        </is>
      </c>
      <c r="E38" t="inlineStr">
        <is>
          <t>None</t>
        </is>
      </c>
      <c r="F38" s="50" t="inlineStr">
        <is>
          <t>https://unctad.org/page/data-protection-and-privacy-legislation-worldwide</t>
        </is>
      </c>
      <c r="G38" t="inlineStr">
        <is>
          <t>None</t>
        </is>
      </c>
      <c r="H38" s="50" t="inlineStr">
        <is>
          <t>https://unctad.org/page/data-protection-and-privacy-legislation-worldwide</t>
        </is>
      </c>
      <c r="I38" t="inlineStr">
        <is>
          <t>No</t>
        </is>
      </c>
      <c r="J38" s="50" t="inlineStr">
        <is>
          <t>https://www.unicef.org/south-sudan/</t>
        </is>
      </c>
      <c r="K38" t="inlineStr">
        <is>
          <t>No</t>
        </is>
      </c>
      <c r="L38" s="50" t="inlineStr">
        <is>
          <t>https://www.unicef.org/south-sudan/</t>
        </is>
      </c>
      <c r="M38" t="inlineStr">
        <is>
          <t>No</t>
        </is>
      </c>
      <c r="N38" s="50" t="inlineStr">
        <is>
          <t>https://unctad.org/page/data-protection-and-privacy-legislation-worldwide</t>
        </is>
      </c>
      <c r="O38" t="inlineStr">
        <is>
          <t>Criminalised</t>
        </is>
      </c>
      <c r="P38" s="50" t="inlineStr">
        <is>
          <t>https://www.humandignitytrust.org/country-profile/south-sudan/; https://ilga.org/ilga-world-maps/</t>
        </is>
      </c>
      <c r="Q38" t="inlineStr">
        <is>
          <t>Yes</t>
        </is>
      </c>
      <c r="R38" s="50" t="inlineStr">
        <is>
          <t>https://ilga.org/ilga-world-maps/</t>
        </is>
      </c>
      <c r="S38" t="inlineStr">
        <is>
          <t>None</t>
        </is>
      </c>
      <c r="T38" s="50" t="inlineStr">
        <is>
          <t>https://en.unesco.org/artificial-intelligence/observatory/policies?country=SS; https://www.unesco.org/ethics-ai/en/global-hub</t>
        </is>
      </c>
      <c r="U38" t="inlineStr">
        <is>
          <t>No</t>
        </is>
      </c>
      <c r="V38" s="50" t="inlineStr">
        <is>
          <t>https://unctad.org/page/data-protection-and-privacy-legislation-worldwide</t>
        </is>
      </c>
      <c r="W38" t="inlineStr">
        <is>
          <t>Yes</t>
        </is>
      </c>
      <c r="X38" s="50" t="inlineStr">
        <is>
          <t>https://www.gsma.com/solutions-and-impact/connectivity-for-good/public-policy/mobile-policy-handbook/consumer-protection/mandatory-registration-of-prepaid-sims/</t>
        </is>
      </c>
      <c r="AI38">
        <f>SUM(Y38:AH38)</f>
        <v/>
      </c>
      <c r="AJ38">
        <f>100-(AI38*(AI38/20))</f>
        <v/>
      </c>
      <c r="AK38" s="24">
        <f>100-(AJ38*(AJ38/MAX(AJ23:AJ38)))</f>
        <v/>
      </c>
      <c r="AL38" t="n">
        <v>163</v>
      </c>
    </row>
    <row r="39">
      <c r="A39" t="n">
        <v>167</v>
      </c>
      <c r="B39" t="inlineStr">
        <is>
          <t>Sudan</t>
        </is>
      </c>
      <c r="C39" t="inlineStr">
        <is>
          <t>Africa</t>
        </is>
      </c>
      <c r="D39" t="inlineStr">
        <is>
          <t>IGAD</t>
        </is>
      </c>
      <c r="E39" t="inlineStr">
        <is>
          <t>Draft only</t>
        </is>
      </c>
      <c r="F39" s="50" t="inlineStr">
        <is>
          <t>https://unctad.org/page/data-protection-and-privacy-legislation-worldwide</t>
        </is>
      </c>
      <c r="G39" t="inlineStr">
        <is>
          <t>None</t>
        </is>
      </c>
      <c r="H39" s="50" t="inlineStr">
        <is>
          <t>https://unctad.org/page/data-protection-and-privacy-legislation-worldwide</t>
        </is>
      </c>
      <c r="I39" t="inlineStr">
        <is>
          <t>No</t>
        </is>
      </c>
      <c r="J39" s="50" t="inlineStr">
        <is>
          <t>https://www.unicef.org/sudan/</t>
        </is>
      </c>
      <c r="K39" t="inlineStr">
        <is>
          <t>No</t>
        </is>
      </c>
      <c r="L39" s="50" t="inlineStr">
        <is>
          <t>https://www.unicef.org/sudan/</t>
        </is>
      </c>
      <c r="M39" t="inlineStr">
        <is>
          <t>No</t>
        </is>
      </c>
      <c r="N39" s="50" t="inlineStr">
        <is>
          <t>https://unctad.org/page/data-protection-and-privacy-legislation-worldwide</t>
        </is>
      </c>
      <c r="O39" t="inlineStr">
        <is>
          <t>Criminalised — harsh penalties under Penal Code</t>
        </is>
      </c>
      <c r="P39" s="50" t="inlineStr">
        <is>
          <t>https://www.humandignitytrust.org/country-profile/sudan/; https://ilga.org/ilga-world-maps/</t>
        </is>
      </c>
      <c r="Q39" t="inlineStr">
        <is>
          <t>Yes</t>
        </is>
      </c>
      <c r="R39" s="50" t="inlineStr">
        <is>
          <t>https://ilga.org/ilga-world-maps/</t>
        </is>
      </c>
      <c r="S39" t="inlineStr">
        <is>
          <t>None</t>
        </is>
      </c>
      <c r="T39" s="50" t="inlineStr">
        <is>
          <t>https://en.unesco.org/artificial-intelligence/observatory/policies?country=SD; https://www.unesco.org/ethics-ai/en/global-hub</t>
        </is>
      </c>
      <c r="U39" t="inlineStr">
        <is>
          <t>No</t>
        </is>
      </c>
      <c r="V39" s="50" t="inlineStr">
        <is>
          <t>https://unctad.org/page/data-protection-and-privacy-legislation-worldwide</t>
        </is>
      </c>
      <c r="W39" t="inlineStr">
        <is>
          <t>Yes — biometric SIM registration required</t>
        </is>
      </c>
      <c r="X39" s="50" t="inlineStr">
        <is>
          <t>https://www.gsma.com/solutions-and-impact/connectivity-for-good/public-policy/mobile-policy-handbook/consumer-protection/mandatory-registration-of-prepaid-sims/; https://privacyinternational.org/learn/sim-card-registration</t>
        </is>
      </c>
      <c r="AI39">
        <f>SUM(Y39:AH39)</f>
        <v/>
      </c>
      <c r="AJ39">
        <f>100-(AI39*(AI39/20))</f>
        <v/>
      </c>
      <c r="AK39" s="24">
        <f>100-(AJ39*(AJ39/MAX(AJ24:AJ39)))</f>
        <v/>
      </c>
      <c r="AL39" t="n">
        <v>167</v>
      </c>
    </row>
    <row r="40">
      <c r="A40" s="1" t="n">
        <v>6</v>
      </c>
      <c r="B40" s="1" t="inlineStr">
        <is>
          <t>Angola</t>
        </is>
      </c>
      <c r="C40" s="1" t="inlineStr">
        <is>
          <t>Africa</t>
        </is>
      </c>
      <c r="D40" s="1" t="inlineStr">
        <is>
          <t>SADC</t>
        </is>
      </c>
      <c r="E40" s="1" t="inlineStr">
        <is>
          <t>In force (Lei 22/11 – Protecção de Dados Pessoais; APD operational)</t>
        </is>
      </c>
      <c r="F40" s="2" t="inlineStr">
        <is>
          <t>https://unctad.org/page/data-protection-and-privacy-legislation-worldwide</t>
        </is>
      </c>
      <c r="G40" s="1" t="inlineStr">
        <is>
          <t>Moderate</t>
        </is>
      </c>
      <c r="H40" s="2" t="inlineStr">
        <is>
          <t>https://unctad.org/page/data-protection-and-privacy-legislation-worldwide</t>
        </is>
      </c>
      <c r="I40" s="1" t="inlineStr">
        <is>
          <t>Yes</t>
        </is>
      </c>
      <c r="J40" s="2" t="inlineStr">
        <is>
          <t>https://unctad.org/page/data-protection-and-privacy-legislation-worldwide; https://www.unicef.org/angola/</t>
        </is>
      </c>
      <c r="K40" s="1" t="inlineStr">
        <is>
          <t>Partial</t>
        </is>
      </c>
      <c r="L40" s="2" t="inlineStr">
        <is>
          <t>https://www.unicef.org/angola/</t>
        </is>
      </c>
      <c r="M40" s="1" t="inlineStr">
        <is>
          <t>Partial/Unclear</t>
        </is>
      </c>
      <c r="N40" s="2" t="inlineStr">
        <is>
          <t>https://unctad.org/page/data-protection-and-privacy-legislation-worldwide</t>
        </is>
      </c>
      <c r="O40" s="1" t="inlineStr">
        <is>
          <t>Legal (no criminalisation; anti-discrimination)</t>
        </is>
      </c>
      <c r="P40" s="2" t="inlineStr">
        <is>
          <t>https://www.humandignitytrust.org/country-profile/angola/; https://ilga.org/ilga-world-maps/</t>
        </is>
      </c>
      <c r="Q40" s="1" t="inlineStr">
        <is>
          <t>No/Annulled. No propaganda laws, no morality policing identified.</t>
        </is>
      </c>
      <c r="R40" s="2" t="inlineStr">
        <is>
          <t>https://ilga.org/ilga-world-maps/</t>
        </is>
      </c>
      <c r="S40" s="1" t="inlineStr">
        <is>
          <t>Draft/Early (White Paper LBTIC 2023–2027 approved Dec 2024; ENIA foreseen)</t>
        </is>
      </c>
      <c r="T40" s="2" t="inlineStr">
        <is>
          <t>https://en.unesco.org/artificial-intelligence/observatory/policies?country=AO; https://www.unesco.org/ethics-ai/en/global-hub</t>
        </is>
      </c>
      <c r="U40" s="1" t="inlineStr">
        <is>
          <t>No</t>
        </is>
      </c>
      <c r="V40" s="2" t="inlineStr">
        <is>
          <t>https://unctad.org/page/data-protection-and-privacy-legislation-worldwide</t>
        </is>
      </c>
      <c r="W40" s="1" t="inlineStr">
        <is>
          <t>No biometric at SIM; ID-only</t>
        </is>
      </c>
      <c r="X40" s="2" t="inlineStr">
        <is>
          <t>https://www.gsma.com/solutions-and-impact/connectivity-for-good/public-policy/mobile-policy-handbook/consumer-protection/mandatory-registration-of-prepaid-sims/</t>
        </is>
      </c>
      <c r="Y40" t="n">
        <v>2</v>
      </c>
      <c r="Z40" t="n">
        <v>2</v>
      </c>
      <c r="AA40" t="n">
        <v>2</v>
      </c>
      <c r="AB40" t="n">
        <v>1</v>
      </c>
      <c r="AC40" t="n">
        <v>2</v>
      </c>
      <c r="AD40" t="n">
        <v>1</v>
      </c>
      <c r="AE40" t="n">
        <v>2</v>
      </c>
      <c r="AF40" t="n">
        <v>1</v>
      </c>
      <c r="AG40" t="n">
        <v>1</v>
      </c>
      <c r="AH40" t="n">
        <v>2</v>
      </c>
      <c r="AI40">
        <f>SUM(Y40:AH40)</f>
        <v/>
      </c>
      <c r="AJ40">
        <f>100-(AI40*(AI40/20))</f>
        <v/>
      </c>
      <c r="AK40" s="24">
        <f>(AP40+1)-((((AI40-AN40)*AR40)/AO40)+AQ40)</f>
        <v/>
      </c>
      <c r="AL40" s="1" t="n">
        <v>6</v>
      </c>
      <c r="AM40">
        <f>MAX(AI40:AI55)</f>
        <v/>
      </c>
      <c r="AN40">
        <f>MIN(AI40:AI55)</f>
        <v/>
      </c>
      <c r="AO40">
        <f>AM40-AN40</f>
        <v/>
      </c>
      <c r="AP40">
        <f>COUNT(AJ40:AJ55)</f>
        <v/>
      </c>
      <c r="AQ40" t="n">
        <v>1</v>
      </c>
      <c r="AR40">
        <f>AP40-AQ40</f>
        <v/>
      </c>
    </row>
    <row r="41">
      <c r="A41" s="1" t="n">
        <v>24</v>
      </c>
      <c r="B41" s="1" t="inlineStr">
        <is>
          <t>Botswana</t>
        </is>
      </c>
      <c r="C41" s="1" t="inlineStr">
        <is>
          <t>Africa</t>
        </is>
      </c>
      <c r="D41" s="1" t="inlineStr">
        <is>
          <t>SADC</t>
        </is>
      </c>
      <c r="E41" s="1" t="inlineStr">
        <is>
          <t>In force — Data Protection Act 2024 (Act 18 of 2024), commenced 14 Jan 2025 (S.I. 4/2025), repealing the 2018 Act.</t>
        </is>
      </c>
      <c r="F41" s="2" t="inlineStr">
        <is>
          <t>https://unctad.org/page/data-protection-and-privacy-legislation-worldwide ; https://botswanalaws.com/StatutesAct/2024%20Data%20Protection%20Act.pdf ; https://gazettes.africa/gazettes/bw-government-gazette-dated-2025-01-14-no-4.pdf</t>
        </is>
      </c>
      <c r="G41" s="1" t="inlineStr">
        <is>
          <t>Information and Data Protection Commission (IDPC) acts with complete operational independence; not subject to ministerial direction.</t>
        </is>
      </c>
      <c r="H41" s="2" t="inlineStr">
        <is>
          <t>https://botswanalaws.com/StatutesAct/2024%20Data%20Protection%20Act.pdf</t>
        </is>
      </c>
      <c r="I41" s="1" t="inlineStr">
        <is>
          <t>Children’s Act (Cap. 28:04) + Data Protection Act 2024 (s.29: parental authorization; child 16+ may consent).</t>
        </is>
      </c>
      <c r="J41" s="2" t="inlineStr">
        <is>
          <t>https://www.unicef.org/botswana/ ; https://botswanalaws.com/StatutesAct/2024%20Data%20Protection%20Act.pdf</t>
        </is>
      </c>
      <c r="K41" s="1" t="inlineStr">
        <is>
          <t>No dedicated COP strategy; SmartBots programme commits to a safer cyberspace.</t>
        </is>
      </c>
      <c r="L41" s="2" t="inlineStr">
        <is>
          <t>https://www.unicef.org/botswana/ ; https://www.smartbots.gov.bw/</t>
        </is>
      </c>
      <c r="M41" s="1" t="inlineStr">
        <is>
          <t>Yes — DPA 2024 s.30 prohibits processing data revealing sex life or sexual orientation.</t>
        </is>
      </c>
      <c r="N41" s="2" t="inlineStr">
        <is>
          <t>https://botswanalaws.com/StatutesAct/2024%20Data%20Protection%20Act.pdf</t>
        </is>
      </c>
      <c r="O41" s="1" t="inlineStr">
        <is>
          <t>Decriminalised — High Court (2019) and Court of Appeal (2021) struck down Penal Code provisions criminalising same-sex relations.</t>
        </is>
      </c>
      <c r="P41" s="2" t="inlineStr">
        <is>
          <t>https://www.humandignitytrust.org/country-profile/botswana/ ; https://ilga.org/ilga-world-maps/ ; https://botswanalaws.com/case/NDBHC_2019_0001.html</t>
        </is>
      </c>
      <c r="Q41" s="1" t="inlineStr">
        <is>
          <t>No evidence of propaganda laws or morality-based administrative censorship targeting LGBTQ expression. Decriminalised, no propaganda laws, no morality policing.</t>
        </is>
      </c>
      <c r="R41" s="2" t="inlineStr">
        <is>
          <t>https://ilga.org/ilga-world-maps/ ; https://upr-info.org/en/review/botswana</t>
        </is>
      </c>
      <c r="S41" s="1" t="inlineStr">
        <is>
          <t>No standalone AI law. Botswana implements SmartBots 4IR Strategy; SmartBots Lab established.</t>
        </is>
      </c>
      <c r="T41" s="2" t="inlineStr">
        <is>
          <t>https://en.unesco.org/artificial-intelligence/observatory/policies?country=BW ; https://www.unesco.org/ethics-ai/en/global-hub ; https://www.smartbots.gov.bw/ ; https://www.gov.bw/news/smartbots-strategy</t>
        </is>
      </c>
      <c r="U41" s="1" t="inlineStr">
        <is>
          <t>Yes — DPA 2024 Part XII requires Data Protection Impact Assessments for high-risk processing, with prior consultation.</t>
        </is>
      </c>
      <c r="V41" s="2" t="inlineStr">
        <is>
          <t>https://botswanalaws.com/StatutesAct/2024%20Data%20Protection%20Act.pdf</t>
        </is>
      </c>
      <c r="W41" s="1" t="inlineStr">
        <is>
          <t>SIM registration mandatory using Omang ID/passport. No biometric capture at point-of-sale, but Omang is biometric-backed, creating indirect linkage. Omang used but no biometric at SIM point.</t>
        </is>
      </c>
      <c r="X41" s="2" t="inlineStr">
        <is>
          <t>https://www.gsma.com/solutions-and-impact/connectivity-for-good/public-policy/mobile-policy-handbook/consumer-protection/mandatory-registration-of-prepaid-sims/ ; https://privacyinternational.org/learn/sim-card-registration</t>
        </is>
      </c>
      <c r="Y41" t="n">
        <v>2</v>
      </c>
      <c r="Z41" t="n">
        <v>2</v>
      </c>
      <c r="AA41" t="n">
        <v>2</v>
      </c>
      <c r="AB41" t="n">
        <v>1</v>
      </c>
      <c r="AC41" t="n">
        <v>2</v>
      </c>
      <c r="AD41" t="n">
        <v>2</v>
      </c>
      <c r="AE41" t="n">
        <v>2</v>
      </c>
      <c r="AF41" t="n">
        <v>1</v>
      </c>
      <c r="AG41" t="n">
        <v>1</v>
      </c>
      <c r="AH41" t="n">
        <v>0</v>
      </c>
      <c r="AI41">
        <f>SUM(Y41:AH41)</f>
        <v/>
      </c>
      <c r="AJ41">
        <f>100-(AI41*(AI41/20))</f>
        <v/>
      </c>
      <c r="AK41" s="24">
        <f>(AP41+1)-((((AI41-AN41)*AR41)/AO41)+AQ41)</f>
        <v/>
      </c>
      <c r="AL41" s="1" t="n">
        <v>24</v>
      </c>
      <c r="AM41" t="n">
        <v>18</v>
      </c>
      <c r="AN41" t="n">
        <v>7</v>
      </c>
      <c r="AO41" t="n">
        <v>11</v>
      </c>
      <c r="AP41" t="n">
        <v>16</v>
      </c>
      <c r="AQ41" t="n">
        <v>1</v>
      </c>
      <c r="AR41" t="n">
        <v>15</v>
      </c>
    </row>
    <row r="42">
      <c r="A42" s="1" t="n">
        <v>39</v>
      </c>
      <c r="B42" s="1" t="inlineStr">
        <is>
          <t>Comoros</t>
        </is>
      </c>
      <c r="C42" s="1" t="inlineStr">
        <is>
          <t>Africa</t>
        </is>
      </c>
      <c r="D42" s="1" t="inlineStr">
        <is>
          <t>SADC</t>
        </is>
      </c>
      <c r="E42" s="1" t="inlineStr">
        <is>
          <t>Law No. 18-007 (2018) on the Protection of Personal Data — in force, GDPR-inspired provisions, establishes CNPDCP.</t>
        </is>
      </c>
      <c r="F42" s="2" t="inlineStr">
        <is>
          <t>https://afadpp.org/wp-content/uploads/2019/04/Comores-Loi-2018-007-sur-la-protection-des-donnees-personnelles.pdf ; https://unctad.org/page/data-protection-and-privacy-legislation-worldwide</t>
        </is>
      </c>
      <c r="G42" s="1" t="inlineStr">
        <is>
          <t>Commission Nationale de Protection des Données à Caractère Personnel (CNPDCP) established as independent administrative authority.</t>
        </is>
      </c>
      <c r="H42" s="2" t="inlineStr">
        <is>
          <t>https://afadpp.org/wp-content/uploads/2019/04/Comores-Loi-2018-007-sur-la-protection-des-donnees-personnelles.pdf</t>
        </is>
      </c>
      <c r="I42" s="1" t="inlineStr">
        <is>
          <t>No explicit COP law. Law 18-007 (2018) provides general safeguards. Penal Code and Child Protection Law criminalise sexual exploitation and abuse.</t>
        </is>
      </c>
      <c r="J42" s="2" t="inlineStr">
        <is>
          <t>https://unctad.org/page/data-protection-and-privacy-legislation-worldwide ; https://www.unicef.org/comoros/</t>
        </is>
      </c>
      <c r="K42" s="1" t="inlineStr">
        <is>
          <t>No dedicated COP strategy identified. UNICEF reports initiatives on online child protection and awareness campaigns.</t>
        </is>
      </c>
      <c r="L42" s="2" t="inlineStr">
        <is>
          <t>https://www.unicef.org/comoros/</t>
        </is>
      </c>
      <c r="M42" s="1" t="inlineStr">
        <is>
          <t>Yes — Law 18-007 defines “sensitive data” to include data concerning sex life, interpreted as covering sexual orientation.</t>
        </is>
      </c>
      <c r="N42" s="2" t="inlineStr">
        <is>
          <t>https://afadpp.org/wp-content/uploads/2019/04/Comores-Loi-2018-007-sur-la-protection-des-donnees-personnelles.pdf</t>
        </is>
      </c>
      <c r="O42" s="1" t="inlineStr">
        <is>
          <t>Criminalised — Penal Code (Art. 318) punishes same-sex relations with up to 5 years imprisonment and fines.</t>
        </is>
      </c>
      <c r="P42" s="2" t="inlineStr">
        <is>
          <t>https://www.humandignitytrust.org/country-profile/comoros/ ; https://ilga.org/ilga-world-maps/</t>
        </is>
      </c>
      <c r="Q42" s="1" t="inlineStr">
        <is>
          <t>No specific propaganda ban. General Penal Code morality/indecency provisions may be applied against LGBTQ expression. Same-sex criminalised; morality law environment.</t>
        </is>
      </c>
      <c r="R42" s="2" t="inlineStr">
        <is>
          <t>https://www.humandignitytrust.org/country-profile/comoros/ ; https://ilga.org/ilga-world-maps/</t>
        </is>
      </c>
      <c r="S42" s="1" t="inlineStr">
        <is>
          <t>No dedicated AI law or national strategy. Government participates in AU and ITU AI capacity-building initiatives.</t>
        </is>
      </c>
      <c r="T42" s="2" t="inlineStr">
        <is>
          <t>https://en.unesco.org/artificial-intelligence/observatory/policies?country=KM ; https://au.int/en/documents/20240620/continental-strategy-artificial-intelligence-africa-2024</t>
        </is>
      </c>
      <c r="U42" s="1" t="inlineStr">
        <is>
          <t>Law 18-007 requires prior notification/authorisation for processing sensitive data or large-scale processing, but no AI-specific DPIA.</t>
        </is>
      </c>
      <c r="V42" s="2" t="inlineStr">
        <is>
          <t>https://afadpp.org/wp-content/uploads/2019/04/Comores-Loi-2018-007-sur-la-protection-des-donnees-personnelles.pdf</t>
        </is>
      </c>
      <c r="W42" s="1" t="inlineStr">
        <is>
          <t>SIM registration mandatory with ID (passport or national ID). Omnipresence of biometric-backed ID creates indirect biometric link. ID required, but no biometric</t>
        </is>
      </c>
      <c r="X42" s="2" t="inlineStr">
        <is>
          <t>https://www.gsma.com/solutions-and-impact/connectivity-for-good/public-policy/mobile-policy-handbook/consumer-protection/mandatory-registration-of-prepaid-sims/</t>
        </is>
      </c>
      <c r="Y42" t="n">
        <v>2</v>
      </c>
      <c r="Z42" t="n">
        <v>2</v>
      </c>
      <c r="AA42" t="n">
        <v>1</v>
      </c>
      <c r="AB42" t="n">
        <v>1</v>
      </c>
      <c r="AC42" t="n">
        <v>2</v>
      </c>
      <c r="AD42" t="n">
        <v>1</v>
      </c>
      <c r="AE42" t="n">
        <v>0</v>
      </c>
      <c r="AF42" t="n">
        <v>0</v>
      </c>
      <c r="AG42" t="n">
        <v>0</v>
      </c>
      <c r="AH42" t="n">
        <v>2</v>
      </c>
      <c r="AI42">
        <f>SUM(Y42:AH42)</f>
        <v/>
      </c>
      <c r="AJ42">
        <f>100-(AI42*(AI42/20))</f>
        <v/>
      </c>
      <c r="AK42" s="24">
        <f>(AP42+1)-((((AI42-AN42)*AR42)/AO42)+AQ42)</f>
        <v/>
      </c>
      <c r="AL42" s="1" t="n">
        <v>39</v>
      </c>
      <c r="AM42" t="n">
        <v>18</v>
      </c>
      <c r="AN42" t="n">
        <v>7</v>
      </c>
      <c r="AO42" t="n">
        <v>11</v>
      </c>
      <c r="AP42" t="n">
        <v>16</v>
      </c>
      <c r="AQ42" t="n">
        <v>1</v>
      </c>
      <c r="AR42" t="n">
        <v>15</v>
      </c>
    </row>
    <row r="43">
      <c r="A43" s="1" t="n">
        <v>48</v>
      </c>
      <c r="B43" s="1" t="inlineStr">
        <is>
          <t>Democratic Republic of the Congo</t>
        </is>
      </c>
      <c r="C43" s="1" t="inlineStr">
        <is>
          <t>Africa</t>
        </is>
      </c>
      <c r="D43" s="1" t="inlineStr">
        <is>
          <t>SADC</t>
        </is>
      </c>
      <c r="E43" s="1" t="inlineStr">
        <is>
          <t>In force (Law No. 18/019 of 2018 on Personal Data Protection)</t>
        </is>
      </c>
      <c r="F43" s="2" t="inlineStr">
        <is>
          <t>https://unctad.org/page/data-protection-and-privacy-legislation-worldwide</t>
        </is>
      </c>
      <c r="G43" s="1" t="inlineStr">
        <is>
          <t>Moderate (new authority; limited effectiveness)</t>
        </is>
      </c>
      <c r="H43" s="2" t="inlineStr">
        <is>
          <t>https://unctad.org/page/data-protection-and-privacy-legislation-worldwide</t>
        </is>
      </c>
      <c r="I43" s="1" t="inlineStr">
        <is>
          <t>Partial (laws exist; no national COP strategy)</t>
        </is>
      </c>
      <c r="J43" s="2" t="inlineStr">
        <is>
          <t>https://unctad.org/page/data-protection-and-privacy-legislation-worldwide; https://www.unicef.org/democratic-republic-of-the-congo/</t>
        </is>
      </c>
      <c r="K43" s="1" t="inlineStr">
        <is>
          <t>No</t>
        </is>
      </c>
      <c r="L43" s="2" t="inlineStr">
        <is>
          <t>https://www.unicef.org/democratic-republic-of-the-congo/</t>
        </is>
      </c>
      <c r="M43" s="1" t="inlineStr">
        <is>
          <t>No</t>
        </is>
      </c>
      <c r="N43" s="2" t="inlineStr">
        <is>
          <t>https://unctad.org/page/data-protection-and-privacy-legislation-worldwide</t>
        </is>
      </c>
      <c r="O43" s="1" t="inlineStr">
        <is>
          <t>Criminalised</t>
        </is>
      </c>
      <c r="P43" s="2" t="inlineStr">
        <is>
          <t>https://www.humandignitytrust.org/country-profile/democratic-republic-of-the-congo/; https://ilga.org/ilga-world-maps/</t>
        </is>
      </c>
      <c r="Q43" s="1" t="inlineStr">
        <is>
          <t>Yes (restrictions in Penal Code). Indecency + CSAC sanctions used.</t>
        </is>
      </c>
      <c r="R43" s="2" t="inlineStr">
        <is>
          <t>https://ilga.org/ilga-world-maps/</t>
        </is>
      </c>
      <c r="S43" s="1" t="inlineStr">
        <is>
          <t>None (no AI strategy)</t>
        </is>
      </c>
      <c r="T43" s="2" t="inlineStr">
        <is>
          <t>https://www.unesco.org/ethics-ai/en/global-hub</t>
        </is>
      </c>
      <c r="U43" s="1" t="inlineStr">
        <is>
          <t>No</t>
        </is>
      </c>
      <c r="V43" s="2" t="inlineStr">
        <is>
          <t>https://unctad.org/page/data-protection-and-privacy-legislation-worldwide</t>
        </is>
      </c>
      <c r="W43" s="1" t="inlineStr">
        <is>
          <t>ID-based SIM registration; no biometric capture specified</t>
        </is>
      </c>
      <c r="X43" s="2" t="inlineStr">
        <is>
          <t>https://www.gsma.com/solutions-and-impact/connectivity-for-good/public-policy/mobile-policy-handbook/consumer-protection/mandatory-registration-of-prepaid-sims/; https://privacyinternational.org/learn/sim-card-registration</t>
        </is>
      </c>
      <c r="Y43" t="n">
        <v>2</v>
      </c>
      <c r="Z43" t="n">
        <v>2</v>
      </c>
      <c r="AA43" t="n">
        <v>1</v>
      </c>
      <c r="AB43" t="n">
        <v>1</v>
      </c>
      <c r="AC43" t="n">
        <v>2</v>
      </c>
      <c r="AD43" t="n">
        <v>1</v>
      </c>
      <c r="AE43" t="n">
        <v>0</v>
      </c>
      <c r="AF43" t="n">
        <v>0</v>
      </c>
      <c r="AG43" t="n">
        <v>0</v>
      </c>
      <c r="AH43" t="n">
        <v>2</v>
      </c>
      <c r="AI43">
        <f>SUM(Y43:AH43)</f>
        <v/>
      </c>
      <c r="AJ43">
        <f>100-(AI43*(AI43/20))</f>
        <v/>
      </c>
      <c r="AK43" s="24">
        <f>(AP43+1)-((((AI43-AN43)*AR43)/AO43)+AQ43)</f>
        <v/>
      </c>
      <c r="AL43" s="1" t="n">
        <v>48</v>
      </c>
      <c r="AM43" t="n">
        <v>18</v>
      </c>
      <c r="AN43" t="n">
        <v>7</v>
      </c>
      <c r="AO43" t="n">
        <v>11</v>
      </c>
      <c r="AP43" t="n">
        <v>16</v>
      </c>
      <c r="AQ43" t="n">
        <v>1</v>
      </c>
      <c r="AR43" t="n">
        <v>15</v>
      </c>
    </row>
    <row r="44">
      <c r="A44" s="1" t="n">
        <v>59</v>
      </c>
      <c r="B44" s="1" t="inlineStr">
        <is>
          <t>Eswatini</t>
        </is>
      </c>
      <c r="C44" s="1" t="inlineStr">
        <is>
          <t>Africa</t>
        </is>
      </c>
      <c r="D44" s="1" t="inlineStr">
        <is>
          <t>SADC</t>
        </is>
      </c>
      <c r="E44" s="1" t="inlineStr">
        <is>
          <t>Data Protection Act, 2022 — in force, establishes principles for processing and creates the Data Protection Commissioner.</t>
        </is>
      </c>
      <c r="F44" s="2" t="inlineStr">
        <is>
          <t>https://eswatinilii.org/sz/legislation/act/2022/5/ ; https://unctad.org/page/data-protection-and-privacy-legislation-worldwide</t>
        </is>
      </c>
      <c r="G44" s="1" t="inlineStr">
        <is>
          <t>The Act establishes a Data Protection Commissioner. While legally independent, appointment and budgetary dependence suggest moderate autonomy.</t>
        </is>
      </c>
      <c r="H44" s="2" t="inlineStr">
        <is>
          <t>https://eswatinilii.org/sz/legislation/act/2022/5/</t>
        </is>
      </c>
      <c r="I44" s="1" t="inlineStr">
        <is>
          <t>Data Protection Act 2022 includes child-protection provisions. Broader protections in Children’s Protection and Welfare Act 2012.</t>
        </is>
      </c>
      <c r="J44" s="2" t="inlineStr">
        <is>
          <t>https://eswatinilii.org/sz/legislation/act/2022/5/ ; https://www.unicef.org/eswatini/child-protection</t>
        </is>
      </c>
      <c r="K44" s="1" t="inlineStr">
        <is>
          <t>No stand-alone COP strategy, but UNICEF and government initiatives promote online child protection.</t>
        </is>
      </c>
      <c r="L44" s="2" t="inlineStr">
        <is>
          <t>https://www.unicef.org/eswatini/child-protection</t>
        </is>
      </c>
      <c r="M44" s="1" t="inlineStr">
        <is>
          <t>Law defines sensitive data, but sexual orientation is not expressly included.</t>
        </is>
      </c>
      <c r="N44" s="2" t="inlineStr">
        <is>
          <t>https://eswatinilii.org/sz/legislation/act/2022/5/</t>
        </is>
      </c>
      <c r="O44" s="1" t="inlineStr">
        <is>
          <t>Same-sex sexual conduct remains criminalised under Penal Code. No anti-discrimination protections for SOGI.</t>
        </is>
      </c>
      <c r="P44" s="2" t="inlineStr">
        <is>
          <t>https://www.humandignitytrust.org/country-profile/eswatini/ ; https://ilga.org/ilga-world-maps/</t>
        </is>
      </c>
      <c r="Q44" s="1" t="inlineStr">
        <is>
          <t>No explicit propaganda law, but Broadcasting Guidelines (2003) prohibit programmes vilifying based on “sexual preference” — indicating indirect restrictions. Broadcasting Guidelines restrict expression.</t>
        </is>
      </c>
      <c r="R44" s="2" t="inlineStr">
        <is>
          <t>https://eswatinibroadcasting.org/ ; https://ilga.org/ilga-world-maps/</t>
        </is>
      </c>
      <c r="S44" s="1" t="inlineStr">
        <is>
          <t>No national AI law or strategy identified. Eswatini participates in AU-level digital and AI initiatives.</t>
        </is>
      </c>
      <c r="T44" s="2" t="inlineStr">
        <is>
          <t>https://en.unesco.org/artificial-intelligence/observatory/policies?country=SZ ; https://au.int/en/documents/20240620/continental-strategy-artificial-intelligence-africa-2024</t>
        </is>
      </c>
      <c r="U44" s="1" t="inlineStr">
        <is>
          <t>No AI-specific DPIA regime. Data Protection Act requires certain processing notifications but not structured DPIAs.</t>
        </is>
      </c>
      <c r="V44" s="2" t="inlineStr">
        <is>
          <t>https://eswatinilii.org/sz/legislation/act/2022/5/</t>
        </is>
      </c>
      <c r="W44" s="1" t="inlineStr">
        <is>
          <t>SIM registration mandatory using national ID. National ID system includes biometrics, linking SIMs indirectly to biometric data. ID-based SIM registration; biometric ID exists, but no biometric SIM reg</t>
        </is>
      </c>
      <c r="X44" s="2" t="inlineStr">
        <is>
          <t>https://www.gsma.com/solutions-and-impact/connectivity-for-good/public-policy/mobile-policy-handbook/consumer-protection/mandatory-registration-of-prepaid-sims/</t>
        </is>
      </c>
      <c r="Y44" t="n">
        <v>2</v>
      </c>
      <c r="Z44" t="n">
        <v>1</v>
      </c>
      <c r="AA44" t="n">
        <v>2</v>
      </c>
      <c r="AB44" t="n">
        <v>1</v>
      </c>
      <c r="AC44" t="n">
        <v>1</v>
      </c>
      <c r="AD44" t="n">
        <v>1</v>
      </c>
      <c r="AE44" t="n">
        <v>0</v>
      </c>
      <c r="AF44" t="n">
        <v>0</v>
      </c>
      <c r="AG44" t="n">
        <v>0</v>
      </c>
      <c r="AH44" t="n">
        <v>2</v>
      </c>
      <c r="AI44">
        <f>SUM(Y44:AH44)</f>
        <v/>
      </c>
      <c r="AJ44">
        <f>100-(AI44*(AI44/20))</f>
        <v/>
      </c>
      <c r="AK44" s="24">
        <f>(AP44+1)-((((AI44-AN44)*AR44)/AO44)+AQ44)</f>
        <v/>
      </c>
      <c r="AL44" s="1" t="n">
        <v>59</v>
      </c>
      <c r="AM44" t="n">
        <v>18</v>
      </c>
      <c r="AN44" t="n">
        <v>7</v>
      </c>
      <c r="AO44" t="n">
        <v>11</v>
      </c>
      <c r="AP44" t="n">
        <v>16</v>
      </c>
      <c r="AQ44" t="n">
        <v>1</v>
      </c>
      <c r="AR44" t="n">
        <v>15</v>
      </c>
    </row>
    <row r="45">
      <c r="A45" s="1" t="n">
        <v>97</v>
      </c>
      <c r="B45" s="1" t="inlineStr">
        <is>
          <t>Lesotho</t>
        </is>
      </c>
      <c r="C45" s="1" t="inlineStr">
        <is>
          <t>Africa</t>
        </is>
      </c>
      <c r="D45" s="1" t="inlineStr">
        <is>
          <t>SADC</t>
        </is>
      </c>
      <c r="E45" s="1" t="inlineStr">
        <is>
          <t>Data Protection Act, 2011 (Act No. 5 of 2012) — in force; establishes the Data Protection Commission.</t>
        </is>
      </c>
      <c r="F45" s="2" t="inlineStr">
        <is>
          <t>https://lesotholii.org/akn/ls/act/2012/5/eng@2012-02-22/source.pdf ; https://unctad.org/page/data-protection-and-privacy-legislation-worldwide</t>
        </is>
      </c>
      <c r="G45" s="1" t="inlineStr">
        <is>
          <t>Data Protection Commission created by Act 2011; members may be terminated by PM, funds from Consolidated Fund, reporting obligations → limited independence.</t>
        </is>
      </c>
      <c r="H45" s="2" t="inlineStr">
        <is>
          <t>https://lesotholii.org/akn/ls/act/2012/5/eng@2012-02-22/source.pdf</t>
        </is>
      </c>
      <c r="I45" s="1" t="inlineStr">
        <is>
          <t>Children’s Protection and Welfare Act, 2011 + DPA 2011: parental consent required for processing sensitive data of children; best-interest principle embedded.</t>
        </is>
      </c>
      <c r="J45" s="2" t="inlineStr">
        <is>
          <t>https://lesotholii.org/akn/ls/act/2011/7/eng@2011-03-31/source.pdf ; https://lesotholii.org/akn/ls/act/2012/5/eng@2012-02-22/source.pdf</t>
        </is>
      </c>
      <c r="K45" s="1" t="inlineStr">
        <is>
          <t>Lesotho Communications Authority issued Child Online Protection Guidelines (2020) transposing ITU standards.</t>
        </is>
      </c>
      <c r="L45" s="2" t="inlineStr">
        <is>
          <t>https://lca.org.ls/wp-content/uploads/filr/3941/CHILD-ONLINE-PROTECTION-GUIDELINES_FINAL-2.pdf</t>
        </is>
      </c>
      <c r="M45" s="1" t="inlineStr">
        <is>
          <t>DPA 2011 classifies “sexual life” as sensitive data (s.29(b)).</t>
        </is>
      </c>
      <c r="N45" s="2" t="inlineStr">
        <is>
          <t>https://lesotholii.org/akn/ls/act/2012/5/eng@2012-02-22/source.pdf</t>
        </is>
      </c>
      <c r="O45" s="1" t="inlineStr">
        <is>
          <t>Legal status unclear: Penal Code 2010/2011 repealed, but Criminal Procedure and Evidence Act 1981 still lists “sodomy” as an arrestable offence. No anti-discrimination protections.</t>
        </is>
      </c>
      <c r="P45" s="2" t="inlineStr">
        <is>
          <t>https://lesotholii.org/akn/ls/act/2010/6/eng@2012-06-01 ; https://lesotholii.org/akn/ls/act/1981/9/eng@1999-12-31/source.pdf ; https://www.ohchr.org/en/hr-bodies/upr/ls-index</t>
        </is>
      </c>
      <c r="Q45" s="1" t="inlineStr">
        <is>
          <t>No explicit propaganda law. General indecency/obscenity provisions could be used against LGBTQ expression.</t>
        </is>
      </c>
      <c r="R45" s="2" t="inlineStr">
        <is>
          <t>https://lesotholii.org/akn/ls/act/2010/6/eng@2012-06-01</t>
        </is>
      </c>
      <c r="S45" s="1" t="inlineStr">
        <is>
          <t>Draft AI Policy under consultation (validation workshop Jan 2025; Draft Implementation Plan v0.1 published). No binding law yet.</t>
        </is>
      </c>
      <c r="T45" s="2" t="inlineStr">
        <is>
          <t>https://www.gov.ls/ai-policy-validation-workshop/ ; https://www.gov.ls/download/draft-artificial-intelligence-policy-implementation-plan-version-0-1/</t>
        </is>
      </c>
      <c r="U45" s="1" t="inlineStr">
        <is>
          <t>DPA 2011 provides rights against automated decision-making but contains no DPIA clause.</t>
        </is>
      </c>
      <c r="V45" s="2" t="inlineStr">
        <is>
          <t>https://lesotholii.org/akn/ls/act/2012/5/eng@2012-02-22/source.pdf</t>
        </is>
      </c>
      <c r="W45" s="1" t="inlineStr">
        <is>
          <t>SIM registration mandatory under 2021 Regulations (in force 2022); requires NICR ID and live fingerprint verification; central database maintained by LCA.</t>
        </is>
      </c>
      <c r="X45" s="2" t="inlineStr">
        <is>
          <t>https://archive.gazettes.africa/archive/ls/2021/ls-government-gazette-dated-2021-05-21-no-52.pdf ; https://www.lca.org.ls/sim-registration-regulations-2011-revoked-sim-registration-regulations-2021/</t>
        </is>
      </c>
      <c r="Y45" t="n">
        <v>2</v>
      </c>
      <c r="Z45" t="n">
        <v>1</v>
      </c>
      <c r="AA45" t="n">
        <v>2</v>
      </c>
      <c r="AB45" t="n">
        <v>2</v>
      </c>
      <c r="AC45" t="n">
        <v>2</v>
      </c>
      <c r="AD45" t="n">
        <v>0</v>
      </c>
      <c r="AE45" t="n">
        <v>0</v>
      </c>
      <c r="AF45" t="n">
        <v>1</v>
      </c>
      <c r="AG45" t="n">
        <v>0</v>
      </c>
      <c r="AH45" t="n">
        <v>0</v>
      </c>
      <c r="AI45">
        <f>SUM(Y45:AH45)</f>
        <v/>
      </c>
      <c r="AJ45">
        <f>100-(AI45*(AI45/20))</f>
        <v/>
      </c>
      <c r="AK45" s="24">
        <f>(AP45+1)-((((AI45-AN45)*AR45)/AO45)+AQ45)</f>
        <v/>
      </c>
      <c r="AL45" s="1" t="n">
        <v>97</v>
      </c>
      <c r="AM45" t="n">
        <v>18</v>
      </c>
      <c r="AN45" t="n">
        <v>7</v>
      </c>
      <c r="AO45" t="n">
        <v>11</v>
      </c>
      <c r="AP45" t="n">
        <v>16</v>
      </c>
      <c r="AQ45" t="n">
        <v>1</v>
      </c>
      <c r="AR45" t="n">
        <v>15</v>
      </c>
    </row>
    <row r="46">
      <c r="A46" s="1" t="n">
        <v>103</v>
      </c>
      <c r="B46" s="1" t="inlineStr">
        <is>
          <t>Madagascar</t>
        </is>
      </c>
      <c r="C46" s="1" t="inlineStr">
        <is>
          <t>Africa</t>
        </is>
      </c>
      <c r="D46" s="1" t="inlineStr">
        <is>
          <t>SADC</t>
        </is>
      </c>
      <c r="E46" s="1" t="inlineStr">
        <is>
          <t>Law No. 2014-038 on Protection of Personal Data (in force). Establishes the Commission Malgasy sur l’Informatique et des Libertés (CMIL).</t>
        </is>
      </c>
      <c r="F46" s="2" t="inlineStr">
        <is>
          <t>https://unctad.org/page/data-protection-and-privacy-legislation-worldwide ; https://afapdp.org/wp-content/uploads/2015/07/Madagascar-Law-2014-038.pdf</t>
        </is>
      </c>
      <c r="G46" s="1" t="inlineStr">
        <is>
          <t>CMIL created as an independent administrative authority under Law 2014-038.</t>
        </is>
      </c>
      <c r="H46" s="2" t="inlineStr">
        <is>
          <t>https://afapdp.org/wp-content/uploads/2015/07/Madagascar-Law-2014-038.pdf</t>
        </is>
      </c>
      <c r="I46" s="1" t="inlineStr">
        <is>
          <t>Law 2014-038 provides baseline protections; Penal Code criminalises child sexual exploitation online/offline. No standalone COP strategy.</t>
        </is>
      </c>
      <c r="J46" s="2" t="inlineStr">
        <is>
          <t>https://unctad.org/page/data-protection-and-privacy-legislation-worldwide ; https://www.unicef.org/madagascar/</t>
        </is>
      </c>
      <c r="K46" s="1" t="inlineStr">
        <is>
          <t>No standalone COP strategy. UNICEF and government initiatives target online child protection and OCSEA prevention.</t>
        </is>
      </c>
      <c r="L46" s="2" t="inlineStr">
        <is>
          <t>https://www.unicef.org/madagascar/</t>
        </is>
      </c>
      <c r="M46" s="1" t="inlineStr">
        <is>
          <t>Yes — Law 2014-038 defines sensitive data to include data concerning sex life, covering sexual orientation.</t>
        </is>
      </c>
      <c r="N46" s="2" t="inlineStr">
        <is>
          <t>https://afapdp.org/wp-content/uploads/2015/07/Madagascar-Law-2014-038.pdf</t>
        </is>
      </c>
      <c r="O46" s="1" t="inlineStr">
        <is>
          <t>Same-sex sexual activity is criminalised under Penal Code (Art. 331) (unequal age of consent, used to prosecute LGBTQ persons).</t>
        </is>
      </c>
      <c r="P46" s="2" t="inlineStr">
        <is>
          <t>https://www.humandignitytrust.org/country-profile/madagascar/ ; https://ilga.org/ilga-world-maps/</t>
        </is>
      </c>
      <c r="Q46" s="1" t="inlineStr">
        <is>
          <t>No explicit propaganda laws. Penal Code indecency/morality provisions have been used restrictively against LGBTQ persons. Indecency provisions used against LGBTQ people.</t>
        </is>
      </c>
      <c r="R46" s="2" t="inlineStr">
        <is>
          <t>https://www.humandignitytrust.org/country-profile/madagascar/</t>
        </is>
      </c>
      <c r="S46" s="1" t="inlineStr">
        <is>
          <t>No national AI policy or law identified. Government engages in AU/UNESCO AI readiness initiatives.</t>
        </is>
      </c>
      <c r="T46" s="2" t="inlineStr">
        <is>
          <t>https://en.unesco.org/artificial-intelligence/observatory/policies?country=MG ; https://au.int/en/documents/20240620/continental-strategy-artificial-intelligence-africa-2024</t>
        </is>
      </c>
      <c r="U46" s="1" t="inlineStr">
        <is>
          <t>No explicit DPIA regime; law requires authorisation for sensitive/high-risk processing.</t>
        </is>
      </c>
      <c r="V46" s="2" t="inlineStr">
        <is>
          <t>https://afapdp.org/wp-content/uploads/2015/07/Madagascar-Law-2014-038.pdf</t>
        </is>
      </c>
      <c r="W46" s="1" t="inlineStr">
        <is>
          <t>SIM registration is mandatory. National ID system is biometric, linking SIMs indirectly to biometric data.</t>
        </is>
      </c>
      <c r="X46" s="2" t="inlineStr">
        <is>
          <t>https://www.gsma.com/solutions-and-impact/connectivity-for-good/public-policy/mobile-policy-handbook/consumer-protection/mandatory-registration-of-prepaid-sims/</t>
        </is>
      </c>
      <c r="Y46" t="n">
        <v>2</v>
      </c>
      <c r="Z46" t="n">
        <v>2</v>
      </c>
      <c r="AA46" t="n">
        <v>1</v>
      </c>
      <c r="AB46" t="n">
        <v>1</v>
      </c>
      <c r="AC46" t="n">
        <v>2</v>
      </c>
      <c r="AD46" t="n">
        <v>1</v>
      </c>
      <c r="AE46" t="n">
        <v>0</v>
      </c>
      <c r="AF46" t="n">
        <v>0</v>
      </c>
      <c r="AG46" t="n">
        <v>0</v>
      </c>
      <c r="AH46" t="n">
        <v>0</v>
      </c>
      <c r="AI46">
        <f>SUM(Y46:AH46)</f>
        <v/>
      </c>
      <c r="AJ46">
        <f>100-(AI46*(AI46/20))</f>
        <v/>
      </c>
      <c r="AK46" s="24">
        <f>(AP46+1)-((((AI46-AN46)*AR46)/AO46)+AQ46)</f>
        <v/>
      </c>
      <c r="AL46" s="1" t="n">
        <v>103</v>
      </c>
      <c r="AM46" t="n">
        <v>18</v>
      </c>
      <c r="AN46" t="n">
        <v>7</v>
      </c>
      <c r="AO46" t="n">
        <v>11</v>
      </c>
      <c r="AP46" t="n">
        <v>16</v>
      </c>
      <c r="AQ46" t="n">
        <v>1</v>
      </c>
      <c r="AR46" t="n">
        <v>15</v>
      </c>
    </row>
    <row r="47">
      <c r="A47" s="1" t="n">
        <v>104</v>
      </c>
      <c r="B47" s="1" t="inlineStr">
        <is>
          <t>Malawi</t>
        </is>
      </c>
      <c r="C47" s="1" t="inlineStr">
        <is>
          <t>Africa</t>
        </is>
      </c>
      <c r="D47" s="1" t="inlineStr">
        <is>
          <t>SADC</t>
        </is>
      </c>
      <c r="E47" s="1" t="inlineStr">
        <is>
          <t>Data Protection Act, No. 3 of 2024 (assented Jan 31, 2024; commenced Feb 2, 2024) — in force.</t>
        </is>
      </c>
      <c r="F47" s="2" t="inlineStr">
        <is>
          <t>https://www.mca.ac.mw/mca-siteup/uploads/Data%20Protection%20Act%202024.pdf ; https://dpa.mw/about</t>
        </is>
      </c>
      <c r="G47" s="1" t="inlineStr">
        <is>
          <t>Malawi Communications Regulatory Authority (MACRA) designated as Data Protection Authority; Act states it acts independently (s.4).</t>
        </is>
      </c>
      <c r="H47" s="2" t="inlineStr">
        <is>
          <t>https://www.mca.ac.mw/mca-siteup/uploads/Data%20Protection%20Act%202024.pdf</t>
        </is>
      </c>
      <c r="I47" s="1" t="inlineStr">
        <is>
          <t>Processing children’s personal data requires parental consent and age checks (s.17). Broader protections via National Strategy on Child Protection 2022–2026.</t>
        </is>
      </c>
      <c r="J47" s="2" t="inlineStr">
        <is>
          <t>https://www.mca.ac.mw/mca-siteup/uploads/Data%20Protection%20Act%202024.pdf ; https://www.unicef.org/malawi/media/5066/file/National%20Strategy%20on%20Child%20Protection%202022-2026.pdf</t>
        </is>
      </c>
      <c r="K47" s="1" t="inlineStr">
        <is>
          <t>MACRA has a Child Online Protection (COP) programme, strategy developed in 2023 with ITU, and national initiative launched in Feb 2025.</t>
        </is>
      </c>
      <c r="L47" s="2" t="inlineStr">
        <is>
          <t>https://macra.mw/macra-appoints-child-online-protection-ambassador/ ; https://mvcernt.mw/macra-and-partners-launch-child-online-safety-for-all-initiative/</t>
        </is>
      </c>
      <c r="M47" s="1" t="inlineStr">
        <is>
          <t>Act defines sensitive personal data, but does not expressly list sexual orientation/gender identity.</t>
        </is>
      </c>
      <c r="N47" s="2" t="inlineStr">
        <is>
          <t>https://www.mca.ac.mw/mca-siteup/uploads/Data%20Protection%20Act%202024.pdf</t>
        </is>
      </c>
      <c r="O47" s="1" t="inlineStr">
        <is>
          <t>Same-sex conduct criminalised (Penal Code ss. 153–156, 137A). In June 2024, Constitutional Court declined to strike down these provisions.</t>
        </is>
      </c>
      <c r="P47" s="2" t="inlineStr">
        <is>
          <t>https://malawilii.org/akn/mw/act/1929/22/eng%402014-12-31 ; https://www.hrw.org/news/2024/07/11/dark-day-malawi-rights-lgbt-people ; https://upr-info.org/en/review/malawi</t>
        </is>
      </c>
      <c r="Q47" s="1" t="inlineStr">
        <is>
          <t>No propaganda law identified, but Penal Code includes broad “gross indecency” provisions and Communications Act regulates online content.</t>
        </is>
      </c>
      <c r="R47" s="2" t="inlineStr">
        <is>
          <t>https://malawilii.org/akn/mw/act/1929/22/eng%402014-12-31 ; https://malawilii.org/akn/mw/act/2016/33/eng%402017-12-31</t>
        </is>
      </c>
      <c r="S47" s="1" t="inlineStr">
        <is>
          <t>No dedicated AI law/strategy enacted. Malawi is revising its National Science, Technology and Innovation Policy (NSTIP) to integrate AI.</t>
        </is>
      </c>
      <c r="T47" s="2" t="inlineStr">
        <is>
          <t>https://scienceforafrica.foundation/sites/default/files/2025-03/Report%20the%20Malawi%20NSTIP%20National%20Stakeholder%20Consultative%20Workshop%20v2.pdf ; https://aipolicyportal.org/states/malawi</t>
        </is>
      </c>
      <c r="U47" s="1" t="inlineStr">
        <is>
          <t>Act requires Data Protection Impact Assessments where processing is likely to result in high risk, including profiling/automated processing.</t>
        </is>
      </c>
      <c r="V47" s="2" t="inlineStr">
        <is>
          <t>https://www.mca.ac.mw/mca-siteup/uploads/Data%20Protection%20Act%202024.pdf</t>
        </is>
      </c>
      <c r="W47" s="1" t="inlineStr">
        <is>
          <t>SIM registration mandatory under 2023 Regulations; requires biometric verification against National Registration Bureau database; linkage to National ID.</t>
        </is>
      </c>
      <c r="X47" s="2" t="inlineStr">
        <is>
          <t>https://macra.mw/wpfd_file/communications-sim-card-registration-regulations-2023-2/ ; https://www.maravipost.com/macra-calls-for-compliance-in-sim-card-registration/</t>
        </is>
      </c>
      <c r="Y47" t="n">
        <v>2</v>
      </c>
      <c r="Z47" t="n">
        <v>2</v>
      </c>
      <c r="AA47" t="n">
        <v>2</v>
      </c>
      <c r="AB47" t="n">
        <v>2</v>
      </c>
      <c r="AC47" t="n">
        <v>1</v>
      </c>
      <c r="AD47" t="n">
        <v>2</v>
      </c>
      <c r="AE47" t="n">
        <v>1</v>
      </c>
      <c r="AF47" t="n">
        <v>0</v>
      </c>
      <c r="AG47" t="n">
        <v>0</v>
      </c>
      <c r="AH47" t="n">
        <v>0</v>
      </c>
      <c r="AI47">
        <f>SUM(Y47:AH47)</f>
        <v/>
      </c>
      <c r="AJ47">
        <f>100-(AI47*(AI47/20))</f>
        <v/>
      </c>
      <c r="AK47" s="24">
        <f>(AP47+1)-((((AI47-AN47)*AR47)/AO47)+AQ47)</f>
        <v/>
      </c>
      <c r="AL47" s="1" t="n">
        <v>104</v>
      </c>
      <c r="AM47" t="n">
        <v>18</v>
      </c>
      <c r="AN47" t="n">
        <v>7</v>
      </c>
      <c r="AO47" t="n">
        <v>11</v>
      </c>
      <c r="AP47" t="n">
        <v>16</v>
      </c>
      <c r="AQ47" t="n">
        <v>1</v>
      </c>
      <c r="AR47" t="n">
        <v>15</v>
      </c>
    </row>
    <row r="48">
      <c r="A48" s="1" t="n">
        <v>111</v>
      </c>
      <c r="B48" s="1" t="inlineStr">
        <is>
          <t>Mauritius</t>
        </is>
      </c>
      <c r="C48" s="1" t="inlineStr">
        <is>
          <t>Africa</t>
        </is>
      </c>
      <c r="D48" s="1" t="inlineStr">
        <is>
          <t>SADC</t>
        </is>
      </c>
      <c r="E48" s="1" t="inlineStr">
        <is>
          <t>Data Protection Act 2017 (Act 20 of 2017), in force since Jan 2018. GDPR-style framework.</t>
        </is>
      </c>
      <c r="F48" s="2" t="inlineStr">
        <is>
          <t>https://dataprotection.govmu.org/Documents/DPA_2017.pdf</t>
        </is>
      </c>
      <c r="G48" s="1" t="inlineStr">
        <is>
          <t>Data Protection Office acts “with complete independence and impartiality” (s.4(2)).</t>
        </is>
      </c>
      <c r="H48" s="2" t="inlineStr">
        <is>
          <t>https://dataprotection.govmu.org/Documents/DPA_2017.pdf</t>
        </is>
      </c>
      <c r="I48" s="1" t="inlineStr">
        <is>
          <t>DPA 2017 prohibits processing data of children &lt;16 without parental consent (s.30). Children’s Act 2020 criminalises child grooming/pornography and protects privacy.</t>
        </is>
      </c>
      <c r="J48" s="2" t="inlineStr">
        <is>
          <t>https://dataprotection.govmu.org/Documents/DPA_2017.pdf ; https://www.icta.mu/documents/2023/06/The_Childrens_Act_2020.pdf</t>
        </is>
      </c>
      <c r="K48" s="1" t="inlineStr">
        <is>
          <t>CERT-MU published Child Online Protection Guide (2019). Ongoing COP actions on child online safety (2025).</t>
        </is>
      </c>
      <c r="L48" s="2" t="inlineStr">
        <is>
          <t>https://www.cert.mu.org.ge/documents/Child_Online_Protection.pdf ; https://mitci.govmu.org/mitci/?page_id=5781</t>
        </is>
      </c>
      <c r="M48" s="1" t="inlineStr">
        <is>
          <t>DPA 2017 special categories include “sexual orientation, practices or preferences.”</t>
        </is>
      </c>
      <c r="N48" s="2" t="inlineStr">
        <is>
          <t>https://dataprotection.govmu.org/Documents/DPA_2017.pdf</t>
        </is>
      </c>
      <c r="O48" s="1" t="inlineStr">
        <is>
          <t>Supreme Court decriminalised consensual same-sex intimacy in 2023 (Ah Seek v State). Equal Opportunities Act 2008 prohibits discrimination based on sexual orientation.</t>
        </is>
      </c>
      <c r="P48" s="2" t="inlineStr">
        <is>
          <t>https://www.undp.org/press-releases/supreme-court-mauritius-decriminalises-same-sex-relations ; https://attorneygeneral.govmu.org/Documents/Laws%20of%20Mauritius/A-Z%20Acts/E/Equal%20Opportunities%20Act-E3.pdf</t>
        </is>
      </c>
      <c r="Q48" s="1" t="inlineStr">
        <is>
          <t>No propaganda laws. Restrictions only via general indecency laws (ICT Act s.46).</t>
        </is>
      </c>
      <c r="R48" s="2" t="inlineStr">
        <is>
          <t>https://www.icta.mu/documents/2021/11/ict_act.pdf ; https://www.icta.mu/documents/2023/06/The_Childrens_Act_2020.pdf</t>
        </is>
      </c>
      <c r="S48" s="1" t="inlineStr">
        <is>
          <t>National Artificial Intelligence Strategy (2018) in force; government budgets (2025–2026) emphasise AI adoption; sectoral FSC guidance for AI-enabled financial services (2021).</t>
        </is>
      </c>
      <c r="T48" s="2" t="inlineStr">
        <is>
          <t>https://mitci.govmu.org/mitci/wp-content/uploads/2025/05/Mauritius-Artificial-Intelligence-Strategy-2018.pdf ; https://edbmauritius.org/newsroom/budget-2025-2026-artificial-intelligence ; https://www.fscmauritius.org/media/85170/credit-and-artificial-intelligence-enabled-advisory.pdf</t>
        </is>
      </c>
      <c r="U48" s="1" t="inlineStr">
        <is>
          <t>DPA 2017 mandates DPIAs for high-risk processing, including profiling/automated decisions (s.34).</t>
        </is>
      </c>
      <c r="V48" s="2" t="inlineStr">
        <is>
          <t>https://dataprotection.govmu.org/Documents/DPA_2017.pdf</t>
        </is>
      </c>
      <c r="W48" s="1" t="inlineStr">
        <is>
          <t>2023 SIM Regulations mandate SIM capture and ID matching. Revoked in 2025 by GN No. 2/2025; now SIMs require ID but no biometric. Historical biometric linkage means fault remains.</t>
        </is>
      </c>
      <c r="X48" s="2" t="inlineStr">
        <is>
          <t>https://www.icta.mu/acts-regulations/ ; https://www.icta.mu/wp-content/uploads/2025/01/Revocation_of_SIM_Registration_Regulations.pdf ; https://www.icta.mu/wp-content/uploads/2025/01/TD_1_of_2025.pdf</t>
        </is>
      </c>
      <c r="Y48" t="n">
        <v>2</v>
      </c>
      <c r="Z48" t="n">
        <v>2</v>
      </c>
      <c r="AA48" t="n">
        <v>2</v>
      </c>
      <c r="AB48" t="n">
        <v>2</v>
      </c>
      <c r="AC48" t="n">
        <v>2</v>
      </c>
      <c r="AD48" t="n">
        <v>2</v>
      </c>
      <c r="AE48" t="n">
        <v>2</v>
      </c>
      <c r="AF48" t="n">
        <v>2</v>
      </c>
      <c r="AG48" t="n">
        <v>2</v>
      </c>
      <c r="AH48" t="n">
        <v>0</v>
      </c>
      <c r="AI48">
        <f>SUM(Y48:AH48)</f>
        <v/>
      </c>
      <c r="AJ48">
        <f>100-(AI48*(AI48/20))</f>
        <v/>
      </c>
      <c r="AK48" s="24">
        <f>(AP48+1)-((((AI48-AN48)*AR48)/AO48)+AQ48)</f>
        <v/>
      </c>
      <c r="AL48" s="1" t="n">
        <v>111</v>
      </c>
      <c r="AM48" t="n">
        <v>18</v>
      </c>
      <c r="AN48" t="n">
        <v>7</v>
      </c>
      <c r="AO48" t="n">
        <v>11</v>
      </c>
      <c r="AP48" t="n">
        <v>16</v>
      </c>
      <c r="AQ48" t="n">
        <v>1</v>
      </c>
      <c r="AR48" t="n">
        <v>15</v>
      </c>
    </row>
    <row r="49">
      <c r="A49" s="1" t="n">
        <v>118</v>
      </c>
      <c r="B49" s="1" t="inlineStr">
        <is>
          <t>Mozambique</t>
        </is>
      </c>
      <c r="C49" s="1" t="inlineStr">
        <is>
          <t>Africa</t>
        </is>
      </c>
      <c r="D49" s="1" t="inlineStr">
        <is>
          <t>SADC</t>
        </is>
      </c>
      <c r="E49" s="1" t="inlineStr">
        <is>
          <t>No comprehensive data protection law yet. Constitution Art. 71 guarantees privacy; AU Malabo Convention ratified (2019). Draft law under preparation.</t>
        </is>
      </c>
      <c r="F49" s="2" t="inlineStr">
        <is>
          <t>https://www.minec.gov.mz/index.php/documentos/legislacao/1-constituicao-da-republica-de-mocambique/file ; https://intic.gov.mz/wp-content/uploads/2025/04/Mozambique-Data-Diagnostic-Prelim-Summary-April-2025-2.pdf</t>
        </is>
      </c>
      <c r="G49" s="1" t="inlineStr">
        <is>
          <t>No authority yet. Draft law proposes creation of an independent National Data Protection Authority (ANPD).</t>
        </is>
      </c>
      <c r="H49" s="2" t="inlineStr">
        <is>
          <t>https://intic.gov.mz/wp-content/uploads/2025/04/Mozambique-Data-Diagnostic-Prelim-Summary-April-2025-2.pdf</t>
        </is>
      </c>
      <c r="I49" s="1" t="inlineStr">
        <is>
          <t>Law No. 7/2008 on Rights of the Child: IT use in best interests of the child (Art. 52). UNICEF Disrupting Harm (2022) highlights gaps in OCSEA response.</t>
        </is>
      </c>
      <c r="J49" s="2" t="inlineStr">
        <is>
          <t>https://www.africanchildforum.org/clr/Legislation%20Per%20Country/Mozambique/mozambique_children_2008_por.pdf ; https://www.unicef.org/innocenti/innocenti/media/4116/file/DH-Mozambique-Report-2022.pdf</t>
        </is>
      </c>
      <c r="K49" s="1" t="inlineStr">
        <is>
          <t>No national COP strategy. UNICEF Disrupting Harm (2022) notes no COP programmes in place.</t>
        </is>
      </c>
      <c r="L49" s="2" t="inlineStr">
        <is>
          <t>https://www.unicef.org/innocenti/innocenti/media/4116/file/DH-Mozambique-Report-2022.pdf</t>
        </is>
      </c>
      <c r="M49" s="1" t="inlineStr">
        <is>
          <t>No general data law, but Constitution protects privacy. Prior labour law (2007) included sex life in data protection. Current framework incomplete.</t>
        </is>
      </c>
      <c r="N49" s="2" t="inlineStr">
        <is>
          <t>https://www.minec.gov.mz/index.php/documentos/legislacao/1-constituicao-da-republica-de-mocambique/file ; https://www.clr.africanchildforum.org/mozambique/mozambique_labour_2007_en.pdf</t>
        </is>
      </c>
      <c r="O49" s="1" t="inlineStr">
        <is>
          <t>Same-sex conduct decriminalised under Penal Code 2014 (Law 35/2014).</t>
        </is>
      </c>
      <c r="P49" s="2" t="inlineStr">
        <is>
          <t>https://reformar.co.mz/documentos-diversos/lei-35-2014-reforma-penal-1.pdf/view ; https://www.ohchr.org/en/documents/country-reports/ahrc41add2-visit-mozambique-report-independent-expert-protection</t>
        </is>
      </c>
      <c r="Q49" s="1" t="inlineStr">
        <is>
          <t>No provisions criminalising “promotion/propaganda.” Penal Code 2014 approved prior restrictions.</t>
        </is>
      </c>
      <c r="R49" s="2" t="inlineStr">
        <is>
          <t>https://reformar.co.mz/documentos-diversos/lei-35-2014-reforma-penal-1.pdf/view ; https://www.ohchr.org/en/hr-bodies/upr/mz-index</t>
        </is>
      </c>
      <c r="S49" s="1" t="inlineStr">
        <is>
          <t>No AI-specific law adopted. Work underway on a National Artificial Intelligence Strategy, as part of digital transformation (INTIC Data Diagnostic 2025; ITU–EU “VaMoz Digital!” project).</t>
        </is>
      </c>
      <c r="T49" s="2" t="inlineStr">
        <is>
          <t>https://intic.gov.mz/wp-content/uploads/2025/04/Mozambique-Data-Diagnostic-Prelim-Summary-April-2025-2.pdf ; https://www.itu.int/en/ITU-D/Regional-Presence/Africa/Pages/projects/2023/mozambique-vamoz-digital.aspx</t>
        </is>
      </c>
      <c r="U49" s="1" t="inlineStr">
        <is>
          <t>No DPIA regime yet. Future draft law expected to include provisions.</t>
        </is>
      </c>
      <c r="V49" s="2" t="inlineStr">
        <is>
          <t>https://intic.gov.mz/wp-content/uploads/2025/04/Mozambique-Data-Diagnostic-Prelim-Summary-April-2025-2.pdf</t>
        </is>
      </c>
      <c r="W49" s="1" t="inlineStr">
        <is>
          <t>Decree No. 13/2023 requires biometric SIM registration, with centralised back office centre and ID verification (fingerprint/face).</t>
        </is>
      </c>
      <c r="X49" s="2" t="inlineStr">
        <is>
          <t>https://www.incm.gov.mz/index.php/legislacao/legislacao-telemoveis/266-decreto-n-13-2023-regulamento-sobre-registo-dos-subscritores-dos-servicos-de-telecomunicacoes/file</t>
        </is>
      </c>
      <c r="Y49" t="n">
        <v>0</v>
      </c>
      <c r="Z49" t="n">
        <v>0</v>
      </c>
      <c r="AA49" t="n">
        <v>2</v>
      </c>
      <c r="AB49" t="n">
        <v>0</v>
      </c>
      <c r="AC49" t="n">
        <v>1</v>
      </c>
      <c r="AD49" t="n">
        <v>0</v>
      </c>
      <c r="AE49" t="n">
        <v>2</v>
      </c>
      <c r="AF49" t="n">
        <v>1</v>
      </c>
      <c r="AG49" t="n">
        <v>1</v>
      </c>
      <c r="AH49" t="n">
        <v>0</v>
      </c>
      <c r="AI49">
        <f>SUM(Y49:AH49)</f>
        <v/>
      </c>
      <c r="AJ49">
        <f>100-(AI49*(AI49/20))</f>
        <v/>
      </c>
      <c r="AK49" s="24">
        <f>(AP49+1)-((((AI49-AN49)*AR49)/AO49)+AQ49)</f>
        <v/>
      </c>
      <c r="AL49" s="1" t="n">
        <v>118</v>
      </c>
      <c r="AM49" t="n">
        <v>18</v>
      </c>
      <c r="AN49" t="n">
        <v>7</v>
      </c>
      <c r="AO49" t="n">
        <v>11</v>
      </c>
      <c r="AP49" t="n">
        <v>16</v>
      </c>
      <c r="AQ49" t="n">
        <v>1</v>
      </c>
      <c r="AR49" t="n">
        <v>15</v>
      </c>
    </row>
    <row r="50">
      <c r="A50" s="1" t="n">
        <v>120</v>
      </c>
      <c r="B50" s="1" t="inlineStr">
        <is>
          <t>Namibia</t>
        </is>
      </c>
      <c r="C50" s="1" t="inlineStr">
        <is>
          <t>Africa</t>
        </is>
      </c>
      <c r="D50" s="1" t="inlineStr">
        <is>
          <t>SADC</t>
        </is>
      </c>
      <c r="E50" s="1" t="inlineStr">
        <is>
          <t>No law yet. Draft Data Protection Bill (2022) under consultation; government to table in Sept 2025.</t>
        </is>
      </c>
      <c r="F50" s="2" t="inlineStr">
        <is>
          <t>https://digitalpolicyalert.org/event/7358-mict-opens-public-consultation-on-draft-data-protection-bill-including-establishment-of-data-protection-supervisory-authority ; https://thebrief.com.na/2025/08/namibias-data-protection-bill-to-be-tabled-in-september/</t>
        </is>
      </c>
      <c r="G50" s="1" t="inlineStr">
        <is>
          <t>No DPA exists yet. Draft Bill establishes a Supervisory Authority that is notionally independent.</t>
        </is>
      </c>
      <c r="H50" s="2" t="inlineStr">
        <is>
          <t>https://action-namibia.org/wp-content/uploads/2022/10/Data-Protection-Bill-March-2022.pdf</t>
        </is>
      </c>
      <c r="I50" s="1" t="inlineStr">
        <is>
          <t>Draft Bill: parental/guardian consent required for processing child data; best interests principle. Child Care and Protection Act 2015 prohibits disclosure of child’s identity in legal/HIV contexts.</t>
        </is>
      </c>
      <c r="J50" s="2" t="inlineStr">
        <is>
          <t>https://action-namibia.org/wp-content/uploads/2022/10/Data-Protection-Bill-March-2022.pdf ; https://namblii.org/akn/na/act/2015/3/eng@2019-11-14/source.pdf</t>
        </is>
      </c>
      <c r="K50" s="1" t="inlineStr">
        <is>
          <t>National COP Task Force established with UNICEF support; research project into online grooming (2019–2022).</t>
        </is>
      </c>
      <c r="L50" s="2" t="inlineStr">
        <is>
          <t>https://www.unicef.org/namibia/media/1641/file/An%20exploratory%20into%20the%20nature%20and%20dynamics%20of%20online%20grooming%20in%20Namibia.pdf ; https://www.itu.int/en/cop/Documents/profiles/namibia.pdf</t>
        </is>
      </c>
      <c r="M50" s="1" t="inlineStr">
        <is>
          <t>Draft Bill defines sexual orientation as a “special category” of data (with heightened safeguards).</t>
        </is>
      </c>
      <c r="N50" s="2" t="inlineStr">
        <is>
          <t>https://action-namibia.org/wp-content/uploads/2022/10/Data-Protection-Bill-March-2022.pdf</t>
        </is>
      </c>
      <c r="O50" s="1" t="inlineStr">
        <is>
          <t>Consensual same-sex intimacy decriminalised in 2024 (Supreme Court ruling). Marriage Act 2024 excludes same-sex marriages (not commenced).</t>
        </is>
      </c>
      <c r="P50" s="2" t="inlineStr">
        <is>
          <t>https://namblii.org/akn/na/judgment/naclhc/2024/33 ; https://namblii.org/akn/na/act/2024/14/eng@2024-12-30</t>
        </is>
      </c>
      <c r="Q50" s="1" t="inlineStr">
        <is>
          <t>No propaganda bans. Broadcasting Code (2018) prohibits hate speech (including on sexual orientation) but does not restrict LGBTQ expression.</t>
        </is>
      </c>
      <c r="R50" s="2" t="inlineStr">
        <is>
          <t>https://gazettes.africa/akn/na/officialGazette/government-gazette/2018-10-31/6750/eng@2018-10-31/source ; https://www.cran.na/download/broadcasting-code-for-broadcasting-licensees-6750-602-31october-2018/</t>
        </is>
      </c>
      <c r="S50" s="1" t="inlineStr">
        <is>
          <t>No AI-specific Act. Namibia joined UNESCO AI Readiness (Aug 2025) and launched National Digital Strategy 2025–2028. AI governance groundwork linked to pending Data Protection Bill.</t>
        </is>
      </c>
      <c r="T50" s="2" t="inlineStr">
        <is>
          <t>https://www.unesco.org/en/artificial-intelligence/ram/namibia ; https://www.mict.gov.na/policies/downloads ; https://thebrief.com.na/2025/08/namibias-data-protection-bill-to-be-tabled-in-september/</t>
        </is>
      </c>
      <c r="U50" s="1" t="inlineStr">
        <is>
          <t>Draft Bill requires DPIAs for high-risk processing (extensive profiling, large-scale sensitive data, public monitoring).</t>
        </is>
      </c>
      <c r="V50" s="2" t="inlineStr">
        <is>
          <t>https://action-namibia.org/wp-content/uploads/2022/10/Data-Protection-Bill-March-2022.pdf</t>
        </is>
      </c>
      <c r="W50" s="1" t="inlineStr">
        <is>
          <t>SIM registration mandatory (since 2023). Requires government photo ID and proof of address. Civil Registration and Identification Act 2024 provides for biometric ID, but not yet in force.</t>
        </is>
      </c>
      <c r="X50" s="2" t="inlineStr">
        <is>
          <t>https://namibiafactcheck.org.na/news-item/explainer-what-information-should-be-collected-during-sim-card-registration/ ; https://namblii.org/akn/na/act/2024/13/eng@2024-10-25/source.pdf</t>
        </is>
      </c>
      <c r="Y50" t="n">
        <v>0</v>
      </c>
      <c r="Z50" t="n">
        <v>1</v>
      </c>
      <c r="AA50" t="n">
        <v>2</v>
      </c>
      <c r="AB50" t="n">
        <v>2</v>
      </c>
      <c r="AC50" t="n">
        <v>2</v>
      </c>
      <c r="AD50" t="n">
        <v>2</v>
      </c>
      <c r="AE50" t="n">
        <v>2</v>
      </c>
      <c r="AF50" t="n">
        <v>1</v>
      </c>
      <c r="AG50" t="n">
        <v>1</v>
      </c>
      <c r="AH50" t="n">
        <v>2</v>
      </c>
      <c r="AI50">
        <f>SUM(Y50:AH50)</f>
        <v/>
      </c>
      <c r="AJ50">
        <f>100-(AI50*(AI50/20))</f>
        <v/>
      </c>
      <c r="AK50" s="24">
        <f>(AP50+1)-((((AI50-AN50)*AR50)/AO50)+AQ50)</f>
        <v/>
      </c>
      <c r="AL50" s="1" t="n">
        <v>120</v>
      </c>
      <c r="AM50" t="n">
        <v>18</v>
      </c>
      <c r="AN50" t="n">
        <v>7</v>
      </c>
      <c r="AO50" t="n">
        <v>11</v>
      </c>
      <c r="AP50" t="n">
        <v>16</v>
      </c>
      <c r="AQ50" t="n">
        <v>1</v>
      </c>
      <c r="AR50" t="n">
        <v>15</v>
      </c>
    </row>
    <row r="51">
      <c r="A51" s="1" t="n">
        <v>155</v>
      </c>
      <c r="B51" s="1" t="inlineStr">
        <is>
          <t>Seychelles</t>
        </is>
      </c>
      <c r="C51" s="1" t="inlineStr">
        <is>
          <t>Africa</t>
        </is>
      </c>
      <c r="D51" s="1" t="inlineStr">
        <is>
          <t>SADC</t>
        </is>
      </c>
      <c r="E51" s="1" t="inlineStr">
        <is>
          <t>Data Protection Act 2023 (Act 24 of 2023) — repealed 2003 law; commenced Dec 22, 2023.</t>
        </is>
      </c>
      <c r="F51" s="2" t="inlineStr">
        <is>
          <t>https://seylii.org/akn/sc/act/2023/24/eng%402023-12-22 ; https://globalcompliancenews.com/publications/data-protection-law-now-in-force-in-seychelles/</t>
        </is>
      </c>
      <c r="G51" s="1" t="inlineStr">
        <is>
          <t>Oversight by Information Commission, established under ATI Act 2018, independent authority.</t>
        </is>
      </c>
      <c r="H51" s="2" t="inlineStr">
        <is>
          <t>https://seylii.org/akn/sc/act/2018/4/eng%402018-07-24/source.pdf ; https://seylii.org/akn/sc/act/2023/24/eng%402023-12-22</t>
        </is>
      </c>
      <c r="I51" s="1" t="inlineStr">
        <is>
          <t>DPA 2023 s.23: special safeguards for minors. Children’s (Amendment) Act 2020 strengthened protections.</t>
        </is>
      </c>
      <c r="J51" s="2" t="inlineStr">
        <is>
          <t>https://seylii.org/akn/sc/act/2023/24/eng%402023-12-22 ; https://seylii.org/akn/sc/act/2020/18</t>
        </is>
      </c>
      <c r="K51" s="1" t="inlineStr">
        <is>
          <t>No national COP strategy, but cybersecurity strategy (2019–2020) created child protection unit, and ITU/Commonwealth initiatives in place.</t>
        </is>
      </c>
      <c r="L51" s="2" t="inlineStr">
        <is>
          <t>https://ict.gov.sc/documents/Policies/Seychelles%20National%20Cybersecurity%20Policy%202019.pdf ; https://police.gov.sc/about-us/roles-and-functions/child-protection-unit</t>
        </is>
      </c>
      <c r="M51" s="1" t="inlineStr">
        <is>
          <t>DPA 2023 defines “sensitive data” including sexual orientation/sex life.</t>
        </is>
      </c>
      <c r="N51" s="2" t="inlineStr">
        <is>
          <t>https://seylii.org/akn/sc/act/2023/24/eng%402023-12-22</t>
        </is>
      </c>
      <c r="O51" s="1" t="inlineStr">
        <is>
          <t>Same-sex relations decriminalised by Penal Code (Amendment) Act 2016. No recognition of same-sex marriage.</t>
        </is>
      </c>
      <c r="P51" s="2" t="inlineStr">
        <is>
          <t>https://seylii.org/akn/sc/act/2016/11 ; https://www.humandignitytrust.org/news/seychelles-decriminalises-consensual-same-sex-sexual-relations/</t>
        </is>
      </c>
      <c r="Q51" s="1" t="inlineStr">
        <is>
          <t>No propaganda or morality-based restrictions identified.</t>
        </is>
      </c>
      <c r="R51" s="2" t="inlineStr">
        <is>
          <t>https://seylii.org/akn/sc/act/2010/11 ; https://seylii.org/akn/sc/act/1952/1/eng%402020-06-01</t>
        </is>
      </c>
      <c r="S51" s="1" t="inlineStr">
        <is>
          <t>No dedicated AI law or strategy. Tech governance handled through Data Protection Act 2023 and digital/cyber policies.</t>
        </is>
      </c>
      <c r="T51" s="2" t="inlineStr">
        <is>
          <t>https://seylii.org/akn/sc/act/2023/24/eng%402023-12-22 ; https://ict.gov.sc/documents/Policies/Seychelles%20National%20Cybersecurity%20Policy%202019.pdf</t>
        </is>
      </c>
      <c r="U51" s="1" t="inlineStr">
        <is>
          <t>DPA 2023 requires DPIAs for processing likely to result in high risk (s.48(4)).</t>
        </is>
      </c>
      <c r="V51" s="2" t="inlineStr">
        <is>
          <t>https://seylii.org/akn/sc/act/2023/24/eng%402023-12-22</t>
        </is>
      </c>
      <c r="W51" s="1" t="inlineStr">
        <is>
          <t>SIM registration mandatory (2020–2021) using national ID. No biometric capture required; SeyID (digital ID) includes biometrics but not used for SIM.</t>
        </is>
      </c>
      <c r="X51" s="2" t="inlineStr">
        <is>
          <t>https://www.nation.sc/articles/7243/stricter-sim-card-registration-to-curb-criminality ; https://www.ics.gov.sc/civil-status/national-identity-card</t>
        </is>
      </c>
      <c r="Y51" t="n">
        <v>2</v>
      </c>
      <c r="Z51" t="n">
        <v>2</v>
      </c>
      <c r="AA51" t="n">
        <v>2</v>
      </c>
      <c r="AB51" t="n">
        <v>1</v>
      </c>
      <c r="AC51" t="n">
        <v>2</v>
      </c>
      <c r="AD51" t="n">
        <v>2</v>
      </c>
      <c r="AE51" t="n">
        <v>2</v>
      </c>
      <c r="AF51" t="n">
        <v>0</v>
      </c>
      <c r="AG51" t="n">
        <v>1</v>
      </c>
      <c r="AH51" t="n">
        <v>2</v>
      </c>
      <c r="AI51">
        <f>SUM(Y51:AH51)</f>
        <v/>
      </c>
      <c r="AJ51">
        <f>100-(AI51*(AI51/20))</f>
        <v/>
      </c>
      <c r="AK51" s="24">
        <f>(AP51+1)-((((AI51-AN51)*AR51)/AO51)+AQ51)</f>
        <v/>
      </c>
      <c r="AL51" s="1" t="n">
        <v>155</v>
      </c>
      <c r="AM51" t="n">
        <v>18</v>
      </c>
      <c r="AN51" t="n">
        <v>7</v>
      </c>
      <c r="AO51" t="n">
        <v>11</v>
      </c>
      <c r="AP51" t="n">
        <v>16</v>
      </c>
      <c r="AQ51" t="n">
        <v>1</v>
      </c>
      <c r="AR51" t="n">
        <v>15</v>
      </c>
    </row>
    <row r="52">
      <c r="A52" s="1" t="n">
        <v>162</v>
      </c>
      <c r="B52" s="1" t="inlineStr">
        <is>
          <t>South Africa</t>
        </is>
      </c>
      <c r="C52" s="1" t="inlineStr">
        <is>
          <t>Africa</t>
        </is>
      </c>
      <c r="D52" s="1" t="inlineStr">
        <is>
          <t>SADC</t>
        </is>
      </c>
      <c r="E52" s="1" t="inlineStr">
        <is>
          <t>Protection of Personal Information Act (POPIA), 2013 — in force.</t>
        </is>
      </c>
      <c r="F52" s="2" t="inlineStr">
        <is>
          <t>https://lawlibrary.org.za/akn/za/act/2013/4/eng</t>
        </is>
      </c>
      <c r="G52" s="1" t="inlineStr">
        <is>
          <t>Information Regulator established under POPIA; independent, impartial, accountable to Parliament (s.39).</t>
        </is>
      </c>
      <c r="H52" s="2" t="inlineStr">
        <is>
          <t>https://lawlibrary.org.za/akn/za/act/2013/4/eng%402013-11-26/provision/chp_5_part_A_sec_39 ; https://inforegulator.org.za/about/</t>
        </is>
      </c>
      <c r="I52" s="1" t="inlineStr">
        <is>
          <t>POPIA prohibits processing children’s personal data unless narrow exceptions apply (ss.34–35).</t>
        </is>
      </c>
      <c r="J52" s="2" t="inlineStr">
        <is>
          <t>https://lawlibrary.org.za/akn/za/act/2013/4/eng%402013-11-26/provision/chp_3_part_B_sec_34</t>
        </is>
      </c>
      <c r="K52" s="1" t="inlineStr">
        <is>
          <t>National Child Protection (COP) programmes in place. POPIA + Films and Publications and Digital Technologies; supported by Films and Publications Amendment Act 2019 and Cybercrimes Act 2020.</t>
        </is>
      </c>
      <c r="L52" s="2" t="inlineStr">
        <is>
          <t>https://www.ddct.gov.za/sa-national-ai-policy-framework-file/338-sa-national-ai-policy-framework.html ; https://www.gov.za/documents/films-and-publications-amendment-act-11-2019-0 ; https://www.justice.gov.za/legislation/acts/2020-019.pdf</t>
        </is>
      </c>
      <c r="M52" s="1" t="inlineStr">
        <is>
          <t>POPIA defines “special personal information” including sexual orientation and sex life.</t>
        </is>
      </c>
      <c r="N52" s="2" t="inlineStr">
        <is>
          <t>https://lawlibrary.org.za/akn/za/act/2013/4/eng%402013-11-26/provision/chp_3_part_A_sec_26</t>
        </is>
      </c>
      <c r="O52" s="1" t="inlineStr">
        <is>
          <t>Constitutional equality clause (s.9) prohibits discrimination on sexual orientation. Civil Union Act 2006 allows same-sex marriage.</t>
        </is>
      </c>
      <c r="P52" s="2" t="inlineStr">
        <is>
          <t>https://www.concourt.org.za/images/phocadownload/tet_english-2003.pdf ; https://lawlibrary.org.za/akn/za/act/2006/17/eng%402006-11-30/source</t>
        </is>
      </c>
      <c r="Q52" s="1" t="inlineStr">
        <is>
          <t>No propaganda bans or morality policing restricting LGBTQ expression.</t>
        </is>
      </c>
      <c r="R52" s="2" t="inlineStr">
        <is>
          <t>https://www.gov.za/documents/promotion-equality-and-prevention-unfair-discrimination-act ; https://www.sahrc.org.za/home/21/files/Hate%20Speech%20Information%20Sheet-%20print%20ready-.pdf</t>
        </is>
      </c>
      <c r="S52" s="1" t="inlineStr">
        <is>
          <t>National AI Policy Framework published (Oct 2024) for consultation. AI Institute of South Africa launched Nov 2022 (UJ/TUT hubs). No binding AI Act.</t>
        </is>
      </c>
      <c r="T52" s="2" t="inlineStr">
        <is>
          <t>https://www.ddct.gov.za/sa-national-ai-policy-framework-file/338-sa-national-ai-policy-framework.html ; https://www.gov.za/news/media-advisories/minister-khumbudzo-ntshavheni-launches-artificial ; https://www.ddct.gov.za/minister-s-speeches/534-south-africa-s-digital-transformation-infrastructure-roadmap.html</t>
        </is>
      </c>
      <c r="U52" s="1" t="inlineStr">
        <is>
          <t>POPIA Regulations (2018) require information officers to perform DPIAs. Regulator may require prior authorisation for high-risk processing (s.57).</t>
        </is>
      </c>
      <c r="V52" s="2" t="inlineStr">
        <is>
          <t>https://www.gov.za/sites/default/files/gcis_document/201805/41726gon1383.pdf ; https://inforegulator.org.za/wp-content/uploads/2021/06/Guidance-Note-on-Applications-for-Prior-Authorization-Section-57-and-58.pdf</t>
        </is>
      </c>
      <c r="W52" s="1" t="inlineStr">
        <is>
          <t>SIM registration mandated by RICA 2002. Requires ID and proof of address, but no biometric requirement (biometric proposals not enacted).</t>
        </is>
      </c>
      <c r="X52" s="2" t="inlineStr">
        <is>
          <t>https://www.gov.za/documents/regulation-interception-communications-and-provision-communication-related-information-act ; https://www.icasa.org.za/uploads/files/Gen-900-of-2022-Numbering-Plan-Regs-Amendments-Draft.pdf</t>
        </is>
      </c>
      <c r="Y52" t="n">
        <v>2</v>
      </c>
      <c r="Z52" t="n">
        <v>2</v>
      </c>
      <c r="AA52" t="n">
        <v>2</v>
      </c>
      <c r="AB52" t="n">
        <v>2</v>
      </c>
      <c r="AC52" t="n">
        <v>2</v>
      </c>
      <c r="AD52" t="n">
        <v>1</v>
      </c>
      <c r="AE52" t="n">
        <v>2</v>
      </c>
      <c r="AF52" t="n">
        <v>1</v>
      </c>
      <c r="AG52" t="n">
        <v>2</v>
      </c>
      <c r="AH52" t="n">
        <v>2</v>
      </c>
      <c r="AI52">
        <f>SUM(Y52:AH52)</f>
        <v/>
      </c>
      <c r="AJ52">
        <f>100-(AI52*(AI52/20))</f>
        <v/>
      </c>
      <c r="AK52" s="24">
        <f>(AP52+1)-((((AI52-AN52)*AR52)/AO52)+AQ52)</f>
        <v/>
      </c>
      <c r="AL52" s="1" t="n">
        <v>162</v>
      </c>
      <c r="AM52" t="n">
        <v>18</v>
      </c>
      <c r="AN52" t="n">
        <v>7</v>
      </c>
      <c r="AO52" t="n">
        <v>11</v>
      </c>
      <c r="AP52" t="n">
        <v>16</v>
      </c>
      <c r="AQ52" t="n">
        <v>1</v>
      </c>
      <c r="AR52" t="n">
        <v>15</v>
      </c>
    </row>
    <row r="53">
      <c r="A53" s="1" t="n">
        <v>173</v>
      </c>
      <c r="B53" s="1" t="inlineStr">
        <is>
          <t>Tanzania</t>
        </is>
      </c>
      <c r="C53" s="1" t="inlineStr">
        <is>
          <t>Africa</t>
        </is>
      </c>
      <c r="D53" s="1" t="inlineStr">
        <is>
          <t>SADC</t>
        </is>
      </c>
      <c r="E53" s="1" t="inlineStr">
        <is>
          <t>Personal Data Protection Act 2022 (Act 11/2022) in force; operationalised by 2023 Regulations. Establishes the Personal Data Protection Commission (PDPC).</t>
        </is>
      </c>
      <c r="F53" s="2" t="inlineStr">
        <is>
          <t>https://elibrary.osg.go.tz/items/7fab6bda-5f8b-4923-a4aa-981c98c15806 ; https://tanzlii.org/akn/tz/act/gn/2023/449c/eng%402023-07-04</t>
        </is>
      </c>
      <c r="G53" s="1" t="inlineStr">
        <is>
          <t>PDPC established with legal personality, but appointment/budget controlled by President/Minister → limited independence.</t>
        </is>
      </c>
      <c r="H53" s="2" t="inlineStr">
        <is>
          <t>https://elibrary.osg.go.tz/items/7fab6bda-5f8b-4923-a4aa-981c98c15806</t>
        </is>
      </c>
      <c r="I53" s="1" t="inlineStr">
        <is>
          <t>PDPA 2022 defines sensitive data to include children’s data; requires DPIAs for processing involving children or vulnerable groups.</t>
        </is>
      </c>
      <c r="J53" s="2" t="inlineStr">
        <is>
          <t>https://www.mawasiliano.go.tz/uploads/documents/sw-1691159153-GN%20NO.%20449C%20OF%202023.pdf ; https://tanzlii.org/akn/tz/act/2009/21/eng%402019-12-31</t>
        </is>
      </c>
      <c r="K53" s="1" t="inlineStr">
        <is>
          <t>No stand-alone COP strategy. TCRA runs COP programme and reporting support; included in national plans on ending violence against children.</t>
        </is>
      </c>
      <c r="L53" s="2" t="inlineStr">
        <is>
          <t>https://tcra.go.tz/pages/child-online-protection-cop ; https://www.itu.int/en/cop/Documents/tanzania/what-we-do-child-protection</t>
        </is>
      </c>
      <c r="M53" s="1" t="inlineStr">
        <is>
          <t>PDPA defines sensitive data to include “gender” and “sex life,” capturing SOGI attributes.</t>
        </is>
      </c>
      <c r="N53" s="2" t="inlineStr">
        <is>
          <t>https://elibrary.osg.go.tz/items/7fab6bda-5f8b-4923-a4aa-981c98c15806</t>
        </is>
      </c>
      <c r="O53" s="1" t="inlineStr">
        <is>
          <t>Same-sex conduct criminalised under Penal Code (Mainland) and Penal Decree 2004 (Zanzibar).</t>
        </is>
      </c>
      <c r="P53" s="2" t="inlineStr">
        <is>
          <t>https://tanzlii.org/akn/tz/act/gn/2002/na-1/eng%402002-06-15 ; http://www.zanzibarassembly.go.tz/uploads/acts/2018_1535622805.pdf</t>
        </is>
      </c>
      <c r="Q53" s="1" t="inlineStr">
        <is>
          <t>No propaganda law. But Online Content Regulations (2020/2022) allow takedown of “obscene/indecent” content, used to restrict LGBTQ expression.</t>
        </is>
      </c>
      <c r="R53" s="2" t="inlineStr">
        <is>
          <t>https://www.tcra.go.tz/documents/regulations</t>
        </is>
      </c>
      <c r="S53" s="1" t="inlineStr">
        <is>
          <t>No binding AI Act. In 2025, Ministry of Education issued “Guidelines for the Use of Generative AI in Education.” Draft National AI Strategy under preparation with UNESCO/AU support.</t>
        </is>
      </c>
      <c r="T53" s="2" t="inlineStr">
        <is>
          <t>https://www.education.go.tz/uploads/publications/en-1734439976-Guidelines%20for%20the%20Use%20of%20Generative%20AI%20in%20the%20Education%20Sector%202025-2028.pdf ; https://tanzania.un.org/sites/default/files/2025-07/National%20AI%20Readiness%20Report.pdf</t>
        </is>
      </c>
      <c r="U53" s="1" t="inlineStr">
        <is>
          <t>2023 Regulations require DPIAs for automated decision-making, profiling, biometric/genetic data, and child data.</t>
        </is>
      </c>
      <c r="V53" s="2" t="inlineStr">
        <is>
          <t>https://www.mawasiliano.go.tz/uploads/documents/sw-1691159153-GN%20NO.%20449C%20OF%202023.pdf</t>
        </is>
      </c>
      <c r="W53" s="1" t="inlineStr">
        <is>
          <t>SIM registration mandatory under 2020 Regulations. Anchored to National ID (NIN) with biometric fingerprint verification.</t>
        </is>
      </c>
      <c r="X53" s="2" t="inlineStr">
        <is>
          <t>https://tanzlii.org/akn/tz/act/gn/2020/112/eng%402020-02-07 ; https://tcra.go.tz/uploads/documents/sw-1619088062-The%20Electronic%20and%20Postal%20Communications%20%28SIM%20Card%20Registration%29%20Regulations%202020.pdf</t>
        </is>
      </c>
      <c r="Y53" t="n">
        <v>2</v>
      </c>
      <c r="Z53" t="n">
        <v>1</v>
      </c>
      <c r="AA53" t="n">
        <v>2</v>
      </c>
      <c r="AB53" t="n">
        <v>1</v>
      </c>
      <c r="AC53" t="n">
        <v>2</v>
      </c>
      <c r="AD53" t="n">
        <v>2</v>
      </c>
      <c r="AE53" t="n">
        <v>0</v>
      </c>
      <c r="AF53" t="n">
        <v>1</v>
      </c>
      <c r="AG53" t="n">
        <v>0</v>
      </c>
      <c r="AH53" t="n">
        <v>0</v>
      </c>
      <c r="AI53">
        <f>SUM(Y53:AH53)</f>
        <v/>
      </c>
      <c r="AJ53">
        <f>100-(AI53*(AI53/20))</f>
        <v/>
      </c>
      <c r="AK53" s="24">
        <f>(AP53+1)-((((AI53-AN53)*AR53)/AO53)+AQ53)</f>
        <v/>
      </c>
      <c r="AL53" s="1" t="n">
        <v>173</v>
      </c>
      <c r="AM53" t="n">
        <v>18</v>
      </c>
      <c r="AN53" t="n">
        <v>7</v>
      </c>
      <c r="AO53" t="n">
        <v>11</v>
      </c>
      <c r="AP53" t="n">
        <v>16</v>
      </c>
      <c r="AQ53" t="n">
        <v>1</v>
      </c>
      <c r="AR53" t="n">
        <v>15</v>
      </c>
    </row>
    <row r="54">
      <c r="A54" s="1" t="n">
        <v>194</v>
      </c>
      <c r="B54" s="1" t="inlineStr">
        <is>
          <t>Zambia</t>
        </is>
      </c>
      <c r="C54" s="1" t="inlineStr">
        <is>
          <t>Africa</t>
        </is>
      </c>
      <c r="D54" s="1" t="inlineStr">
        <is>
          <t>SADC</t>
        </is>
      </c>
      <c r="E54" s="1" t="inlineStr">
        <is>
          <t>Data Protection Act No. 3 of 2021, in force. Establishes the Office of the Data Protection Commissioner.</t>
        </is>
      </c>
      <c r="F54" s="2" t="inlineStr">
        <is>
          <t>https://zambialii.org/zm/legislation/act/2021/3/ ; https://unctad.org/page/data-protection-and-privacy-legislation-worldwide</t>
        </is>
      </c>
      <c r="G54" s="1" t="inlineStr">
        <is>
          <t>Office of the Data Protection Commissioner established as independent authority, though appointments made by President.</t>
        </is>
      </c>
      <c r="H54" s="2" t="inlineStr">
        <is>
          <t>https://zambialii.org/zm/legislation/act/2021/3/</t>
        </is>
      </c>
      <c r="I54" s="1" t="inlineStr">
        <is>
          <t>Data Protection Act 2021 includes children’s data as sensitive (s.2, s.6). ICT Policy (2023) recognises child online safety.</t>
        </is>
      </c>
      <c r="J54" s="2" t="inlineStr">
        <is>
          <t>https://zambialii.org/zm/legislation/act/2021/3/ ; https://www.smartzambia.gov.zm/download/national-digital-transformation-strategy-2023-2027/</t>
        </is>
      </c>
      <c r="K54" s="1" t="inlineStr">
        <is>
          <t>No standalone COP strategy. Digital Transformation Strategy 2023–2027 references online child safety.</t>
        </is>
      </c>
      <c r="L54" s="2" t="inlineStr">
        <is>
          <t>https://www.smartzambia.gov.zm/download/national-digital-transformation-strategy-2023-2027/</t>
        </is>
      </c>
      <c r="M54" s="1" t="inlineStr">
        <is>
          <t>Act defines “sensitive personal data” to include sex life (s.2), covering sexual orientation.</t>
        </is>
      </c>
      <c r="N54" s="2" t="inlineStr">
        <is>
          <t>https://zambialii.org/zm/legislation/act/2021/3/</t>
        </is>
      </c>
      <c r="O54" s="1" t="inlineStr">
        <is>
          <t>Same-sex conduct criminalised under Penal Code (ss.155–158). No anti-discrimination protections.</t>
        </is>
      </c>
      <c r="P54" s="2" t="inlineStr">
        <is>
          <t>https://www.humandignitytrust.org/country-profile/zambia/ ; https://ilga.org/ilga-world-maps/</t>
        </is>
      </c>
      <c r="Q54" s="1" t="inlineStr">
        <is>
          <t>No explicit propaganda bans, but Penal Code morality/indecency provisions restrict LGBTQ expression.</t>
        </is>
      </c>
      <c r="R54" s="2" t="inlineStr">
        <is>
          <t>https://www.humandignitytrust.org/country-profile/zambia/</t>
        </is>
      </c>
      <c r="S54" s="1" t="inlineStr">
        <is>
          <t>No AI-specific law. National Digital Transformation Strategy 2023–2027 references AI. Zambia also endorsed the AU Continental AI Strategy (2024).</t>
        </is>
      </c>
      <c r="T54" s="2" t="inlineStr">
        <is>
          <t>https://www.smartzambia.gov.zm/download/national-digital-transformation-strategy-2023-2027/ ; https://au.int/en/documents/20240620/continental-strategy-artificial-intelligence-africa-2024</t>
        </is>
      </c>
      <c r="U54" s="1" t="inlineStr">
        <is>
          <t>Act requires DPIAs for high-risk processing, including profiling and automated decisions.</t>
        </is>
      </c>
      <c r="V54" s="2" t="inlineStr">
        <is>
          <t>https://zambialii.org/zm/legislation/act/2021/3/</t>
        </is>
      </c>
      <c r="W54" s="1" t="inlineStr">
        <is>
          <t>SIM registration mandatory since 2012; updated directives (2019) require biometric capture (fingerprint/photo) for SIM activation.</t>
        </is>
      </c>
      <c r="X54" s="2" t="inlineStr">
        <is>
          <t>https://www.zicta.zm/storage/posts/attachments/vm2jMl0bxTm9K0F2jB0uCzY0g1nB1RCsbi2a.pdf ; https://www.gsma.com/solutions-and-impact/connectivity-for-good/public-policy/mobile-policy-handbook/consumer-protection/mandatory-registration-of-prepaid-sims/</t>
        </is>
      </c>
      <c r="Y54" t="n">
        <v>2</v>
      </c>
      <c r="Z54" t="n">
        <v>1</v>
      </c>
      <c r="AA54" t="n">
        <v>2</v>
      </c>
      <c r="AB54" t="n">
        <v>1</v>
      </c>
      <c r="AC54" t="n">
        <v>2</v>
      </c>
      <c r="AD54" t="n">
        <v>2</v>
      </c>
      <c r="AE54" t="n">
        <v>0</v>
      </c>
      <c r="AF54" t="n">
        <v>1</v>
      </c>
      <c r="AG54" t="n">
        <v>0</v>
      </c>
      <c r="AH54" t="n">
        <v>0</v>
      </c>
      <c r="AI54">
        <f>SUM(Y54:AH54)</f>
        <v/>
      </c>
      <c r="AJ54">
        <f>100-(AI54*(AI54/20))</f>
        <v/>
      </c>
      <c r="AK54" s="24">
        <f>(AP54+1)-((((AI54-AN54)*AR54)/AO54)+AQ54)</f>
        <v/>
      </c>
      <c r="AL54" s="1" t="n">
        <v>194</v>
      </c>
      <c r="AM54" t="n">
        <v>18</v>
      </c>
      <c r="AN54" t="n">
        <v>7</v>
      </c>
      <c r="AO54" t="n">
        <v>11</v>
      </c>
      <c r="AP54" t="n">
        <v>16</v>
      </c>
      <c r="AQ54" t="n">
        <v>1</v>
      </c>
      <c r="AR54" t="n">
        <v>15</v>
      </c>
    </row>
    <row r="55">
      <c r="A55" s="1" t="n">
        <v>195</v>
      </c>
      <c r="B55" s="1" t="inlineStr">
        <is>
          <t>Zimbabwe</t>
        </is>
      </c>
      <c r="C55" s="1" t="inlineStr">
        <is>
          <t>Africa</t>
        </is>
      </c>
      <c r="D55" s="1" t="inlineStr">
        <is>
          <t>SADC</t>
        </is>
      </c>
      <c r="E55" s="1" t="inlineStr">
        <is>
          <t>Cybersecurity and Data Protection Act, 2021 (Act 5/2021) — in force, GDPR-inspired. Creates Cybersecurity and Monitoring Centre and Data Protection Authority.</t>
        </is>
      </c>
      <c r="F55" s="2" t="inlineStr">
        <is>
          <t>https://www.veritaszim.net/node/5577 ; https://unctad.org/page/data-protection-and-privacy-legislation-worldwide</t>
        </is>
      </c>
      <c r="G55" s="1" t="inlineStr">
        <is>
          <t>Data Protection Authority located within POTRAZ (telecom regulator), limiting independence.</t>
        </is>
      </c>
      <c r="H55" s="2" t="inlineStr">
        <is>
          <t>https://www.veritaszim.net/node/5577</t>
        </is>
      </c>
      <c r="I55" s="1" t="inlineStr">
        <is>
          <t>2021 Act defines “child” as under 18, requires parental consent for processing minors’ data. Child Protection and Welfare Act 2022 strengthens safeguards.</t>
        </is>
      </c>
      <c r="J55" s="2" t="inlineStr">
        <is>
          <t>https://www.veritaszim.net/node/5577 ; https://www.veritaszim.net/node/6289</t>
        </is>
      </c>
      <c r="K55" s="1" t="inlineStr">
        <is>
          <t>No stand-alone COP strategy. 2023 Child Online Protection Framework developed by Ministry of ICT and Cyber Security.</t>
        </is>
      </c>
      <c r="L55" s="2" t="inlineStr">
        <is>
          <t>https://www.postzim.co.zw/2023/10/child-online-protection-framework-launched/ ; https://www.veritaszim.net/node/6289</t>
        </is>
      </c>
      <c r="M55" s="1" t="inlineStr">
        <is>
          <t>2021 Act defines “sensitive data” including sex life, covering sexual orientation.</t>
        </is>
      </c>
      <c r="N55" s="2" t="inlineStr">
        <is>
          <t>https://www.veritaszim.net/node/5577</t>
        </is>
      </c>
      <c r="O55" s="1" t="inlineStr">
        <is>
          <t>Same-sex conduct criminalised under Criminal Law (Codification and Reform) Act (ss.73). No protections against SOGI discrimination.</t>
        </is>
      </c>
      <c r="P55" s="2" t="inlineStr">
        <is>
          <t>https://www.humandignitytrust.org/country-profile/zimbabwe/ ; https://ilga.org/ilga-world-maps/</t>
        </is>
      </c>
      <c r="Q55" s="1" t="inlineStr">
        <is>
          <t>No propaganda laws, but broad morality/indecency provisions in Criminal Law Act enable restrictions against LGBTQ expression.</t>
        </is>
      </c>
      <c r="R55" s="2" t="inlineStr">
        <is>
          <t>https://www.humandignitytrust.org/country-profile/zimbabwe/</t>
        </is>
      </c>
      <c r="S55" s="1" t="inlineStr">
        <is>
          <t>No binding AI Act. Government references AI in National ICT Policy (2016, updated 2020) and Digital Economy Blueprint (2020). Draft AI/Big Data strategy under preparation (2024–2025).</t>
        </is>
      </c>
      <c r="T55" s="2" t="inlineStr">
        <is>
          <t>https://aipolicyportal.org/states/zimbabwe ; https://www.techzim.co.zw/2024/06/zimbabwes-ministry-of-ict-drafting-ai-and-big-data-strategy/</t>
        </is>
      </c>
      <c r="U55" s="1" t="inlineStr">
        <is>
          <t>2021 Act requires Data Protection Impact Assessments for high-risk processing (sensitive data, profiling, cross-border transfers).</t>
        </is>
      </c>
      <c r="V55" s="2" t="inlineStr">
        <is>
          <t>https://www.veritaszim.net/node/5577</t>
        </is>
      </c>
      <c r="W55" s="1" t="inlineStr">
        <is>
          <t>SIM registration mandatory since 2011 (Regulations SI 95/2014). Requires ID; biometric SIM registration introduced in 2022 directive (face/photo capture).</t>
        </is>
      </c>
      <c r="X55" s="2" t="inlineStr">
        <is>
          <t>https://www.techzim.co.zw/2022/03/potraz-now-requiring-biometric-registration-for-sim-cards/ ; https://www.gsma.com/solutions-and-impact/connectivity-for-good/public-policy/mobile-policy-handbook/consumer-protection/mandatory-registration-of-prepaid-sims/</t>
        </is>
      </c>
      <c r="Y55" t="n">
        <v>2</v>
      </c>
      <c r="Z55" t="n">
        <v>1</v>
      </c>
      <c r="AA55" t="n">
        <v>2</v>
      </c>
      <c r="AB55" t="n">
        <v>2</v>
      </c>
      <c r="AC55" t="n">
        <v>2</v>
      </c>
      <c r="AD55" t="n">
        <v>2</v>
      </c>
      <c r="AE55" t="n">
        <v>0</v>
      </c>
      <c r="AF55" t="n">
        <v>1</v>
      </c>
      <c r="AG55" t="n">
        <v>0</v>
      </c>
      <c r="AH55" t="n">
        <v>0</v>
      </c>
      <c r="AI55">
        <f>SUM(Y55:AH55)</f>
        <v/>
      </c>
      <c r="AJ55">
        <f>100-(AI55*(AI55/20))</f>
        <v/>
      </c>
      <c r="AK55" s="24">
        <f>(AP55+1)-((((AI55-AN55)*AR55)/AO55)+AQ55)</f>
        <v/>
      </c>
      <c r="AL55" s="1" t="n">
        <v>195</v>
      </c>
      <c r="AM55" t="n">
        <v>18</v>
      </c>
      <c r="AN55" t="n">
        <v>7</v>
      </c>
      <c r="AO55" t="n">
        <v>11</v>
      </c>
      <c r="AP55" t="n">
        <v>16</v>
      </c>
      <c r="AQ55" t="n">
        <v>1</v>
      </c>
      <c r="AR55" t="n">
        <v>15</v>
      </c>
    </row>
    <row r="56">
      <c r="A56" t="n">
        <v>22</v>
      </c>
      <c r="B56" t="inlineStr">
        <is>
          <t>Bolivia (Plurinational State of)</t>
        </is>
      </c>
      <c r="C56" t="inlineStr">
        <is>
          <t>Americas</t>
        </is>
      </c>
      <c r="D56" t="inlineStr">
        <is>
          <t>Andean Community</t>
        </is>
      </c>
      <c r="E56" t="inlineStr">
        <is>
          <t>Draft (Personal Data Protection Bill 2021; not yet enacted)</t>
        </is>
      </c>
      <c r="F56" s="50" t="inlineStr">
        <is>
          <t>https://unctad.org/page/data-protection-and-privacy-legislation-worldwide</t>
        </is>
      </c>
      <c r="G56" t="inlineStr">
        <is>
          <t>Weak (no operational DPA)</t>
        </is>
      </c>
      <c r="H56" s="50" t="inlineStr">
        <is>
          <t>https://unctad.org/page/data-protection-and-privacy-legislation-worldwide</t>
        </is>
      </c>
      <c r="I56" t="inlineStr">
        <is>
          <t>Partial (Child Code; no COP strategy)</t>
        </is>
      </c>
      <c r="J56" s="50" t="inlineStr">
        <is>
          <t>https://unctad.org/page/data-protection-and-privacy-legislation-worldwide; https://www.unicef.org/bolivia-plurinational-state-of/</t>
        </is>
      </c>
      <c r="K56" t="inlineStr">
        <is>
          <t>No</t>
        </is>
      </c>
      <c r="L56" s="50" t="inlineStr">
        <is>
          <t>https://www.unicef.org/bolivia-plurinational-state-of/</t>
        </is>
      </c>
      <c r="M56" t="inlineStr">
        <is>
          <t>No</t>
        </is>
      </c>
      <c r="N56" s="50" t="inlineStr">
        <is>
          <t>https://unctad.org/page/data-protection-and-privacy-legislation-worldwide</t>
        </is>
      </c>
      <c r="O56" t="inlineStr">
        <is>
          <t>Legal (same-sex sexual acts legal; no recognition of unions)</t>
        </is>
      </c>
      <c r="P56" s="50" t="inlineStr">
        <is>
          <t>https://www.humandignitytrust.org/country-profile/bolivia-plurinational-state-of/; https://ilga.org/ilga-world-maps/</t>
        </is>
      </c>
      <c r="Q56" t="inlineStr">
        <is>
          <t>No/Annulled</t>
        </is>
      </c>
      <c r="R56" s="50" t="inlineStr">
        <is>
          <t>https://ilga.org/ilga-world-maps/</t>
        </is>
      </c>
      <c r="S56" t="inlineStr">
        <is>
          <t>Draft/Early (AI mentioned in national digital economy agendas; no standalone strategy)</t>
        </is>
      </c>
      <c r="T56" s="50" t="inlineStr">
        <is>
          <t>https://www.unesco.org/ethics-ai/en/global-hub</t>
        </is>
      </c>
      <c r="U56" t="inlineStr">
        <is>
          <t>No</t>
        </is>
      </c>
      <c r="V56" s="50" t="inlineStr">
        <is>
          <t>https://unctad.org/page/data-protection-and-privacy-legislation-worldwide</t>
        </is>
      </c>
      <c r="W56" t="inlineStr">
        <is>
          <t>Yes (biometric SIM registration required)</t>
        </is>
      </c>
      <c r="X56" s="50" t="inlineStr">
        <is>
          <t>https://www.gsma.com/solutions-and-impact/connectivity-for-good/public-policy/mobile-policy-handbook/consumer-protection/mandatory-registration-of-prepaid-sims/; https://privacyinternational.org/learn/sim-card-registration</t>
        </is>
      </c>
      <c r="AI56">
        <f>SUM(Y56:AH56)</f>
        <v/>
      </c>
      <c r="AJ56">
        <f>100-(AI56*(AI56/20))</f>
        <v/>
      </c>
      <c r="AK56" s="24">
        <f>100-(AJ56*(AJ56/MAX(AJ49:AJ56)))</f>
        <v/>
      </c>
      <c r="AL56" t="n">
        <v>22</v>
      </c>
    </row>
    <row r="57">
      <c r="A57" t="n">
        <v>53</v>
      </c>
      <c r="B57" t="inlineStr">
        <is>
          <t>Ecuador</t>
        </is>
      </c>
      <c r="C57" t="inlineStr">
        <is>
          <t>Americas</t>
        </is>
      </c>
      <c r="D57" t="inlineStr">
        <is>
          <t>Andean Community</t>
        </is>
      </c>
      <c r="E57" t="inlineStr">
        <is>
          <t>In force (Organic Law on Protection of Personal Data, 2021)</t>
        </is>
      </c>
      <c r="F57" s="50" t="inlineStr">
        <is>
          <t>https://unctad.org/page/data-protection-and-privacy-legislation-worldwide</t>
        </is>
      </c>
      <c r="G57" t="inlineStr">
        <is>
          <t>Strong/Independent (Superintendence established)</t>
        </is>
      </c>
      <c r="H57" s="50" t="inlineStr">
        <is>
          <t>https://unctad.org/page/data-protection-and-privacy-legislation-worldwide</t>
        </is>
      </c>
      <c r="I57" t="inlineStr">
        <is>
          <t>Yes (explicit COP safeguards in law)</t>
        </is>
      </c>
      <c r="J57" s="50" t="inlineStr">
        <is>
          <t>https://unctad.org/page/data-protection-and-privacy-legislation-worldwide; https://www.unicef.org/ecuador/</t>
        </is>
      </c>
      <c r="K57" t="inlineStr">
        <is>
          <t>Partial (child digital safety initiatives)</t>
        </is>
      </c>
      <c r="L57" s="50" t="inlineStr">
        <is>
          <t>https://www.unicef.org/ecuador/</t>
        </is>
      </c>
      <c r="M57" t="inlineStr">
        <is>
          <t>Yes (sexual orientation listed as sensitive data)</t>
        </is>
      </c>
      <c r="N57" s="50" t="inlineStr">
        <is>
          <t>https://unctad.org/page/data-protection-and-privacy-legislation-worldwide</t>
        </is>
      </c>
      <c r="O57" t="inlineStr">
        <is>
          <t>Equality/Marriage (2019 ruling)</t>
        </is>
      </c>
      <c r="P57" s="50" t="inlineStr">
        <is>
          <t>https://www.humandignitytrust.org/country-profile/ecuador/; https://ilga.org/ilga-world-maps/</t>
        </is>
      </c>
      <c r="Q57" t="inlineStr">
        <is>
          <t>No/Annulled</t>
        </is>
      </c>
      <c r="R57" s="50" t="inlineStr">
        <is>
          <t>https://ilga.org/ilga-world-maps/</t>
        </is>
      </c>
      <c r="S57" t="inlineStr">
        <is>
          <t>Draft/Early (national digital agenda; no standalone AI strategy)</t>
        </is>
      </c>
      <c r="T57" s="50" t="inlineStr">
        <is>
          <t>https://en.unesco.org/artificial-intelligence/observatory/policies?country=EC; https://www.unesco.org/ethics-ai/en/global-hub</t>
        </is>
      </c>
      <c r="U57" t="inlineStr">
        <is>
          <t>Yes (DPIAs required under law)</t>
        </is>
      </c>
      <c r="V57" s="50" t="inlineStr">
        <is>
          <t>https://unctad.org/page/data-protection-and-privacy-legislation-worldwide</t>
        </is>
      </c>
      <c r="W57" t="inlineStr">
        <is>
          <t>Yes (SIM registration tied to national ID)</t>
        </is>
      </c>
      <c r="X57" s="50" t="inlineStr">
        <is>
          <t>https://www.gsma.com/solutions-and-impact/connectivity-for-good/public-policy/mobile-policy-handbook/consumer-protection/mandatory-registration-of-prepaid-sims/</t>
        </is>
      </c>
      <c r="AI57">
        <f>SUM(Y57:AH57)</f>
        <v/>
      </c>
      <c r="AJ57">
        <f>100-(AI57*(AI57/20))</f>
        <v/>
      </c>
      <c r="AK57" s="24">
        <f>100-(AJ57*(AJ57/MAX(AJ49:AJ57)))</f>
        <v/>
      </c>
      <c r="AL57" t="n">
        <v>53</v>
      </c>
    </row>
    <row r="58">
      <c r="A58" t="n">
        <v>136</v>
      </c>
      <c r="B58" t="inlineStr">
        <is>
          <t>Peru</t>
        </is>
      </c>
      <c r="C58" t="inlineStr">
        <is>
          <t>Americas</t>
        </is>
      </c>
      <c r="D58" t="inlineStr">
        <is>
          <t>Andean Community</t>
        </is>
      </c>
      <c r="E58" t="inlineStr">
        <is>
          <t>In force — Law No. 29733 (2011)</t>
        </is>
      </c>
      <c r="F58" s="50" t="inlineStr">
        <is>
          <t>https://unctad.org/page/data-protection-and-privacy-legislation-worldwide</t>
        </is>
      </c>
      <c r="G58" t="inlineStr">
        <is>
          <t>Moderate — authority under Ministry of Justice</t>
        </is>
      </c>
      <c r="H58" s="50" t="inlineStr">
        <is>
          <t>https://unctad.org/page/data-protection-and-privacy-legislation-worldwide</t>
        </is>
      </c>
      <c r="I58" t="inlineStr">
        <is>
          <t>Partial</t>
        </is>
      </c>
      <c r="J58" s="50" t="inlineStr">
        <is>
          <t>https://unctad.org/page/data-protection-and-privacy-legislation-worldwide; https://www.unicef.org/peru/</t>
        </is>
      </c>
      <c r="K58" t="inlineStr">
        <is>
          <t>Partial</t>
        </is>
      </c>
      <c r="L58" s="50" t="inlineStr">
        <is>
          <t>https://www.unicef.org/peru/</t>
        </is>
      </c>
      <c r="M58" t="inlineStr">
        <is>
          <t>No</t>
        </is>
      </c>
      <c r="N58" s="50" t="inlineStr">
        <is>
          <t>https://unctad.org/page/data-protection-and-privacy-legislation-worldwide</t>
        </is>
      </c>
      <c r="O58" t="inlineStr">
        <is>
          <t>Legal — no recognition</t>
        </is>
      </c>
      <c r="P58" s="50" t="inlineStr">
        <is>
          <t>https://www.humandignitytrust.org/country-profile/peru/; https://ilga.org/ilga-world-maps/</t>
        </is>
      </c>
      <c r="Q58" t="inlineStr">
        <is>
          <t>No</t>
        </is>
      </c>
      <c r="R58" s="50" t="inlineStr">
        <is>
          <t>https://ilga.org/ilga-world-maps/</t>
        </is>
      </c>
      <c r="S58" t="inlineStr">
        <is>
          <t>Draft/Early — AI in Digital Agenda 2.0</t>
        </is>
      </c>
      <c r="T58" s="50" t="inlineStr">
        <is>
          <t>https://en.unesco.org/artificial-intelligence/observatory/policies?country=PE; https://www.unesco.org/ethics-ai/en/global-hub</t>
        </is>
      </c>
      <c r="U58" t="inlineStr">
        <is>
          <t>No</t>
        </is>
      </c>
      <c r="V58" s="50" t="inlineStr">
        <is>
          <t>https://unctad.org/page/data-protection-and-privacy-legislation-worldwide</t>
        </is>
      </c>
      <c r="W58" t="inlineStr">
        <is>
          <t>Yes</t>
        </is>
      </c>
      <c r="X58" s="50" t="inlineStr">
        <is>
          <t>https://www.gsma.com/solutions-and-impact/connectivity-for-good/public-policy/mobile-policy-handbook/consumer-protection/mandatory-registration-of-prepaid-sims/</t>
        </is>
      </c>
      <c r="AI58">
        <f>SUM(Y58:AH58)</f>
        <v/>
      </c>
      <c r="AJ58">
        <f>100-(AI58*(AI58/20))</f>
        <v/>
      </c>
      <c r="AK58" s="24">
        <f>100-(AJ58*(AJ58/MAX(AJ49:AJ58)))</f>
        <v/>
      </c>
      <c r="AL58" t="n">
        <v>136</v>
      </c>
    </row>
    <row r="59">
      <c r="A59" t="n">
        <v>191</v>
      </c>
      <c r="B59" t="inlineStr">
        <is>
          <t>Venezuela (Bolivarian Republic of)</t>
        </is>
      </c>
      <c r="C59" t="inlineStr">
        <is>
          <t>Americas</t>
        </is>
      </c>
      <c r="D59" t="inlineStr">
        <is>
          <t>Andean Community</t>
        </is>
      </c>
      <c r="E59" t="inlineStr">
        <is>
          <t>None</t>
        </is>
      </c>
      <c r="F59" s="50" t="inlineStr">
        <is>
          <t>https://unctad.org/page/data-protection-and-privacy-legislation-worldwide</t>
        </is>
      </c>
      <c r="G59" t="inlineStr">
        <is>
          <t>None</t>
        </is>
      </c>
      <c r="H59" s="50" t="inlineStr">
        <is>
          <t>https://unctad.org/page/data-protection-and-privacy-legislation-worldwide</t>
        </is>
      </c>
      <c r="I59" t="inlineStr">
        <is>
          <t>No</t>
        </is>
      </c>
      <c r="J59" s="50" t="inlineStr">
        <is>
          <t>https://www.unicef.org/venezuela-bolivarian-republic-of/</t>
        </is>
      </c>
      <c r="K59" t="inlineStr">
        <is>
          <t>No</t>
        </is>
      </c>
      <c r="L59" s="50" t="inlineStr">
        <is>
          <t>https://www.unicef.org/venezuela-bolivarian-republic-of/</t>
        </is>
      </c>
      <c r="M59" t="inlineStr">
        <is>
          <t>No</t>
        </is>
      </c>
      <c r="N59" s="50" t="inlineStr">
        <is>
          <t>https://unctad.org/page/data-protection-and-privacy-legislation-worldwide</t>
        </is>
      </c>
      <c r="O59" t="inlineStr">
        <is>
          <t>Legal</t>
        </is>
      </c>
      <c r="P59" s="50" t="inlineStr">
        <is>
          <t>https://www.humandignitytrust.org/country-profile/venezuela-bolivarian-republic-of/; https://ilga.org/ilga-world-maps/</t>
        </is>
      </c>
      <c r="Q59" t="inlineStr">
        <is>
          <t>No</t>
        </is>
      </c>
      <c r="R59" s="50" t="inlineStr">
        <is>
          <t>https://ilga.org/ilga-world-maps/</t>
        </is>
      </c>
      <c r="S59" t="inlineStr">
        <is>
          <t>Draft/Early — Digital Agenda 2025</t>
        </is>
      </c>
      <c r="T59" s="50" t="inlineStr">
        <is>
          <t>https://www.unesco.org/ethics-ai/en/global-hub</t>
        </is>
      </c>
      <c r="U59" t="inlineStr">
        <is>
          <t>No</t>
        </is>
      </c>
      <c r="V59" s="50" t="inlineStr">
        <is>
          <t>https://unctad.org/page/data-protection-and-privacy-legislation-worldwide</t>
        </is>
      </c>
      <c r="W59" t="inlineStr">
        <is>
          <t>Yes</t>
        </is>
      </c>
      <c r="X59" s="50" t="inlineStr">
        <is>
          <t>https://www.gsma.com/solutions-and-impact/connectivity-for-good/public-policy/mobile-policy-handbook/consumer-protection/mandatory-registration-of-prepaid-sims/</t>
        </is>
      </c>
      <c r="AI59">
        <f>SUM(Y59:AH59)</f>
        <v/>
      </c>
      <c r="AJ59">
        <f>100-(AI59*(AI59/20))</f>
        <v/>
      </c>
      <c r="AK59" s="24">
        <f>100-(AJ59*(AJ59/MAX(AJ54:AJ59)))</f>
        <v/>
      </c>
      <c r="AL59" t="n">
        <v>191</v>
      </c>
    </row>
    <row r="60">
      <c r="A60" s="29" t="n">
        <v>7</v>
      </c>
      <c r="B60" s="29" t="inlineStr">
        <is>
          <t>Antigua and Barbuda</t>
        </is>
      </c>
      <c r="C60" s="29" t="inlineStr">
        <is>
          <t>Americas</t>
        </is>
      </c>
      <c r="D60" s="29" t="inlineStr">
        <is>
          <t>CARICOM</t>
        </is>
      </c>
      <c r="E60" s="29" t="inlineStr">
        <is>
          <t>In force (Data Protection Act 2013)</t>
        </is>
      </c>
      <c r="F60" s="30" t="inlineStr">
        <is>
          <t>https://unctad.org/page/data-protection-and-privacy-legislation-worldwide</t>
        </is>
      </c>
      <c r="G60" s="29" t="inlineStr">
        <is>
          <t>Moderate (Office of the Data Protection Commissioner)</t>
        </is>
      </c>
      <c r="H60" s="30" t="inlineStr">
        <is>
          <t>https://unctad.org/page/data-protection-and-privacy-legislation-worldwide</t>
        </is>
      </c>
      <c r="I60" s="29" t="inlineStr">
        <is>
          <t>Partial (child protection law; no COP strategy)</t>
        </is>
      </c>
      <c r="J60" s="30" t="inlineStr">
        <is>
          <t>https://unctad.org/page/data-protection-and-privacy-legislation-worldwide; https://www.unicef.org/antigua-and-barbuda/</t>
        </is>
      </c>
      <c r="K60" s="29" t="inlineStr">
        <is>
          <t>No</t>
        </is>
      </c>
      <c r="L60" s="30" t="inlineStr">
        <is>
          <t>https://www.unicef.org/antigua-and-barbuda/</t>
        </is>
      </c>
      <c r="M60" s="29" t="inlineStr">
        <is>
          <t>No</t>
        </is>
      </c>
      <c r="N60" s="30" t="inlineStr">
        <is>
          <t>https://unctad.org/page/data-protection-and-privacy-legislation-worldwide</t>
        </is>
      </c>
      <c r="O60" s="29" t="inlineStr">
        <is>
          <t>Legal (sodomy law struck down 2022)</t>
        </is>
      </c>
      <c r="P60" s="30" t="inlineStr">
        <is>
          <t>https://www.humandignitytrust.org/country-profile/antigua-and-barbuda/; https://ilga.org/ilga-world-maps/</t>
        </is>
      </c>
      <c r="Q60" s="29" t="inlineStr">
        <is>
          <t>No/Annulled</t>
        </is>
      </c>
      <c r="R60" s="30" t="inlineStr">
        <is>
          <t>https://ilga.org/ilga-world-maps/</t>
        </is>
      </c>
      <c r="S60" s="29" t="inlineStr">
        <is>
          <t>None (no dedicated AI strategy identified)</t>
        </is>
      </c>
      <c r="T60" s="30" t="inlineStr">
        <is>
          <t>https://en.unesco.org/artificial-intelligence/observatory/policies?country=AG; https://www.unesco.org/ethics-ai/en/global-hub</t>
        </is>
      </c>
      <c r="U60" s="29" t="inlineStr">
        <is>
          <t>No</t>
        </is>
      </c>
      <c r="V60" s="30" t="inlineStr">
        <is>
          <t>https://unctad.org/page/data-protection-and-privacy-legislation-worldwide</t>
        </is>
      </c>
      <c r="W60" s="29" t="inlineStr">
        <is>
          <t>No (ID required; no biometrics)</t>
        </is>
      </c>
      <c r="X60" s="30" t="inlineStr">
        <is>
          <t>https://www.gsma.com/solutions-and-impact/connectivity-for-good/public-policy/mobile-policy-handbook/consumer-protection/mandatory-registration-of-prepaid-sims/; https://privacyinternational.org/learn/sim-card-registration</t>
        </is>
      </c>
      <c r="AI60">
        <f>SUM(Y60:AH60)</f>
        <v/>
      </c>
      <c r="AJ60">
        <f>100-(AI60*(AI60/20))</f>
        <v/>
      </c>
      <c r="AK60" s="24">
        <f>100-(AJ60*(AJ60/MAX(AJ55:AJ60)))</f>
        <v/>
      </c>
      <c r="AL60" t="n">
        <v>7</v>
      </c>
    </row>
    <row r="61">
      <c r="A61" s="29" t="n">
        <v>13</v>
      </c>
      <c r="B61" s="29" t="inlineStr">
        <is>
          <t>Bahamas</t>
        </is>
      </c>
      <c r="C61" s="29" t="inlineStr">
        <is>
          <t>Americas</t>
        </is>
      </c>
      <c r="D61" s="29" t="inlineStr">
        <is>
          <t>CARICOM</t>
        </is>
      </c>
      <c r="E61" s="29" t="inlineStr">
        <is>
          <t>In force (Data Protection (Privacy of Personal Information) Act 2003)</t>
        </is>
      </c>
      <c r="F61" s="30" t="inlineStr">
        <is>
          <t>https://unctad.org/page/data-protection-and-privacy-legislation-worldwide</t>
        </is>
      </c>
      <c r="G61" s="29" t="inlineStr">
        <is>
          <t>Moderate (Data Protection Commissioner under executive)</t>
        </is>
      </c>
      <c r="H61" s="30" t="inlineStr">
        <is>
          <t>https://unctad.org/page/data-protection-and-privacy-legislation-worldwide</t>
        </is>
      </c>
      <c r="I61" s="29" t="inlineStr">
        <is>
          <t>Partial (Child Protection Act; no COP strategy)</t>
        </is>
      </c>
      <c r="J61" s="30" t="inlineStr">
        <is>
          <t>https://unctad.org/page/data-protection-and-privacy-legislation-worldwide; https://www.unicef.org/bahamas/</t>
        </is>
      </c>
      <c r="K61" s="29" t="inlineStr">
        <is>
          <t>No</t>
        </is>
      </c>
      <c r="L61" s="30" t="inlineStr">
        <is>
          <t>https://www.unicef.org/bahamas/</t>
        </is>
      </c>
      <c r="M61" s="29" t="inlineStr">
        <is>
          <t>No</t>
        </is>
      </c>
      <c r="N61" s="30" t="inlineStr">
        <is>
          <t>https://unctad.org/page/data-protection-and-privacy-legislation-worldwide</t>
        </is>
      </c>
      <c r="O61" s="29" t="inlineStr">
        <is>
          <t>Criminalised (same-sex conduct criminalised, not enforced)</t>
        </is>
      </c>
      <c r="P61" s="30" t="inlineStr">
        <is>
          <t>https://www.humandignitytrust.org/country-profile/bahamas/; https://ilga.org/ilga-world-maps/</t>
        </is>
      </c>
      <c r="Q61" s="29" t="inlineStr">
        <is>
          <t>No/Annulled</t>
        </is>
      </c>
      <c r="R61" s="30" t="inlineStr">
        <is>
          <t>https://ilga.org/ilga-world-maps/</t>
        </is>
      </c>
      <c r="S61" s="29" t="inlineStr">
        <is>
          <t>None (no AI strategy identified)</t>
        </is>
      </c>
      <c r="T61" s="30" t="inlineStr">
        <is>
          <t>https://en.unesco.org/artificial-intelligence/observatory/policies?country=BS; https://www.unesco.org/ethics-ai/en/global-hub</t>
        </is>
      </c>
      <c r="U61" s="29" t="inlineStr">
        <is>
          <t>No</t>
        </is>
      </c>
      <c r="V61" s="30" t="inlineStr">
        <is>
          <t>https://unctad.org/page/data-protection-and-privacy-legislation-worldwide</t>
        </is>
      </c>
      <c r="W61" s="29" t="inlineStr">
        <is>
          <t>No (ID required; no biometrics)</t>
        </is>
      </c>
      <c r="X61" s="30" t="inlineStr">
        <is>
          <t>https://www.gsma.com/solutions-and-impact/connectivity-for-good/public-policy/mobile-policy-handbook/consumer-protection/mandatory-registration-of-prepaid-sims/; https://privacyinternational.org/learn/sim-card-registration</t>
        </is>
      </c>
      <c r="AI61">
        <f>SUM(Y61:AH61)</f>
        <v/>
      </c>
      <c r="AJ61">
        <f>100-(AI61*(AI61/20))</f>
        <v/>
      </c>
      <c r="AK61" s="24">
        <f>100-(AJ61*(AJ61/MAX(AJ50:AJ61)))</f>
        <v/>
      </c>
      <c r="AL61" t="n">
        <v>13</v>
      </c>
    </row>
    <row r="62">
      <c r="A62" s="29" t="n">
        <v>16</v>
      </c>
      <c r="B62" s="29" t="inlineStr">
        <is>
          <t>Barbados</t>
        </is>
      </c>
      <c r="C62" s="29" t="inlineStr">
        <is>
          <t>Americas</t>
        </is>
      </c>
      <c r="D62" s="29" t="inlineStr">
        <is>
          <t>CARICOM</t>
        </is>
      </c>
      <c r="E62" s="29" t="inlineStr">
        <is>
          <t>In force (Data Protection Act 2019, in force 2021)</t>
        </is>
      </c>
      <c r="F62" s="30" t="inlineStr">
        <is>
          <t>https://unctad.org/page/data-protection-and-privacy-legislation-worldwide</t>
        </is>
      </c>
      <c r="G62" s="29" t="inlineStr">
        <is>
          <t>Moderate (Data Protection Commissioner established)</t>
        </is>
      </c>
      <c r="H62" s="30" t="inlineStr">
        <is>
          <t>https://unctad.org/page/data-protection-and-privacy-legislation-worldwide</t>
        </is>
      </c>
      <c r="I62" s="29" t="inlineStr">
        <is>
          <t>Partial (Child Protection Act; no national COP strategy)</t>
        </is>
      </c>
      <c r="J62" s="30" t="inlineStr">
        <is>
          <t>https://unctad.org/page/data-protection-and-privacy-legislation-worldwide; https://www.unicef.org/barbados/</t>
        </is>
      </c>
      <c r="K62" s="29" t="inlineStr">
        <is>
          <t>No</t>
        </is>
      </c>
      <c r="L62" s="30" t="inlineStr">
        <is>
          <t>https://www.unicef.org/barbados/</t>
        </is>
      </c>
      <c r="M62" s="29" t="inlineStr">
        <is>
          <t>No (not explicit in law)</t>
        </is>
      </c>
      <c r="N62" s="30" t="inlineStr">
        <is>
          <t>https://unctad.org/page/data-protection-and-privacy-legislation-worldwide</t>
        </is>
      </c>
      <c r="O62" s="29" t="inlineStr">
        <is>
          <t>Legal (High Court struck down sodomy law 2022)</t>
        </is>
      </c>
      <c r="P62" s="30" t="inlineStr">
        <is>
          <t>https://www.humandignitytrust.org/country-profile/barbados/; https://ilga.org/ilga-world-maps/</t>
        </is>
      </c>
      <c r="Q62" s="29" t="inlineStr">
        <is>
          <t>No/Annulled</t>
        </is>
      </c>
      <c r="R62" s="30" t="inlineStr">
        <is>
          <t>https://ilga.org/ilga-world-maps/</t>
        </is>
      </c>
      <c r="S62" s="29" t="inlineStr">
        <is>
          <t>Draft/Early (AI elements in Digital Strategy 2021–2026)</t>
        </is>
      </c>
      <c r="T62" s="30" t="inlineStr">
        <is>
          <t>https://en.unesco.org/artificial-intelligence/observatory/policies?country=BB; https://www.unesco.org/ethics-ai/en/global-hub</t>
        </is>
      </c>
      <c r="U62" s="29" t="inlineStr">
        <is>
          <t>No</t>
        </is>
      </c>
      <c r="V62" s="30" t="inlineStr">
        <is>
          <t>https://unctad.org/page/data-protection-and-privacy-legislation-worldwide</t>
        </is>
      </c>
      <c r="W62" s="29" t="inlineStr">
        <is>
          <t>No (ID required; no biometrics)</t>
        </is>
      </c>
      <c r="X62" s="30" t="inlineStr">
        <is>
          <t>https://www.gsma.com/solutions-and-impact/connectivity-for-good/public-policy/mobile-policy-handbook/consumer-protection/mandatory-registration-of-prepaid-sims/; https://privacyinternational.org/learn/sim-card-registration</t>
        </is>
      </c>
      <c r="AI62">
        <f>SUM(Y62:AH62)</f>
        <v/>
      </c>
      <c r="AJ62">
        <f>100-(AI62*(AI62/20))</f>
        <v/>
      </c>
      <c r="AK62" s="24">
        <f>100-(AJ62*(AJ62/MAX(AJ48:AJ62)))</f>
        <v/>
      </c>
      <c r="AL62" t="n">
        <v>16</v>
      </c>
    </row>
    <row r="63">
      <c r="A63" s="29" t="n">
        <v>19</v>
      </c>
      <c r="B63" s="29" t="inlineStr">
        <is>
          <t>Belize</t>
        </is>
      </c>
      <c r="C63" s="29" t="inlineStr">
        <is>
          <t>Americas</t>
        </is>
      </c>
      <c r="D63" s="29" t="inlineStr">
        <is>
          <t>CARICOM</t>
        </is>
      </c>
      <c r="E63" s="29" t="inlineStr">
        <is>
          <t>Draft (Data Protection Bill pending; no enacted law)</t>
        </is>
      </c>
      <c r="F63" s="30" t="inlineStr">
        <is>
          <t>https://unctad.org/page/data-protection-and-privacy-legislation-worldwide</t>
        </is>
      </c>
      <c r="G63" s="29" t="inlineStr">
        <is>
          <t>Weak (no independent DPA yet)</t>
        </is>
      </c>
      <c r="H63" s="30" t="inlineStr">
        <is>
          <t>https://unctad.org/page/data-protection-and-privacy-legislation-worldwide</t>
        </is>
      </c>
      <c r="I63" s="29" t="inlineStr">
        <is>
          <t>Partial (Child Protection Act; no COP strategy)</t>
        </is>
      </c>
      <c r="J63" s="30" t="inlineStr">
        <is>
          <t>https://unctad.org/page/data-protection-and-privacy-legislation-worldwide; https://www.unicef.org/belize/</t>
        </is>
      </c>
      <c r="K63" s="29" t="inlineStr">
        <is>
          <t>No</t>
        </is>
      </c>
      <c r="L63" s="30" t="inlineStr">
        <is>
          <t>https://www.unicef.org/belize/</t>
        </is>
      </c>
      <c r="M63" s="29" t="inlineStr">
        <is>
          <t>No</t>
        </is>
      </c>
      <c r="N63" s="30" t="inlineStr">
        <is>
          <t>https://unctad.org/page/data-protection-and-privacy-legislation-worldwide</t>
        </is>
      </c>
      <c r="O63" s="29" t="inlineStr">
        <is>
          <t>Legal (sodomy law struck down 2016)</t>
        </is>
      </c>
      <c r="P63" s="30" t="inlineStr">
        <is>
          <t>https://www.humandignitytrust.org/country-profile/belize/; https://ilga.org/ilga-world-maps/</t>
        </is>
      </c>
      <c r="Q63" s="29" t="inlineStr">
        <is>
          <t>No/Annulled</t>
        </is>
      </c>
      <c r="R63" s="30" t="inlineStr">
        <is>
          <t>https://ilga.org/ilga-world-maps/</t>
        </is>
      </c>
      <c r="S63" s="29" t="inlineStr">
        <is>
          <t>None (no AI strategy identified)</t>
        </is>
      </c>
      <c r="T63" s="30" t="inlineStr">
        <is>
          <t>https://en.unesco.org/artificial-intelligence/observatory/policies?country=BZ; https://www.unesco.org/ethics-ai/en/global-hub</t>
        </is>
      </c>
      <c r="U63" s="29" t="inlineStr">
        <is>
          <t>No</t>
        </is>
      </c>
      <c r="V63" s="30" t="inlineStr">
        <is>
          <t>https://unctad.org/page/data-protection-and-privacy-legislation-worldwide</t>
        </is>
      </c>
      <c r="W63" s="29" t="inlineStr">
        <is>
          <t>No (ID required; no biometrics)</t>
        </is>
      </c>
      <c r="X63" s="30" t="inlineStr">
        <is>
          <t>https://www.gsma.com/solutions-and-impact/connectivity-for-good/public-policy/mobile-policy-handbook/consumer-protection/mandatory-registration-of-prepaid-sims/; https://privacyinternational.org/learn/sim-card-registration</t>
        </is>
      </c>
      <c r="AI63">
        <f>SUM(Y63:AH63)</f>
        <v/>
      </c>
      <c r="AJ63">
        <f>100-(AI63*(AI63/20))</f>
        <v/>
      </c>
      <c r="AK63" s="24">
        <f>100-(AJ63*(AJ63/MAX(AJ48:AJ63)))</f>
        <v/>
      </c>
      <c r="AL63" t="n">
        <v>19</v>
      </c>
    </row>
    <row r="64">
      <c r="A64" s="29" t="n">
        <v>43</v>
      </c>
      <c r="B64" s="29" t="inlineStr">
        <is>
          <t>Cuba</t>
        </is>
      </c>
      <c r="C64" s="29" t="inlineStr">
        <is>
          <t>Americas</t>
        </is>
      </c>
      <c r="D64" s="29" t="inlineStr">
        <is>
          <t>CARICOM</t>
        </is>
      </c>
      <c r="E64" s="29" t="inlineStr">
        <is>
          <t>Draft (no comprehensive DP law; constitutional provisions only)</t>
        </is>
      </c>
      <c r="F64" s="30" t="inlineStr">
        <is>
          <t>https://unctad.org/page/data-protection-and-privacy-legislation-worldwide</t>
        </is>
      </c>
      <c r="G64" s="29" t="inlineStr">
        <is>
          <t>Weak (no independent DPA; state ministries oversee data)</t>
        </is>
      </c>
      <c r="H64" s="30" t="inlineStr">
        <is>
          <t>https://unctad.org/page/data-protection-and-privacy-legislation-worldwide</t>
        </is>
      </c>
      <c r="I64" s="29" t="inlineStr">
        <is>
          <t>Partial (Child protection laws; no formal COP strategy)</t>
        </is>
      </c>
      <c r="J64" s="30" t="inlineStr">
        <is>
          <t>https://unctad.org/page/data-protection-and-privacy-legislation-worldwide; https://www.unicef.org/cuba/</t>
        </is>
      </c>
      <c r="K64" s="29" t="inlineStr">
        <is>
          <t>No</t>
        </is>
      </c>
      <c r="L64" s="30" t="inlineStr">
        <is>
          <t>https://www.unicef.org/cuba/</t>
        </is>
      </c>
      <c r="M64" s="29" t="inlineStr">
        <is>
          <t>No</t>
        </is>
      </c>
      <c r="N64" s="30" t="inlineStr">
        <is>
          <t>https://unctad.org/page/data-protection-and-privacy-legislation-worldwide</t>
        </is>
      </c>
      <c r="O64" s="29" t="inlineStr">
        <is>
          <t>Equality/Marriage (same-sex marriage legalized in 2022 Family Code referendum)</t>
        </is>
      </c>
      <c r="P64" s="30" t="inlineStr">
        <is>
          <t>https://www.humandignitytrust.org/country-profile/cuba/; https://ilga.org/ilga-world-maps/</t>
        </is>
      </c>
      <c r="Q64" s="29" t="inlineStr">
        <is>
          <t>Yes (restrictions on online content remain)</t>
        </is>
      </c>
      <c r="R64" s="30" t="inlineStr">
        <is>
          <t>https://ilga.org/ilga-world-maps/</t>
        </is>
      </c>
      <c r="S64" s="29" t="inlineStr">
        <is>
          <t>Draft/Early (AI mentioned in national digitalization policies; no formal strategy)</t>
        </is>
      </c>
      <c r="T64" s="30" t="inlineStr">
        <is>
          <t>https://en.unesco.org/artificial-intelligence/observatory/policies?country=CU; https://www.unesco.org/ethics-ai/en/global-hub</t>
        </is>
      </c>
      <c r="U64" s="29" t="inlineStr">
        <is>
          <t>No</t>
        </is>
      </c>
      <c r="V64" s="30" t="inlineStr">
        <is>
          <t>https://unctad.org/page/data-protection-and-privacy-legislation-worldwide</t>
        </is>
      </c>
      <c r="W64" s="29" t="inlineStr">
        <is>
          <t>Yes (biometric SIM registration required)</t>
        </is>
      </c>
      <c r="X64" s="30" t="inlineStr">
        <is>
          <t>https://www.gsma.com/solutions-and-impact/connectivity-for-good/public-policy/mobile-policy-handbook/consumer-protection/mandatory-registration-of-prepaid-sims/; https://privacyinternational.org/learn/sim-card-registration</t>
        </is>
      </c>
      <c r="AI64">
        <f>SUM(Y64:AH64)</f>
        <v/>
      </c>
      <c r="AJ64">
        <f>100-(AI64*(AI64/20))</f>
        <v/>
      </c>
      <c r="AK64" s="24">
        <f>100-(AJ64*(AJ64/MAX(AJ49:AJ64)))</f>
        <v/>
      </c>
      <c r="AL64" t="n">
        <v>43</v>
      </c>
    </row>
    <row r="65">
      <c r="A65" s="29" t="n">
        <v>51</v>
      </c>
      <c r="B65" s="29" t="inlineStr">
        <is>
          <t>Dominica</t>
        </is>
      </c>
      <c r="C65" s="29" t="inlineStr">
        <is>
          <t>Americas</t>
        </is>
      </c>
      <c r="D65" s="29" t="inlineStr">
        <is>
          <t>CARICOM</t>
        </is>
      </c>
      <c r="E65" s="29" t="inlineStr">
        <is>
          <t>Draft (no comprehensive law in force)</t>
        </is>
      </c>
      <c r="F65" s="30" t="inlineStr">
        <is>
          <t>https://unctad.org/page/data-protection-and-privacy-legislation-worldwide</t>
        </is>
      </c>
      <c r="G65" s="29" t="inlineStr">
        <is>
          <t>Weak (no dedicated DPA)</t>
        </is>
      </c>
      <c r="H65" s="30" t="inlineStr">
        <is>
          <t>https://unctad.org/page/data-protection-and-privacy-legislation-worldwide</t>
        </is>
      </c>
      <c r="I65" s="29" t="inlineStr">
        <is>
          <t>Partial (general child rights; no COP law)</t>
        </is>
      </c>
      <c r="J65" s="30" t="inlineStr">
        <is>
          <t>https://unctad.org/page/data-protection-and-privacy-legislation-worldwide; https://www.unicef.org/dominica/</t>
        </is>
      </c>
      <c r="K65" s="29" t="inlineStr">
        <is>
          <t>Partial (awareness programs; no national strategy)</t>
        </is>
      </c>
      <c r="L65" s="30" t="inlineStr">
        <is>
          <t>https://www.unicef.org/dominica/</t>
        </is>
      </c>
      <c r="M65" s="29" t="inlineStr">
        <is>
          <t>No</t>
        </is>
      </c>
      <c r="N65" s="30" t="inlineStr">
        <is>
          <t>https://unctad.org/page/data-protection-and-privacy-legislation-worldwide</t>
        </is>
      </c>
      <c r="O65" s="29" t="inlineStr">
        <is>
          <t>Decriminalised (High Court ruling, 2022)</t>
        </is>
      </c>
      <c r="P65" s="30" t="inlineStr">
        <is>
          <t>https://www.humandignitytrust.org/country-profile/dominica/; https://ilga.org/ilga-world-maps/</t>
        </is>
      </c>
      <c r="Q65" s="29" t="inlineStr">
        <is>
          <t>No (no propaganda bans)</t>
        </is>
      </c>
      <c r="R65" s="30" t="inlineStr">
        <is>
          <t>https://ilga.org/ilga-world-maps/</t>
        </is>
      </c>
      <c r="S65" s="29" t="inlineStr">
        <is>
          <t>None (no AI strategy)</t>
        </is>
      </c>
      <c r="T65" s="30" t="inlineStr">
        <is>
          <t>https://en.unesco.org/artificial-intelligence/observatory/policies?country=DM; https://www.unesco.org/ethics-ai/en/global-hub</t>
        </is>
      </c>
      <c r="U65" s="29" t="inlineStr">
        <is>
          <t>No</t>
        </is>
      </c>
      <c r="V65" s="30" t="inlineStr">
        <is>
          <t>https://unctad.org/page/data-protection-and-privacy-legislation-worldwide</t>
        </is>
      </c>
      <c r="W65" s="29" t="inlineStr">
        <is>
          <t>Yes (mandatory SIM registration with ID)</t>
        </is>
      </c>
      <c r="X65" s="30" t="inlineStr">
        <is>
          <t>https://www.gsma.com/solutions-and-impact/connectivity-for-good/public-policy/mobile-policy-handbook/consumer-protection/mandatory-registration-of-prepaid-sims/</t>
        </is>
      </c>
      <c r="AI65">
        <f>SUM(Y65:AH65)</f>
        <v/>
      </c>
      <c r="AJ65">
        <f>100-(AI65*(AI65/20))</f>
        <v/>
      </c>
      <c r="AK65" s="24">
        <f>100-(AJ65*(AJ65/MAX(AJ50:AJ65)))</f>
        <v/>
      </c>
      <c r="AL65" t="n">
        <v>51</v>
      </c>
    </row>
    <row r="66">
      <c r="A66" s="29" t="n">
        <v>52</v>
      </c>
      <c r="B66" s="29" t="inlineStr">
        <is>
          <t>Dominican Republic</t>
        </is>
      </c>
      <c r="C66" s="29" t="inlineStr">
        <is>
          <t>Americas</t>
        </is>
      </c>
      <c r="D66" s="29" t="inlineStr">
        <is>
          <t>CARICOM</t>
        </is>
      </c>
      <c r="E66" s="29" t="inlineStr">
        <is>
          <t>In force (Law No. 172-13 on Personal Data Protection, 2013)</t>
        </is>
      </c>
      <c r="F66" s="30" t="inlineStr">
        <is>
          <t>https://unctad.org/page/data-protection-and-privacy-legislation-worldwide</t>
        </is>
      </c>
      <c r="G66" s="29" t="inlineStr">
        <is>
          <t>Moderate (DPA exists but limited capacity)</t>
        </is>
      </c>
      <c r="H66" s="30" t="inlineStr">
        <is>
          <t>https://unctad.org/page/data-protection-and-privacy-legislation-worldwide</t>
        </is>
      </c>
      <c r="I66" s="29" t="inlineStr">
        <is>
          <t>Partial (general child rights provisions; no dedicated COP law)</t>
        </is>
      </c>
      <c r="J66" s="30" t="inlineStr">
        <is>
          <t>https://unctad.org/page/data-protection-and-privacy-legislation-worldwide; https://www.unicef.org/dominican-republic/</t>
        </is>
      </c>
      <c r="K66" s="29" t="inlineStr">
        <is>
          <t>No</t>
        </is>
      </c>
      <c r="L66" s="30" t="inlineStr">
        <is>
          <t>https://www.unicef.org/dominican-republic/</t>
        </is>
      </c>
      <c r="M66" s="29" t="inlineStr">
        <is>
          <t>No</t>
        </is>
      </c>
      <c r="N66" s="30" t="inlineStr">
        <is>
          <t>https://unctad.org/page/data-protection-and-privacy-legislation-worldwide</t>
        </is>
      </c>
      <c r="O66" s="29" t="inlineStr">
        <is>
          <t>Legal (no criminalisation; no recognition of partnerships)</t>
        </is>
      </c>
      <c r="P66" s="30" t="inlineStr">
        <is>
          <t>https://www.humandignitytrust.org/country-profile/dominican-republic/; https://ilga.org/ilga-world-maps/</t>
        </is>
      </c>
      <c r="Q66" s="29" t="inlineStr">
        <is>
          <t>Proposed/Unclear (morality/public decency restrictions)</t>
        </is>
      </c>
      <c r="R66" s="30" t="inlineStr">
        <is>
          <t>https://ilga.org/ilga-world-maps/</t>
        </is>
      </c>
      <c r="S66" s="29" t="inlineStr">
        <is>
          <t>Draft/Early (elements in Agenda Digital 2030; no standalone AI strategy)</t>
        </is>
      </c>
      <c r="T66" s="30" t="inlineStr">
        <is>
          <t>https://en.unesco.org/artificial-intelligence/observatory/policies?country=DO; https://www.unesco.org/ethics-ai/en/global-hub</t>
        </is>
      </c>
      <c r="U66" s="29" t="inlineStr">
        <is>
          <t>No</t>
        </is>
      </c>
      <c r="V66" s="30" t="inlineStr">
        <is>
          <t>https://unctad.org/page/data-protection-and-privacy-legislation-worldwide</t>
        </is>
      </c>
      <c r="W66" s="29" t="inlineStr">
        <is>
          <t>Yes (mandatory SIM registration; biometric ID used)</t>
        </is>
      </c>
      <c r="X66" s="30" t="inlineStr">
        <is>
          <t>https://www.gsma.com/solutions-and-impact/connectivity-for-good/public-policy/mobile-policy-handbook/consumer-protection/mandatory-registration-of-prepaid-sims/; https://privacyinternational.org/learn/sim-card-registration</t>
        </is>
      </c>
      <c r="AI66">
        <f>SUM(Y66:AH66)</f>
        <v/>
      </c>
      <c r="AJ66">
        <f>100-(AI66*(AI66/20))</f>
        <v/>
      </c>
      <c r="AK66" s="24">
        <f>100-(AJ66*(AJ66/MAX(AJ51:AJ66)))</f>
        <v/>
      </c>
      <c r="AL66" t="n">
        <v>52</v>
      </c>
    </row>
    <row r="67">
      <c r="A67" s="29" t="n">
        <v>70</v>
      </c>
      <c r="B67" s="29" t="inlineStr">
        <is>
          <t>Grenada</t>
        </is>
      </c>
      <c r="C67" s="29" t="inlineStr">
        <is>
          <t>Americas</t>
        </is>
      </c>
      <c r="D67" s="29" t="inlineStr">
        <is>
          <t>CARICOM</t>
        </is>
      </c>
      <c r="E67" s="29" t="inlineStr">
        <is>
          <t>Draft (bill under discussion)</t>
        </is>
      </c>
      <c r="F67" s="30" t="inlineStr">
        <is>
          <t>https://unctad.org/page/data-protection-and-privacy-legislation-worldwide</t>
        </is>
      </c>
      <c r="G67" s="29" t="inlineStr">
        <is>
          <t>None</t>
        </is>
      </c>
      <c r="H67" s="30" t="inlineStr">
        <is>
          <t>https://unctad.org/page/data-protection-and-privacy-legislation-worldwide</t>
        </is>
      </c>
      <c r="I67" s="29" t="inlineStr">
        <is>
          <t>No</t>
        </is>
      </c>
      <c r="J67" s="30" t="inlineStr">
        <is>
          <t>https://www.unicef.org/grenada/</t>
        </is>
      </c>
      <c r="K67" s="29" t="inlineStr">
        <is>
          <t>No</t>
        </is>
      </c>
      <c r="L67" s="30" t="inlineStr">
        <is>
          <t>https://www.unicef.org/grenada/</t>
        </is>
      </c>
      <c r="M67" s="29" t="inlineStr">
        <is>
          <t>No</t>
        </is>
      </c>
      <c r="N67" s="30" t="inlineStr">
        <is>
          <t>https://unctad.org/page/data-protection-and-privacy-legislation-worldwide</t>
        </is>
      </c>
      <c r="O67" s="29" t="inlineStr">
        <is>
          <t>Criminalised (sodomy laws in force)</t>
        </is>
      </c>
      <c r="P67" s="30" t="inlineStr">
        <is>
          <t>https://www.humandignitytrust.org/country-profile/grenada/; https://ilga.org/ilga-world-maps/</t>
        </is>
      </c>
      <c r="Q67" s="29" t="inlineStr">
        <is>
          <t>Yes (morality/public decency laws)</t>
        </is>
      </c>
      <c r="R67" s="30" t="inlineStr">
        <is>
          <t>https://ilga.org/ilga-world-maps/</t>
        </is>
      </c>
      <c r="S67" s="29" t="inlineStr">
        <is>
          <t>None</t>
        </is>
      </c>
      <c r="T67" s="30" t="inlineStr">
        <is>
          <t>https://en.unesco.org/artificial-intelligence/observatory/policies?country=GD; https://www.unesco.org/ethics-ai/en/global-hub</t>
        </is>
      </c>
      <c r="U67" s="29" t="inlineStr">
        <is>
          <t>No</t>
        </is>
      </c>
      <c r="V67" s="30" t="inlineStr">
        <is>
          <t>https://unctad.org/page/data-protection-and-privacy-legislation-worldwide</t>
        </is>
      </c>
      <c r="W67" s="29" t="inlineStr">
        <is>
          <t>Yes (SIMs linked to ID)</t>
        </is>
      </c>
      <c r="X67" s="30" t="inlineStr">
        <is>
          <t>https://www.gsma.com/solutions-and-impact/connectivity-for-good/public-policy/mobile-policy-handbook/consumer-protection/mandatory-registration-of-prepaid-sims/</t>
        </is>
      </c>
      <c r="AI67">
        <f>SUM(Y67:AH67)</f>
        <v/>
      </c>
      <c r="AJ67">
        <f>100-(AI67*(AI67/20))</f>
        <v/>
      </c>
      <c r="AK67" s="24">
        <f>100-(AJ67*(AJ67/MAX(AJ52:AJ67)))</f>
        <v/>
      </c>
      <c r="AL67" t="n">
        <v>70</v>
      </c>
    </row>
    <row r="68">
      <c r="A68" s="29" t="n">
        <v>74</v>
      </c>
      <c r="B68" s="29" t="inlineStr">
        <is>
          <t>Guyana</t>
        </is>
      </c>
      <c r="C68" s="29" t="inlineStr">
        <is>
          <t>Americas</t>
        </is>
      </c>
      <c r="D68" s="29" t="inlineStr">
        <is>
          <t>CARICOM</t>
        </is>
      </c>
      <c r="E68" s="29" t="inlineStr">
        <is>
          <t>Draft (bills pending, no comprehensive law)</t>
        </is>
      </c>
      <c r="F68" s="30" t="inlineStr">
        <is>
          <t>https://unctad.org/page/data-protection-and-privacy-legislation-worldwide</t>
        </is>
      </c>
      <c r="G68" s="29" t="inlineStr">
        <is>
          <t>None</t>
        </is>
      </c>
      <c r="H68" s="30" t="inlineStr">
        <is>
          <t>https://unctad.org/page/data-protection-and-privacy-legislation-worldwide</t>
        </is>
      </c>
      <c r="I68" s="29" t="inlineStr">
        <is>
          <t>Partial (general child rights provisions)</t>
        </is>
      </c>
      <c r="J68" s="30" t="inlineStr">
        <is>
          <t>https://unctad.org/page/data-protection-and-privacy-legislation-worldwide; https://www.unicef.org/guyana/</t>
        </is>
      </c>
      <c r="K68" s="29" t="inlineStr">
        <is>
          <t>No</t>
        </is>
      </c>
      <c r="L68" s="30" t="inlineStr">
        <is>
          <t>https://www.unicef.org/guyana/</t>
        </is>
      </c>
      <c r="M68" s="29" t="inlineStr">
        <is>
          <t>No</t>
        </is>
      </c>
      <c r="N68" s="30" t="inlineStr">
        <is>
          <t>https://unctad.org/page/data-protection-and-privacy-legislation-worldwide</t>
        </is>
      </c>
      <c r="O68" s="29" t="inlineStr">
        <is>
          <t>Legal (decriminalised, 2018 CCJ ruling; no partnerships)</t>
        </is>
      </c>
      <c r="P68" s="30" t="inlineStr">
        <is>
          <t>https://www.humandignitytrust.org/country-profile/guyana/; https://ilga.org/ilga-world-maps/</t>
        </is>
      </c>
      <c r="Q68" s="29" t="inlineStr">
        <is>
          <t>No</t>
        </is>
      </c>
      <c r="R68" s="30" t="inlineStr">
        <is>
          <t>https://ilga.org/ilga-world-maps/</t>
        </is>
      </c>
      <c r="S68" s="29" t="inlineStr">
        <is>
          <t>None</t>
        </is>
      </c>
      <c r="T68" s="30" t="inlineStr">
        <is>
          <t>https://en.unesco.org/artificial-intelligence/observatory/policies?country=GY; https://www.unesco.org/ethics-ai/en/global-hub</t>
        </is>
      </c>
      <c r="U68" s="29" t="inlineStr">
        <is>
          <t>No</t>
        </is>
      </c>
      <c r="V68" s="30" t="inlineStr">
        <is>
          <t>https://unctad.org/page/data-protection-and-privacy-legislation-worldwide</t>
        </is>
      </c>
      <c r="W68" s="29" t="inlineStr">
        <is>
          <t>Yes (mandatory SIM registration with ID)</t>
        </is>
      </c>
      <c r="X68" s="30" t="inlineStr">
        <is>
          <t>https://www.gsma.com/solutions-and-impact/connectivity-for-good/public-policy/mobile-policy-handbook/consumer-protection/mandatory-registration-of-prepaid-sims/</t>
        </is>
      </c>
      <c r="AI68">
        <f>SUM(Y68:AH68)</f>
        <v/>
      </c>
      <c r="AJ68">
        <f>100-(AI68*(AI68/20))</f>
        <v/>
      </c>
      <c r="AK68" s="24">
        <f>100-(AJ68*(AJ68/MAX(AJ53:AJ68)))</f>
        <v/>
      </c>
      <c r="AL68" t="n">
        <v>74</v>
      </c>
    </row>
    <row r="69">
      <c r="A69" s="29" t="n">
        <v>75</v>
      </c>
      <c r="B69" s="29" t="inlineStr">
        <is>
          <t>Haiti</t>
        </is>
      </c>
      <c r="C69" s="29" t="inlineStr">
        <is>
          <t>Americas</t>
        </is>
      </c>
      <c r="D69" s="29" t="inlineStr">
        <is>
          <t>CARICOM</t>
        </is>
      </c>
      <c r="E69" s="29" t="inlineStr">
        <is>
          <t>Draft (privacy bills pending)</t>
        </is>
      </c>
      <c r="F69" s="30" t="inlineStr">
        <is>
          <t>https://unctad.org/page/data-protection-and-privacy-legislation-worldwide</t>
        </is>
      </c>
      <c r="G69" s="29" t="inlineStr">
        <is>
          <t>None</t>
        </is>
      </c>
      <c r="H69" s="30" t="inlineStr">
        <is>
          <t>https://unctad.org/page/data-protection-and-privacy-legislation-worldwide</t>
        </is>
      </c>
      <c r="I69" s="29" t="inlineStr">
        <is>
          <t>No</t>
        </is>
      </c>
      <c r="J69" s="30" t="inlineStr">
        <is>
          <t>https://www.unicef.org/haiti/</t>
        </is>
      </c>
      <c r="K69" s="29" t="inlineStr">
        <is>
          <t>No</t>
        </is>
      </c>
      <c r="L69" s="30" t="inlineStr">
        <is>
          <t>https://www.unicef.org/haiti/</t>
        </is>
      </c>
      <c r="M69" s="29" t="inlineStr">
        <is>
          <t>No</t>
        </is>
      </c>
      <c r="N69" s="30" t="inlineStr">
        <is>
          <t>https://unctad.org/page/data-protection-and-privacy-legislation-worldwide</t>
        </is>
      </c>
      <c r="O69" s="29" t="inlineStr">
        <is>
          <t>Legal (no criminalisation; no marriage equality)</t>
        </is>
      </c>
      <c r="P69" s="30" t="inlineStr">
        <is>
          <t>https://www.humandignitytrust.org/country-profile/haiti/; https://ilga.org/ilga-world-maps/</t>
        </is>
      </c>
      <c r="Q69" s="29" t="inlineStr">
        <is>
          <t>Proposed/Unclear (anti-LGBTQ bills attempted)</t>
        </is>
      </c>
      <c r="R69" s="30" t="inlineStr">
        <is>
          <t>https://ilga.org/ilga-world-maps/</t>
        </is>
      </c>
      <c r="S69" s="29" t="inlineStr">
        <is>
          <t>None</t>
        </is>
      </c>
      <c r="T69" s="30" t="inlineStr">
        <is>
          <t>https://en.unesco.org/artificial-intelligence/observatory/policies?country=HT; https://www.unesco.org/ethics-ai/en/global-hub</t>
        </is>
      </c>
      <c r="U69" s="29" t="inlineStr">
        <is>
          <t>No</t>
        </is>
      </c>
      <c r="V69" s="30" t="inlineStr">
        <is>
          <t>https://unctad.org/page/data-protection-and-privacy-legislation-worldwide</t>
        </is>
      </c>
      <c r="W69" s="29" t="inlineStr">
        <is>
          <t>Yes (SIM tied to national ID)</t>
        </is>
      </c>
      <c r="X69" s="30" t="inlineStr">
        <is>
          <t>https://www.gsma.com/solutions-and-impact/connectivity-for-good/public-policy/mobile-policy-handbook/consumer-protection/mandatory-registration-of-prepaid-sims/</t>
        </is>
      </c>
      <c r="AI69">
        <f>SUM(Y69:AH69)</f>
        <v/>
      </c>
      <c r="AJ69">
        <f>100-(AI69*(AI69/20))</f>
        <v/>
      </c>
      <c r="AK69" s="24">
        <f>100-(AJ69*(AJ69/MAX(AJ54:AJ69)))</f>
        <v/>
      </c>
      <c r="AL69" t="n">
        <v>75</v>
      </c>
    </row>
    <row r="70">
      <c r="A70" s="29" t="n">
        <v>86</v>
      </c>
      <c r="B70" s="29" t="inlineStr">
        <is>
          <t>Jamaica</t>
        </is>
      </c>
      <c r="C70" s="29" t="inlineStr">
        <is>
          <t>Americas</t>
        </is>
      </c>
      <c r="D70" s="29" t="inlineStr">
        <is>
          <t>CARICOM</t>
        </is>
      </c>
      <c r="E70" s="29" t="inlineStr">
        <is>
          <t>In force (Data Protection Act, 2020; not fully enforced)</t>
        </is>
      </c>
      <c r="F70" s="30" t="inlineStr">
        <is>
          <t>https://unctad.org/page/data-protection-and-privacy-legislation-worldwide</t>
        </is>
      </c>
      <c r="G70" s="29" t="inlineStr">
        <is>
          <t>Weak (Office of the Information Commissioner developing)</t>
        </is>
      </c>
      <c r="H70" s="30" t="inlineStr">
        <is>
          <t>https://unctad.org/page/data-protection-and-privacy-legislation-worldwide</t>
        </is>
      </c>
      <c r="I70" s="29" t="inlineStr">
        <is>
          <t>Partial (general child protections; no COP-specific law)</t>
        </is>
      </c>
      <c r="J70" s="30" t="inlineStr">
        <is>
          <t>https://unctad.org/page/data-protection-and-privacy-legislation-worldwide; https://www.unicef.org/jamaica/</t>
        </is>
      </c>
      <c r="K70" s="29" t="inlineStr">
        <is>
          <t>No</t>
        </is>
      </c>
      <c r="L70" s="30" t="inlineStr">
        <is>
          <t>https://www.unicef.org/jamaica/</t>
        </is>
      </c>
      <c r="M70" s="29" t="inlineStr">
        <is>
          <t>No</t>
        </is>
      </c>
      <c r="N70" s="30" t="inlineStr">
        <is>
          <t>https://unctad.org/page/data-protection-and-privacy-legislation-worldwide</t>
        </is>
      </c>
      <c r="O70" s="29" t="inlineStr">
        <is>
          <t>Criminalised (sodomy laws)</t>
        </is>
      </c>
      <c r="P70" s="30" t="inlineStr">
        <is>
          <t>https://www.humandignitytrust.org/country-profile/jamaica/; https://ilga.org/ilga-world-maps/</t>
        </is>
      </c>
      <c r="Q70" s="29" t="inlineStr">
        <is>
          <t>Yes (morality/public decency restrictions)</t>
        </is>
      </c>
      <c r="R70" s="30" t="inlineStr">
        <is>
          <t>https://ilga.org/ilga-world-maps/</t>
        </is>
      </c>
      <c r="S70" s="29" t="inlineStr">
        <is>
          <t>None</t>
        </is>
      </c>
      <c r="T70" s="30" t="inlineStr">
        <is>
          <t>https://en.unesco.org/artificial-intelligence/observatory/policies?country=JM; https://www.unesco.org/ethics-ai/en/global-hub</t>
        </is>
      </c>
      <c r="U70" s="29" t="inlineStr">
        <is>
          <t>No</t>
        </is>
      </c>
      <c r="V70" s="30" t="inlineStr">
        <is>
          <t>https://unctad.org/page/data-protection-and-privacy-legislation-worldwide</t>
        </is>
      </c>
      <c r="W70" s="29" t="inlineStr">
        <is>
          <t>Yes (mandatory SIM ID registration)</t>
        </is>
      </c>
      <c r="X70" s="30" t="inlineStr">
        <is>
          <t>https://www.gsma.com/solutions-and-impact/connectivity-for-good/public-policy/mobile-policy-handbook/consumer-protection/mandatory-registration-of-prepaid-sims/</t>
        </is>
      </c>
      <c r="AI70">
        <f>SUM(Y70:AH70)</f>
        <v/>
      </c>
      <c r="AJ70">
        <f>100-(AI70*(AI70/20))</f>
        <v/>
      </c>
      <c r="AK70" s="24">
        <f>100-(AJ70*(AJ70/MAX(AJ55:AJ70)))</f>
        <v/>
      </c>
      <c r="AL70" t="n">
        <v>86</v>
      </c>
    </row>
    <row r="71">
      <c r="A71" s="29" t="n">
        <v>146</v>
      </c>
      <c r="B71" s="29" t="inlineStr">
        <is>
          <t>Saint Kitts and Nevis</t>
        </is>
      </c>
      <c r="C71" s="29" t="inlineStr">
        <is>
          <t>Americas</t>
        </is>
      </c>
      <c r="D71" s="29" t="inlineStr">
        <is>
          <t>CARICOM</t>
        </is>
      </c>
      <c r="E71" s="29" t="inlineStr">
        <is>
          <t>Draft — Data Protection Bill introduced 2018, not yet enacted</t>
        </is>
      </c>
      <c r="F71" s="30" t="inlineStr">
        <is>
          <t>https://unctad.org/page/data-protection-and-privacy-legislation-worldwide</t>
        </is>
      </c>
      <c r="G71" s="29" t="inlineStr">
        <is>
          <t>None</t>
        </is>
      </c>
      <c r="H71" s="30" t="inlineStr">
        <is>
          <t>https://unctad.org/page/data-protection-and-privacy-legislation-worldwide</t>
        </is>
      </c>
      <c r="I71" s="29" t="inlineStr">
        <is>
          <t>No</t>
        </is>
      </c>
      <c r="J71" s="30" t="inlineStr">
        <is>
          <t>https://www.unicef.org/saint-kitts-and-nevis/</t>
        </is>
      </c>
      <c r="K71" s="29" t="inlineStr">
        <is>
          <t>No</t>
        </is>
      </c>
      <c r="L71" s="30" t="inlineStr">
        <is>
          <t>https://www.unicef.org/saint-kitts-and-nevis/</t>
        </is>
      </c>
      <c r="M71" s="29" t="inlineStr">
        <is>
          <t>No</t>
        </is>
      </c>
      <c r="N71" s="30" t="inlineStr">
        <is>
          <t>https://unctad.org/page/data-protection-and-privacy-legislation-worldwide</t>
        </is>
      </c>
      <c r="O71" s="29" t="inlineStr">
        <is>
          <t>Legal — High Court struck down sodomy law in 2022</t>
        </is>
      </c>
      <c r="P71" s="30" t="inlineStr">
        <is>
          <t>https://www.humandignitytrust.org/country-profile/saint-kitts-and-nevis/; https://ilga.org/ilga-world-maps/</t>
        </is>
      </c>
      <c r="Q71" s="29" t="inlineStr">
        <is>
          <t>No</t>
        </is>
      </c>
      <c r="R71" s="30" t="inlineStr">
        <is>
          <t>https://ilga.org/ilga-world-maps/</t>
        </is>
      </c>
      <c r="S71" s="29" t="inlineStr">
        <is>
          <t>None</t>
        </is>
      </c>
      <c r="T71" s="30" t="inlineStr">
        <is>
          <t>https://en.unesco.org/artificial-intelligence/observatory/policies?country=KN; https://www.unesco.org/ethics-ai/en/global-hub</t>
        </is>
      </c>
      <c r="U71" s="29" t="inlineStr">
        <is>
          <t>No</t>
        </is>
      </c>
      <c r="V71" s="30" t="inlineStr">
        <is>
          <t>https://unctad.org/page/data-protection-and-privacy-legislation-worldwide</t>
        </is>
      </c>
      <c r="W71" s="29" t="inlineStr">
        <is>
          <t>Yes — SIM registration required, ID-based</t>
        </is>
      </c>
      <c r="X71" s="30" t="inlineStr">
        <is>
          <t>https://www.gsma.com/solutions-and-impact/connectivity-for-good/public-policy/mobile-policy-handbook/consumer-protection/mandatory-registration-of-prepaid-sims/</t>
        </is>
      </c>
      <c r="AI71">
        <f>SUM(Y71:AH71)</f>
        <v/>
      </c>
      <c r="AJ71">
        <f>100-(AI71*(AI71/20))</f>
        <v/>
      </c>
      <c r="AK71" s="24">
        <f>100-(AJ71*(AJ71/MAX(AJ56:AJ71)))</f>
        <v/>
      </c>
      <c r="AL71" t="n">
        <v>146</v>
      </c>
    </row>
    <row r="72">
      <c r="A72" s="29" t="n">
        <v>147</v>
      </c>
      <c r="B72" s="29" t="inlineStr">
        <is>
          <t>Saint Lucia</t>
        </is>
      </c>
      <c r="C72" s="29" t="inlineStr">
        <is>
          <t>Americas</t>
        </is>
      </c>
      <c r="D72" s="29" t="inlineStr">
        <is>
          <t>CARICOM</t>
        </is>
      </c>
      <c r="E72" s="29" t="inlineStr">
        <is>
          <t>In force — Data Protection Act 2011 (not fully implemented)</t>
        </is>
      </c>
      <c r="F72" s="30" t="inlineStr">
        <is>
          <t>https://unctad.org/page/data-protection-and-privacy-legislation-worldwide</t>
        </is>
      </c>
      <c r="G72" s="29" t="inlineStr">
        <is>
          <t>Weak — not fully operational</t>
        </is>
      </c>
      <c r="H72" s="30" t="inlineStr">
        <is>
          <t>https://unctad.org/page/data-protection-and-privacy-legislation-worldwide</t>
        </is>
      </c>
      <c r="I72" s="29" t="inlineStr">
        <is>
          <t>No</t>
        </is>
      </c>
      <c r="J72" s="30" t="inlineStr">
        <is>
          <t>https://www.unicef.org/saint-lucia/</t>
        </is>
      </c>
      <c r="K72" s="29" t="inlineStr">
        <is>
          <t>No</t>
        </is>
      </c>
      <c r="L72" s="30" t="inlineStr">
        <is>
          <t>https://www.unicef.org/saint-lucia/</t>
        </is>
      </c>
      <c r="M72" s="29" t="inlineStr">
        <is>
          <t>No</t>
        </is>
      </c>
      <c r="N72" s="30" t="inlineStr">
        <is>
          <t>https://unctad.org/page/data-protection-and-privacy-legislation-worldwide</t>
        </is>
      </c>
      <c r="O72" s="29" t="inlineStr">
        <is>
          <t>Legal — sodomy law struck down 2022</t>
        </is>
      </c>
      <c r="P72" s="30" t="inlineStr">
        <is>
          <t>https://www.humandignitytrust.org/country-profile/saint-lucia/; https://ilga.org/ilga-world-maps/</t>
        </is>
      </c>
      <c r="Q72" s="29" t="inlineStr">
        <is>
          <t>No</t>
        </is>
      </c>
      <c r="R72" s="30" t="inlineStr">
        <is>
          <t>https://ilga.org/ilga-world-maps/</t>
        </is>
      </c>
      <c r="S72" s="29" t="inlineStr">
        <is>
          <t>None</t>
        </is>
      </c>
      <c r="T72" s="30" t="inlineStr">
        <is>
          <t>https://en.unesco.org/artificial-intelligence/observatory/policies?country=LC; https://www.unesco.org/ethics-ai/en/global-hub</t>
        </is>
      </c>
      <c r="U72" s="29" t="inlineStr">
        <is>
          <t>No</t>
        </is>
      </c>
      <c r="V72" s="30" t="inlineStr">
        <is>
          <t>https://unctad.org/page/data-protection-and-privacy-legislation-worldwide</t>
        </is>
      </c>
      <c r="W72" s="29" t="inlineStr">
        <is>
          <t>Yes</t>
        </is>
      </c>
      <c r="X72" s="30" t="inlineStr">
        <is>
          <t>https://www.gsma.com/solutions-and-impact/connectivity-for-good/public-policy/mobile-policy-handbook/consumer-protection/mandatory-registration-of-prepaid-sims/</t>
        </is>
      </c>
      <c r="AI72">
        <f>SUM(Y72:AH72)</f>
        <v/>
      </c>
      <c r="AJ72">
        <f>100-(AI72*(AI72/20))</f>
        <v/>
      </c>
      <c r="AK72" s="24">
        <f>100-(AJ72*(AJ72/MAX(AJ57:AJ72)))</f>
        <v/>
      </c>
      <c r="AL72" t="n">
        <v>147</v>
      </c>
    </row>
    <row r="73">
      <c r="A73" s="29" t="n">
        <v>148</v>
      </c>
      <c r="B73" s="29" t="inlineStr">
        <is>
          <t>Saint Vincent and the Grenadines</t>
        </is>
      </c>
      <c r="C73" s="29" t="inlineStr">
        <is>
          <t>Americas</t>
        </is>
      </c>
      <c r="D73" s="29" t="inlineStr">
        <is>
          <t>CARICOM</t>
        </is>
      </c>
      <c r="E73" s="29" t="inlineStr">
        <is>
          <t>None</t>
        </is>
      </c>
      <c r="F73" s="30" t="inlineStr">
        <is>
          <t>https://unctad.org/page/data-protection-and-privacy-legislation-worldwide</t>
        </is>
      </c>
      <c r="G73" s="29" t="inlineStr">
        <is>
          <t>None</t>
        </is>
      </c>
      <c r="H73" s="30" t="inlineStr">
        <is>
          <t>https://unctad.org/page/data-protection-and-privacy-legislation-worldwide</t>
        </is>
      </c>
      <c r="I73" s="29" t="inlineStr">
        <is>
          <t>No</t>
        </is>
      </c>
      <c r="J73" s="30" t="inlineStr">
        <is>
          <t>https://www.unicef.org/saint-vincent-and-the-grenadines/</t>
        </is>
      </c>
      <c r="K73" s="29" t="inlineStr">
        <is>
          <t>No</t>
        </is>
      </c>
      <c r="L73" s="30" t="inlineStr">
        <is>
          <t>https://www.unicef.org/saint-vincent-and-the-grenadines/</t>
        </is>
      </c>
      <c r="M73" s="29" t="inlineStr">
        <is>
          <t>No</t>
        </is>
      </c>
      <c r="N73" s="30" t="inlineStr">
        <is>
          <t>https://unctad.org/page/data-protection-and-privacy-legislation-worldwide</t>
        </is>
      </c>
      <c r="O73" s="29" t="inlineStr">
        <is>
          <t>Legal — sodomy law struck down 2022</t>
        </is>
      </c>
      <c r="P73" s="30" t="inlineStr">
        <is>
          <t>https://www.humandignitytrust.org/country-profile/saint-vincent-and-the-grenadines/; https://ilga.org/ilga-world-maps/</t>
        </is>
      </c>
      <c r="Q73" s="29" t="inlineStr">
        <is>
          <t>No</t>
        </is>
      </c>
      <c r="R73" s="30" t="inlineStr">
        <is>
          <t>https://ilga.org/ilga-world-maps/</t>
        </is>
      </c>
      <c r="S73" s="29" t="inlineStr">
        <is>
          <t>None</t>
        </is>
      </c>
      <c r="T73" s="30" t="inlineStr">
        <is>
          <t>https://en.unesco.org/artificial-intelligence/observatory/policies?country=VC; https://www.unesco.org/ethics-ai/en/global-hub</t>
        </is>
      </c>
      <c r="U73" s="29" t="inlineStr">
        <is>
          <t>No</t>
        </is>
      </c>
      <c r="V73" s="30" t="inlineStr">
        <is>
          <t>https://unctad.org/page/data-protection-and-privacy-legislation-worldwide</t>
        </is>
      </c>
      <c r="W73" s="29" t="inlineStr">
        <is>
          <t>Yes</t>
        </is>
      </c>
      <c r="X73" s="30" t="inlineStr">
        <is>
          <t>https://www.gsma.com/solutions-and-impact/connectivity-for-good/public-policy/mobile-policy-handbook/consumer-protection/mandatory-registration-of-prepaid-sims/</t>
        </is>
      </c>
      <c r="AI73">
        <f>SUM(Y73:AH73)</f>
        <v/>
      </c>
      <c r="AJ73">
        <f>100-(AI73*(AI73/20))</f>
        <v/>
      </c>
      <c r="AK73" s="24">
        <f>100-(AJ73*(AJ73/MAX(AJ58:AJ73)))</f>
        <v/>
      </c>
      <c r="AL73" t="n">
        <v>148</v>
      </c>
    </row>
    <row r="74">
      <c r="A74" s="29" t="n">
        <v>168</v>
      </c>
      <c r="B74" s="29" t="inlineStr">
        <is>
          <t>Suriname</t>
        </is>
      </c>
      <c r="C74" s="29" t="inlineStr">
        <is>
          <t>Americas</t>
        </is>
      </c>
      <c r="D74" s="29" t="inlineStr">
        <is>
          <t>CARICOM</t>
        </is>
      </c>
      <c r="E74" s="29" t="inlineStr">
        <is>
          <t>None</t>
        </is>
      </c>
      <c r="F74" s="30" t="inlineStr">
        <is>
          <t>https://unctad.org/page/data-protection-and-privacy-legislation-worldwide</t>
        </is>
      </c>
      <c r="G74" s="29" t="inlineStr">
        <is>
          <t>None</t>
        </is>
      </c>
      <c r="H74" s="30" t="inlineStr">
        <is>
          <t>https://unctad.org/page/data-protection-and-privacy-legislation-worldwide</t>
        </is>
      </c>
      <c r="I74" s="29" t="inlineStr">
        <is>
          <t>No</t>
        </is>
      </c>
      <c r="J74" s="30" t="inlineStr">
        <is>
          <t>https://www.unicef.org/suriname/</t>
        </is>
      </c>
      <c r="K74" s="29" t="inlineStr">
        <is>
          <t>No</t>
        </is>
      </c>
      <c r="L74" s="30" t="inlineStr">
        <is>
          <t>https://www.unicef.org/suriname/</t>
        </is>
      </c>
      <c r="M74" s="29" t="inlineStr">
        <is>
          <t>No</t>
        </is>
      </c>
      <c r="N74" s="30" t="inlineStr">
        <is>
          <t>https://unctad.org/page/data-protection-and-privacy-legislation-worldwide</t>
        </is>
      </c>
      <c r="O74" s="29" t="inlineStr">
        <is>
          <t>Legal — no criminalisation, but no recognition</t>
        </is>
      </c>
      <c r="P74" s="30" t="inlineStr">
        <is>
          <t>https://www.humandignitytrust.org/country-profile/suriname/; https://ilga.org/ilga-world-maps/</t>
        </is>
      </c>
      <c r="Q74" s="29" t="inlineStr">
        <is>
          <t>No</t>
        </is>
      </c>
      <c r="R74" s="30" t="inlineStr">
        <is>
          <t>https://ilga.org/ilga-world-maps/</t>
        </is>
      </c>
      <c r="S74" s="29" t="inlineStr">
        <is>
          <t>None</t>
        </is>
      </c>
      <c r="T74" s="30" t="inlineStr">
        <is>
          <t>https://en.unesco.org/artificial-intelligence/observatory/policies?country=SR; https://www.unesco.org/ethics-ai/en/global-hub</t>
        </is>
      </c>
      <c r="U74" s="29" t="inlineStr">
        <is>
          <t>No</t>
        </is>
      </c>
      <c r="V74" s="30" t="inlineStr">
        <is>
          <t>https://unctad.org/page/data-protection-and-privacy-legislation-worldwide</t>
        </is>
      </c>
      <c r="W74" s="29" t="inlineStr">
        <is>
          <t>Yes</t>
        </is>
      </c>
      <c r="X74" s="30" t="inlineStr">
        <is>
          <t>https://www.gsma.com/solutions-and-impact/connectivity-for-good/public-policy/mobile-policy-handbook/consumer-protection/mandatory-registration-of-prepaid-sims/</t>
        </is>
      </c>
      <c r="AI74">
        <f>SUM(Y74:AH74)</f>
        <v/>
      </c>
      <c r="AJ74">
        <f>100-(AI74*(AI74/20))</f>
        <v/>
      </c>
      <c r="AK74" s="24">
        <f>100-(AJ74*(AJ74/MAX(AJ59:AJ74)))</f>
        <v/>
      </c>
      <c r="AL74" t="n">
        <v>168</v>
      </c>
    </row>
    <row r="75">
      <c r="A75" s="29" t="n">
        <v>178</v>
      </c>
      <c r="B75" s="29" t="inlineStr">
        <is>
          <t>Trinidad and Tobago</t>
        </is>
      </c>
      <c r="C75" s="29" t="inlineStr">
        <is>
          <t>Americas</t>
        </is>
      </c>
      <c r="D75" s="29" t="inlineStr">
        <is>
          <t>CARICOM</t>
        </is>
      </c>
      <c r="E75" s="29" t="inlineStr">
        <is>
          <t>Partial — Data Protection Act 2011 (not fully proclaimed)</t>
        </is>
      </c>
      <c r="F75" s="30" t="inlineStr">
        <is>
          <t>https://unctad.org/page/data-protection-and-privacy-legislation-worldwide</t>
        </is>
      </c>
      <c r="G75" s="29" t="inlineStr">
        <is>
          <t>Weak — not fully operational</t>
        </is>
      </c>
      <c r="H75" s="30" t="inlineStr">
        <is>
          <t>https://unctad.org/page/data-protection-and-privacy-legislation-worldwide</t>
        </is>
      </c>
      <c r="I75" s="29" t="inlineStr">
        <is>
          <t>Partial</t>
        </is>
      </c>
      <c r="J75" s="30" t="inlineStr">
        <is>
          <t>https://unctad.org/page/data-protection-and-privacy-legislation-worldwide; https://www.unicef.org/trinidad-and-tobago/</t>
        </is>
      </c>
      <c r="K75" s="29" t="inlineStr">
        <is>
          <t>Partial</t>
        </is>
      </c>
      <c r="L75" s="30" t="inlineStr">
        <is>
          <t>https://www.unicef.org/trinidad-and-tobago/</t>
        </is>
      </c>
      <c r="M75" s="29" t="inlineStr">
        <is>
          <t>No</t>
        </is>
      </c>
      <c r="N75" s="30" t="inlineStr">
        <is>
          <t>https://unctad.org/page/data-protection-and-privacy-legislation-worldwide</t>
        </is>
      </c>
      <c r="O75" s="29" t="inlineStr">
        <is>
          <t>Legal — decriminalised in 2018</t>
        </is>
      </c>
      <c r="P75" s="30" t="inlineStr">
        <is>
          <t>https://www.humandignitytrust.org/country-profile/trinidad-and-tobago/; https://ilga.org/ilga-world-maps/</t>
        </is>
      </c>
      <c r="Q75" s="29" t="inlineStr">
        <is>
          <t>No</t>
        </is>
      </c>
      <c r="R75" s="30" t="inlineStr">
        <is>
          <t>https://ilga.org/ilga-world-maps/</t>
        </is>
      </c>
      <c r="S75" s="29" t="inlineStr">
        <is>
          <t>Draft/Early — National ICT Plan includes AI</t>
        </is>
      </c>
      <c r="T75" s="30" t="inlineStr">
        <is>
          <t>https://en.unesco.org/artificial-intelligence/observatory/policies?country=TT; https://www.unesco.org/ethics-ai/en/global-hub</t>
        </is>
      </c>
      <c r="U75" s="29" t="inlineStr">
        <is>
          <t>No</t>
        </is>
      </c>
      <c r="V75" s="30" t="inlineStr">
        <is>
          <t>https://unctad.org/page/data-protection-and-privacy-legislation-worldwide</t>
        </is>
      </c>
      <c r="W75" s="29" t="inlineStr">
        <is>
          <t>Yes</t>
        </is>
      </c>
      <c r="X75" s="30" t="inlineStr">
        <is>
          <t>https://www.gsma.com/solutions-and-impact/connectivity-for-good/public-policy/mobile-policy-handbook/consumer-protection/mandatory-registration-of-prepaid-sims/</t>
        </is>
      </c>
      <c r="AI75">
        <f>SUM(Y75:AH75)</f>
        <v/>
      </c>
      <c r="AJ75">
        <f>100-(AI75*(AI75/20))</f>
        <v/>
      </c>
      <c r="AK75" s="24">
        <f>100-(AJ75*(AJ75/MAX(AJ60:AJ75)))</f>
        <v/>
      </c>
      <c r="AL75" t="n">
        <v>178</v>
      </c>
    </row>
    <row r="76">
      <c r="A76" s="39" t="n">
        <v>8</v>
      </c>
      <c r="B76" s="39" t="inlineStr">
        <is>
          <t>Argentina</t>
        </is>
      </c>
      <c r="C76" s="39" t="inlineStr">
        <is>
          <t>Americas</t>
        </is>
      </c>
      <c r="D76" s="39" t="inlineStr">
        <is>
          <t>MERCOSUR</t>
        </is>
      </c>
      <c r="E76" s="39" t="inlineStr">
        <is>
          <t>In force (Law 25.326, draft bill to align with GDPR 2022)</t>
        </is>
      </c>
      <c r="F76" s="40" t="inlineStr">
        <is>
          <t>https://unctad.org/page/data-protection-and-privacy-legislation-worldwide</t>
        </is>
      </c>
      <c r="G76" s="39" t="inlineStr">
        <is>
          <t>Moderate (AAIP under executive)</t>
        </is>
      </c>
      <c r="H76" s="40" t="inlineStr">
        <is>
          <t>https://unctad.org/page/data-protection-and-privacy-legislation-worldwide</t>
        </is>
      </c>
      <c r="I76" s="39" t="inlineStr">
        <is>
          <t>Yes (Minors consent + national COP plan)</t>
        </is>
      </c>
      <c r="J76" s="40" t="inlineStr">
        <is>
          <t>https://unctad.org/page/data-protection-and-privacy-legislation-worldwide; https://www.unicef.org/argentina/</t>
        </is>
      </c>
      <c r="K76" s="39" t="inlineStr">
        <is>
          <t>Partial (national COP initiatives with UNICEF/ITU)</t>
        </is>
      </c>
      <c r="L76" s="40" t="inlineStr">
        <is>
          <t>https://www.unicef.org/argentina/</t>
        </is>
      </c>
      <c r="M76" s="39" t="inlineStr">
        <is>
          <t>Yes (explicit in law)</t>
        </is>
      </c>
      <c r="N76" s="40" t="inlineStr">
        <is>
          <t>https://unctad.org/page/data-protection-and-privacy-legislation-worldwide</t>
        </is>
      </c>
      <c r="O76" s="39" t="inlineStr">
        <is>
          <t>Equality/Marriage (Equal Marriage Act 2010)</t>
        </is>
      </c>
      <c r="P76" s="40" t="inlineStr">
        <is>
          <t>https://www.humandignitytrust.org/country-profile/argentina/; https://ilga.org/ilga-world-maps/</t>
        </is>
      </c>
      <c r="Q76" s="39" t="inlineStr">
        <is>
          <t>No/Annulled</t>
        </is>
      </c>
      <c r="R76" s="40" t="inlineStr">
        <is>
          <t>https://ilga.org/ilga-world-maps/</t>
        </is>
      </c>
      <c r="S76" s="39" t="inlineStr">
        <is>
          <t>Draft/Early (Argentina AI Plan announced 2019; follow-up consultations)</t>
        </is>
      </c>
      <c r="T76" s="40" t="inlineStr">
        <is>
          <t>https://en.unesco.org/artificial-intelligence/observatory/policies?country=AR; https://www.unesco.org/ethics-ai/en/global-hub</t>
        </is>
      </c>
      <c r="U76" s="39" t="inlineStr">
        <is>
          <t>No</t>
        </is>
      </c>
      <c r="V76" s="40" t="inlineStr">
        <is>
          <t>https://unctad.org/page/data-protection-and-privacy-legislation-worldwide</t>
        </is>
      </c>
      <c r="W76" s="39" t="inlineStr">
        <is>
          <t>No (ID required; no biometrics)</t>
        </is>
      </c>
      <c r="X76" s="40" t="inlineStr">
        <is>
          <t>https://www.gsma.com/solutions-and-impact/connectivity-for-good/public-policy/mobile-policy-handbook/consumer-protection/mandatory-registration-of-prepaid-sims/; https://privacyinternational.org/learn/sim-card-registration</t>
        </is>
      </c>
      <c r="AI76">
        <f>SUM(Y76:AH76)</f>
        <v/>
      </c>
      <c r="AJ76">
        <f>100-(AI76*(AI76/20))</f>
        <v/>
      </c>
      <c r="AK76" s="24">
        <f>100-(AJ76*(AJ76/MAX(AJ70:AJ76)))</f>
        <v/>
      </c>
      <c r="AL76" t="n">
        <v>8</v>
      </c>
    </row>
    <row r="77">
      <c r="A77" s="39" t="n">
        <v>25</v>
      </c>
      <c r="B77" s="39" t="inlineStr">
        <is>
          <t>Brazil</t>
        </is>
      </c>
      <c r="C77" s="39" t="inlineStr">
        <is>
          <t>Americas</t>
        </is>
      </c>
      <c r="D77" s="39" t="inlineStr">
        <is>
          <t>MERCOSUR</t>
        </is>
      </c>
      <c r="E77" s="39" t="inlineStr">
        <is>
          <t>In force (Lei Geral de Proteção de Dados – LGPD, Law No. 13.709/2018)</t>
        </is>
      </c>
      <c r="F77" s="40" t="inlineStr">
        <is>
          <t>https://unctad.org/page/data-protection-and-privacy-legislation-worldwide</t>
        </is>
      </c>
      <c r="G77" s="39" t="inlineStr">
        <is>
          <t>Moderate (ANPD created under Presidency, autonomy strengthened 2022)</t>
        </is>
      </c>
      <c r="H77" s="40" t="inlineStr">
        <is>
          <t>https://unctad.org/page/data-protection-and-privacy-legislation-worldwide</t>
        </is>
      </c>
      <c r="I77" s="39" t="inlineStr">
        <is>
          <t>Yes (LGPD + Child and Adolescent Statute protections)</t>
        </is>
      </c>
      <c r="J77" s="40" t="inlineStr">
        <is>
          <t>https://unctad.org/page/data-protection-and-privacy-legislation-worldwide; https://www.unicef.org/brazil/</t>
        </is>
      </c>
      <c r="K77" s="39" t="inlineStr">
        <is>
          <t>Partial (programs with SaferNet and ITU; no unified COP strategy)</t>
        </is>
      </c>
      <c r="L77" s="40" t="inlineStr">
        <is>
          <t>https://www.unicef.org/brazil/</t>
        </is>
      </c>
      <c r="M77" s="39" t="inlineStr">
        <is>
          <t>Yes (explicitly includes sexual orientation)</t>
        </is>
      </c>
      <c r="N77" s="40" t="inlineStr">
        <is>
          <t>https://unctad.org/page/data-protection-and-privacy-legislation-worldwide</t>
        </is>
      </c>
      <c r="O77" s="39" t="inlineStr">
        <is>
          <t>Equality/Marriage (same-sex marriage legal since 2013)</t>
        </is>
      </c>
      <c r="P77" s="40" t="inlineStr">
        <is>
          <t>https://www.humandignitytrust.org/country-profile/brazil/; https://ilga.org/ilga-world-maps/</t>
        </is>
      </c>
      <c r="Q77" s="39" t="inlineStr">
        <is>
          <t>No/Annulled</t>
        </is>
      </c>
      <c r="R77" s="40" t="inlineStr">
        <is>
          <t>https://ilga.org/ilga-world-maps/</t>
        </is>
      </c>
      <c r="S77" s="39" t="inlineStr">
        <is>
          <t>Adopted (Brazilian AI Strategy E-Digital 2021; updated in 2022)</t>
        </is>
      </c>
      <c r="T77" s="40" t="inlineStr">
        <is>
          <t>https://en.unesco.org/artificial-intelligence/observatory/policies?country=BR; https://www.unesco.org/ethics-ai/en/global-hub</t>
        </is>
      </c>
      <c r="U77" s="39" t="inlineStr">
        <is>
          <t>Yes (LGPD Art. 38 DPIA requirement)</t>
        </is>
      </c>
      <c r="V77" s="40" t="inlineStr">
        <is>
          <t>https://unctad.org/page/data-protection-and-privacy-legislation-worldwide</t>
        </is>
      </c>
      <c r="W77" s="39" t="inlineStr">
        <is>
          <t>Yes (biometric SIM registration increasingly required with facial/biometric KYC)</t>
        </is>
      </c>
      <c r="X77" s="40" t="inlineStr">
        <is>
          <t>https://www.gsma.com/solutions-and-impact/connectivity-for-good/public-policy/mobile-policy-handbook/consumer-protection/mandatory-registration-of-prepaid-sims/; https://privacyinternational.org/learn/sim-card-registration</t>
        </is>
      </c>
      <c r="AI77">
        <f>SUM(Y77:AH77)</f>
        <v/>
      </c>
      <c r="AJ77">
        <f>100-(AI77*(AI77/20))</f>
        <v/>
      </c>
      <c r="AK77" s="24">
        <f>100-(AJ77*(AJ77/MAX(AJ62:AJ77)))</f>
        <v/>
      </c>
      <c r="AL77" t="n">
        <v>25</v>
      </c>
    </row>
    <row r="78">
      <c r="A78" s="39" t="n">
        <v>135</v>
      </c>
      <c r="B78" s="39" t="inlineStr">
        <is>
          <t>Paraguay</t>
        </is>
      </c>
      <c r="C78" s="39" t="inlineStr">
        <is>
          <t>Americas</t>
        </is>
      </c>
      <c r="D78" s="39" t="inlineStr">
        <is>
          <t>MERCOSUR</t>
        </is>
      </c>
      <c r="E78" s="39" t="inlineStr">
        <is>
          <t>Draft — bill pending</t>
        </is>
      </c>
      <c r="F78" s="40" t="inlineStr">
        <is>
          <t>https://unctad.org/page/data-protection-and-privacy-legislation-worldwide</t>
        </is>
      </c>
      <c r="G78" s="39" t="inlineStr">
        <is>
          <t>None</t>
        </is>
      </c>
      <c r="H78" s="40" t="inlineStr">
        <is>
          <t>https://unctad.org/page/data-protection-and-privacy-legislation-worldwide</t>
        </is>
      </c>
      <c r="I78" s="39" t="inlineStr">
        <is>
          <t>No</t>
        </is>
      </c>
      <c r="J78" s="40" t="inlineStr">
        <is>
          <t>https://www.unicef.org/paraguay/</t>
        </is>
      </c>
      <c r="K78" s="39" t="inlineStr">
        <is>
          <t>No</t>
        </is>
      </c>
      <c r="L78" s="40" t="inlineStr">
        <is>
          <t>https://www.unicef.org/paraguay/</t>
        </is>
      </c>
      <c r="M78" s="39" t="inlineStr">
        <is>
          <t>No</t>
        </is>
      </c>
      <c r="N78" s="40" t="inlineStr">
        <is>
          <t>https://unctad.org/page/data-protection-and-privacy-legislation-worldwide</t>
        </is>
      </c>
      <c r="O78" s="39" t="inlineStr">
        <is>
          <t>Legal — decriminalised 1989, no recognition</t>
        </is>
      </c>
      <c r="P78" s="40" t="inlineStr">
        <is>
          <t>https://www.humandignitytrust.org/country-profile/paraguay/; https://ilga.org/ilga-world-maps/</t>
        </is>
      </c>
      <c r="Q78" s="39" t="inlineStr">
        <is>
          <t>Yes — media restrictions on LGBTQ content</t>
        </is>
      </c>
      <c r="R78" s="40" t="inlineStr">
        <is>
          <t>https://ilga.org/ilga-world-maps/</t>
        </is>
      </c>
      <c r="S78" s="39" t="inlineStr">
        <is>
          <t>Draft/Early — Digital Agenda 2020</t>
        </is>
      </c>
      <c r="T78" s="40" t="inlineStr">
        <is>
          <t>https://en.unesco.org/artificial-intelligence/observatory/policies?country=PY; https://www.unesco.org/ethics-ai/en/global-hub</t>
        </is>
      </c>
      <c r="U78" s="39" t="inlineStr">
        <is>
          <t>No</t>
        </is>
      </c>
      <c r="V78" s="40" t="inlineStr">
        <is>
          <t>https://unctad.org/page/data-protection-and-privacy-legislation-worldwide</t>
        </is>
      </c>
      <c r="W78" s="39" t="inlineStr">
        <is>
          <t>Yes</t>
        </is>
      </c>
      <c r="X78" s="40" t="inlineStr">
        <is>
          <t>https://www.gsma.com/solutions-and-impact/connectivity-for-good/public-policy/mobile-policy-handbook/consumer-protection/mandatory-registration-of-prepaid-sims/</t>
        </is>
      </c>
      <c r="AI78">
        <f>SUM(Y78:AH78)</f>
        <v/>
      </c>
      <c r="AJ78">
        <f>100-(AI78*(AI78/20))</f>
        <v/>
      </c>
      <c r="AK78" s="24">
        <f>100-(AJ78*(AJ78/MAX(AJ63:AJ78)))</f>
        <v/>
      </c>
      <c r="AL78" t="n">
        <v>135</v>
      </c>
    </row>
    <row r="79">
      <c r="A79" s="39" t="n">
        <v>188</v>
      </c>
      <c r="B79" s="39" t="inlineStr">
        <is>
          <t>Uruguay</t>
        </is>
      </c>
      <c r="C79" s="39" t="inlineStr">
        <is>
          <t>Americas</t>
        </is>
      </c>
      <c r="D79" s="39" t="inlineStr">
        <is>
          <t>MERCOSUR</t>
        </is>
      </c>
      <c r="E79" s="39" t="inlineStr">
        <is>
          <t>In force — Law No. 18.331</t>
        </is>
      </c>
      <c r="F79" s="40" t="inlineStr">
        <is>
          <t>https://unctad.org/page/data-protection-and-privacy-legislation-worldwide</t>
        </is>
      </c>
      <c r="G79" s="39" t="inlineStr">
        <is>
          <t>Strong</t>
        </is>
      </c>
      <c r="H79" s="40" t="inlineStr">
        <is>
          <t>https://unctad.org/page/data-protection-and-privacy-legislation-worldwide</t>
        </is>
      </c>
      <c r="I79" s="39" t="inlineStr">
        <is>
          <t>Partial</t>
        </is>
      </c>
      <c r="J79" s="40" t="inlineStr">
        <is>
          <t>https://unctad.org/page/data-protection-and-privacy-legislation-worldwide; https://www.unicef.org/uruguay/</t>
        </is>
      </c>
      <c r="K79" s="39" t="inlineStr">
        <is>
          <t>Partial</t>
        </is>
      </c>
      <c r="L79" s="40" t="inlineStr">
        <is>
          <t>https://www.unicef.org/uruguay/</t>
        </is>
      </c>
      <c r="M79" s="39" t="inlineStr">
        <is>
          <t>Yes</t>
        </is>
      </c>
      <c r="N79" s="40" t="inlineStr">
        <is>
          <t>https://unctad.org/page/data-protection-and-privacy-legislation-worldwide</t>
        </is>
      </c>
      <c r="O79" s="39" t="inlineStr">
        <is>
          <t>Equality/Marriage</t>
        </is>
      </c>
      <c r="P79" s="40" t="inlineStr">
        <is>
          <t>https://www.humandignitytrust.org/country-profile/uruguay/; https://ilga.org/ilga-world-maps/</t>
        </is>
      </c>
      <c r="Q79" s="39" t="inlineStr">
        <is>
          <t>No</t>
        </is>
      </c>
      <c r="R79" s="40" t="inlineStr">
        <is>
          <t>https://ilga.org/ilga-world-maps/</t>
        </is>
      </c>
      <c r="S79" s="39" t="inlineStr">
        <is>
          <t>Draft/Early — Uruguay AI plan</t>
        </is>
      </c>
      <c r="T79" s="40" t="inlineStr">
        <is>
          <t>https://en.unesco.org/artificial-intelligence/observatory/policies?country=UY; https://www.unesco.org/ethics-ai/en/global-hub</t>
        </is>
      </c>
      <c r="U79" s="39" t="inlineStr">
        <is>
          <t>No</t>
        </is>
      </c>
      <c r="V79" s="40" t="inlineStr">
        <is>
          <t>https://unctad.org/page/data-protection-and-privacy-legislation-worldwide</t>
        </is>
      </c>
      <c r="W79" s="39" t="inlineStr">
        <is>
          <t>No</t>
        </is>
      </c>
      <c r="X79" s="40" t="inlineStr">
        <is>
          <t>https://www.gsma.com/solutions-and-impact/connectivity-for-good/public-policy/mobile-policy-handbook/consumer-protection/mandatory-registration-of-prepaid-sims/</t>
        </is>
      </c>
      <c r="AI79">
        <f>SUM(Y79:AH79)</f>
        <v/>
      </c>
      <c r="AJ79">
        <f>100-(AI79*(AI79/20))</f>
        <v/>
      </c>
      <c r="AK79" s="24">
        <f>100-(AJ79*(AJ79/MAX(AJ71:AJ79)))</f>
        <v/>
      </c>
      <c r="AL79" t="n">
        <v>188</v>
      </c>
    </row>
    <row r="80">
      <c r="A80" t="n">
        <v>36</v>
      </c>
      <c r="B80" t="inlineStr">
        <is>
          <t>Chile</t>
        </is>
      </c>
      <c r="C80" t="inlineStr">
        <is>
          <t>Americas</t>
        </is>
      </c>
      <c r="D80" t="inlineStr">
        <is>
          <t>Pacific Alliance</t>
        </is>
      </c>
      <c r="E80" t="inlineStr">
        <is>
          <t>In force (Law No. 19.628 on Protection of Private Life; reform bill pending)</t>
        </is>
      </c>
      <c r="F80" s="50" t="inlineStr">
        <is>
          <t>https://unctad.org/page/data-protection-and-privacy-legislation-worldwide</t>
        </is>
      </c>
      <c r="G80" t="inlineStr">
        <is>
          <t>Weak (Council for Transparency has limited role; new DPA bill pending)</t>
        </is>
      </c>
      <c r="H80" s="50" t="inlineStr">
        <is>
          <t>https://unctad.org/page/data-protection-and-privacy-legislation-worldwide</t>
        </is>
      </c>
      <c r="I80" t="inlineStr">
        <is>
          <t>Partial (Child protection law; COP initiatives with UNICEF, but no standalone strategy)</t>
        </is>
      </c>
      <c r="J80" s="50" t="inlineStr">
        <is>
          <t>https://unctad.org/page/data-protection-and-privacy-legislation-worldwide; https://www.unicef.org/chile/</t>
        </is>
      </c>
      <c r="K80" t="inlineStr">
        <is>
          <t>Partial (government COP campaigns, UNICEF cooperation)</t>
        </is>
      </c>
      <c r="L80" s="50" t="inlineStr">
        <is>
          <t>https://www.unicef.org/chile/</t>
        </is>
      </c>
      <c r="M80" t="inlineStr">
        <is>
          <t>Yes (sensitive data includes sexual orientation, gender identity in reform bill)</t>
        </is>
      </c>
      <c r="N80" s="50" t="inlineStr">
        <is>
          <t>https://unctad.org/page/data-protection-and-privacy-legislation-worldwide</t>
        </is>
      </c>
      <c r="O80" t="inlineStr">
        <is>
          <t>Equality/Marriage (same-sex marriage legal since 2022)</t>
        </is>
      </c>
      <c r="P80" s="50" t="inlineStr">
        <is>
          <t>https://www.humandignitytrust.org/country-profile/chile/; https://ilga.org/ilga-world-maps/</t>
        </is>
      </c>
      <c r="Q80" t="inlineStr">
        <is>
          <t>No/Annulled</t>
        </is>
      </c>
      <c r="R80" s="50" t="inlineStr">
        <is>
          <t>https://ilga.org/ilga-world-maps/</t>
        </is>
      </c>
      <c r="S80" t="inlineStr">
        <is>
          <t>Adopted (National AI Policy 2021)</t>
        </is>
      </c>
      <c r="T80" s="50" t="inlineStr">
        <is>
          <t>https://en.unesco.org/artificial-intelligence/observatory/policies?country=CL; https://www.unesco.org/ethics-ai/en/global-hub</t>
        </is>
      </c>
      <c r="U80" t="inlineStr">
        <is>
          <t>No (not mandated yet)</t>
        </is>
      </c>
      <c r="V80" s="50" t="inlineStr">
        <is>
          <t>https://unctad.org/page/data-protection-and-privacy-legislation-worldwide</t>
        </is>
      </c>
      <c r="W80" t="inlineStr">
        <is>
          <t>No (SIM requires ID, not biometrics)</t>
        </is>
      </c>
      <c r="X80" s="50" t="inlineStr">
        <is>
          <t>https://www.gsma.com/solutions-and-impact/connectivity-for-good/public-policy/mobile-policy-handbook/consumer-protection/mandatory-registration-of-prepaid-sims/; https://privacyinternational.org/learn/sim-card-registration</t>
        </is>
      </c>
      <c r="AI80">
        <f>SUM(Y80:AH80)</f>
        <v/>
      </c>
      <c r="AJ80">
        <f>100-(AI80*(AI80/20))</f>
        <v/>
      </c>
      <c r="AK80" s="24">
        <f>100-(AJ80*(AJ80/MAX(AJ65:AJ80)))</f>
        <v/>
      </c>
      <c r="AL80" t="n">
        <v>36</v>
      </c>
    </row>
    <row r="81">
      <c r="A81" t="n">
        <v>38</v>
      </c>
      <c r="B81" t="inlineStr">
        <is>
          <t>Colombia</t>
        </is>
      </c>
      <c r="C81" t="inlineStr">
        <is>
          <t>Americas</t>
        </is>
      </c>
      <c r="D81" t="inlineStr">
        <is>
          <t>Pacific Alliance</t>
        </is>
      </c>
      <c r="E81" t="inlineStr">
        <is>
          <t>In force (Law 1581/2012; statutory law on data protection)</t>
        </is>
      </c>
      <c r="F81" s="50" t="inlineStr">
        <is>
          <t>https://unctad.org/page/data-protection-and-privacy-legislation-worldwide</t>
        </is>
      </c>
      <c r="G81" t="inlineStr">
        <is>
          <t>Strong/Independent (Superintendency of Industry and Commerce)</t>
        </is>
      </c>
      <c r="H81" s="50" t="inlineStr">
        <is>
          <t>https://unctad.org/page/data-protection-and-privacy-legislation-worldwide</t>
        </is>
      </c>
      <c r="I81" t="inlineStr">
        <is>
          <t>Yes (child data protected under Constitution and Law 1098/2006)</t>
        </is>
      </c>
      <c r="J81" s="50" t="inlineStr">
        <is>
          <t>https://unctad.org/page/data-protection-and-privacy-legislation-worldwide; https://www.unicef.org/colombia/</t>
        </is>
      </c>
      <c r="K81" t="inlineStr">
        <is>
          <t>Yes (national COP initiatives + UNICEF cooperation)</t>
        </is>
      </c>
      <c r="L81" s="50" t="inlineStr">
        <is>
          <t>https://www.unicef.org/colombia/</t>
        </is>
      </c>
      <c r="M81" t="inlineStr">
        <is>
          <t>Yes (explicitly recognised as sensitive data under Law 1581/2012)</t>
        </is>
      </c>
      <c r="N81" s="50" t="inlineStr">
        <is>
          <t>https://unctad.org/page/data-protection-and-privacy-legislation-worldwide</t>
        </is>
      </c>
      <c r="O81" t="inlineStr">
        <is>
          <t>Equality/Marriage (same-sex marriage recognised 2016)</t>
        </is>
      </c>
      <c r="P81" s="50" t="inlineStr">
        <is>
          <t>https://www.humandignitytrust.org/country-profile/colombia/; https://ilga.org/ilga-world-maps/</t>
        </is>
      </c>
      <c r="Q81" t="inlineStr">
        <is>
          <t>No/Annulled</t>
        </is>
      </c>
      <c r="R81" s="50" t="inlineStr">
        <is>
          <t>https://ilga.org/ilga-world-maps/</t>
        </is>
      </c>
      <c r="S81" t="inlineStr">
        <is>
          <t>Adopted (National AI Strategy 2019)</t>
        </is>
      </c>
      <c r="T81" s="50" t="inlineStr">
        <is>
          <t>https://en.unesco.org/artificial-intelligence/observatory/policies?country=CO; https://www.unesco.org/ethics-ai/en/global-hub</t>
        </is>
      </c>
      <c r="U81" t="inlineStr">
        <is>
          <t>No (not mandated)</t>
        </is>
      </c>
      <c r="V81" s="50" t="inlineStr">
        <is>
          <t>https://unctad.org/page/data-protection-and-privacy-legislation-worldwide</t>
        </is>
      </c>
      <c r="W81" t="inlineStr">
        <is>
          <t>Yes (biometric SIM registration required)</t>
        </is>
      </c>
      <c r="X81" s="50" t="inlineStr">
        <is>
          <t>https://www.gsma.com/solutions-and-impact/connectivity-for-good/public-policy/mobile-policy-handbook/consumer-protection/mandatory-registration-of-prepaid-sims/; https://privacyinternational.org/learn/sim-card-registration</t>
        </is>
      </c>
      <c r="AI81">
        <f>SUM(Y81:AH81)</f>
        <v/>
      </c>
      <c r="AJ81">
        <f>100-(AI81*(AI81/20))</f>
        <v/>
      </c>
      <c r="AK81" s="24">
        <f>100-(AJ81*(AJ81/MAX(AJ66:AJ81)))</f>
        <v/>
      </c>
      <c r="AL81" t="n">
        <v>38</v>
      </c>
    </row>
    <row r="82">
      <c r="A82" s="37" t="n">
        <v>41</v>
      </c>
      <c r="B82" s="37" t="inlineStr">
        <is>
          <t>Costa Rica</t>
        </is>
      </c>
      <c r="C82" s="37" t="inlineStr">
        <is>
          <t>Americas</t>
        </is>
      </c>
      <c r="D82" s="37" t="inlineStr">
        <is>
          <t>SICA</t>
        </is>
      </c>
      <c r="E82" s="37" t="inlineStr">
        <is>
          <t>In force (Law 8968 on Protection of Personal Data of Individuals, 2011)</t>
        </is>
      </c>
      <c r="F82" s="38" t="inlineStr">
        <is>
          <t>https://unctad.org/page/data-protection-and-privacy-legislation-worldwide</t>
        </is>
      </c>
      <c r="G82" s="37" t="inlineStr">
        <is>
          <t>Moderate (PRODHAB under Ministry of Justice; not fully independent)</t>
        </is>
      </c>
      <c r="H82" s="38" t="inlineStr">
        <is>
          <t>https://unctad.org/page/data-protection-and-privacy-legislation-worldwide</t>
        </is>
      </c>
      <c r="I82" s="37" t="inlineStr">
        <is>
          <t>Yes (constitutional protections + COP initiatives)</t>
        </is>
      </c>
      <c r="J82" s="38" t="inlineStr">
        <is>
          <t>https://unctad.org/page/data-protection-and-privacy-legislation-worldwide; https://www.unicef.org/costa-rica/</t>
        </is>
      </c>
      <c r="K82" s="37" t="inlineStr">
        <is>
          <t>Yes (national COP programs with UNICEF/ITU)</t>
        </is>
      </c>
      <c r="L82" s="38" t="inlineStr">
        <is>
          <t>https://www.unicef.org/costa-rica/</t>
        </is>
      </c>
      <c r="M82" s="37" t="inlineStr">
        <is>
          <t>Yes (sensitive data includes sexual orientation under law)</t>
        </is>
      </c>
      <c r="N82" s="38" t="inlineStr">
        <is>
          <t>https://unctad.org/page/data-protection-and-privacy-legislation-worldwide</t>
        </is>
      </c>
      <c r="O82" s="37" t="inlineStr">
        <is>
          <t>Equality/Marriage (same-sex marriage legal since 2020)</t>
        </is>
      </c>
      <c r="P82" s="38" t="inlineStr">
        <is>
          <t>https://www.humandignitytrust.org/country-profile/costa-rica/; https://ilga.org/ilga-world-maps/</t>
        </is>
      </c>
      <c r="Q82" s="37" t="inlineStr">
        <is>
          <t>No/Annulled</t>
        </is>
      </c>
      <c r="R82" s="38" t="inlineStr">
        <is>
          <t>https://ilga.org/ilga-world-maps/</t>
        </is>
      </c>
      <c r="S82" s="37" t="inlineStr">
        <is>
          <t>Draft/Early (AI referenced in National Digital Strategy 2022; AI policy in development)</t>
        </is>
      </c>
      <c r="T82" s="38" t="inlineStr">
        <is>
          <t>https://en.unesco.org/artificial-intelligence/observatory/policies?country=CR; https://www.unesco.org/ethics-ai/en/global-hub</t>
        </is>
      </c>
      <c r="U82" s="37" t="inlineStr">
        <is>
          <t>No</t>
        </is>
      </c>
      <c r="V82" s="38" t="inlineStr">
        <is>
          <t>https://unctad.org/page/data-protection-and-privacy-legislation-worldwide</t>
        </is>
      </c>
      <c r="W82" s="37" t="inlineStr">
        <is>
          <t>No (ID required; no biometrics)</t>
        </is>
      </c>
      <c r="X82" s="38" t="inlineStr">
        <is>
          <t>https://www.gsma.com/solutions-and-impact/connectivity-for-good/public-policy/mobile-policy-handbook/consumer-protection/mandatory-registration-of-prepaid-sims/; https://privacyinternational.org/learn/sim-card-registration</t>
        </is>
      </c>
      <c r="AI82">
        <f>SUM(Y82:AH82)</f>
        <v/>
      </c>
      <c r="AJ82">
        <f>100-(AI82*(AI82/20))</f>
        <v/>
      </c>
      <c r="AK82" s="24">
        <f>100-(AJ82*(AJ82/MAX(AJ78:AJ82)))</f>
        <v/>
      </c>
      <c r="AL82" t="n">
        <v>41</v>
      </c>
    </row>
    <row r="83">
      <c r="A83" s="37" t="n">
        <v>55</v>
      </c>
      <c r="B83" s="37" t="inlineStr">
        <is>
          <t>El Salvador</t>
        </is>
      </c>
      <c r="C83" s="37" t="inlineStr">
        <is>
          <t>Americas</t>
        </is>
      </c>
      <c r="D83" s="37" t="inlineStr">
        <is>
          <t>SICA</t>
        </is>
      </c>
      <c r="E83" s="37" t="inlineStr">
        <is>
          <t>Draft (bills pending, no law in force)</t>
        </is>
      </c>
      <c r="F83" s="38" t="inlineStr">
        <is>
          <t>https://unctad.org/page/data-protection-and-privacy-legislation-worldwide</t>
        </is>
      </c>
      <c r="G83" s="37" t="inlineStr">
        <is>
          <t>None (no DPA)</t>
        </is>
      </c>
      <c r="H83" s="38" t="inlineStr">
        <is>
          <t>https://unctad.org/page/data-protection-and-privacy-legislation-worldwide</t>
        </is>
      </c>
      <c r="I83" s="37" t="inlineStr">
        <is>
          <t>Partial (general child protections; no COP law)</t>
        </is>
      </c>
      <c r="J83" s="38" t="inlineStr">
        <is>
          <t>https://unctad.org/page/data-protection-and-privacy-legislation-worldwide; https://www.unicef.org/el-salvador/</t>
        </is>
      </c>
      <c r="K83" s="37" t="inlineStr">
        <is>
          <t>No</t>
        </is>
      </c>
      <c r="L83" s="38" t="inlineStr">
        <is>
          <t>https://www.unicef.org/el-salvador/</t>
        </is>
      </c>
      <c r="M83" s="37" t="inlineStr">
        <is>
          <t>No</t>
        </is>
      </c>
      <c r="N83" s="38" t="inlineStr">
        <is>
          <t>https://unctad.org/page/data-protection-and-privacy-legislation-worldwide</t>
        </is>
      </c>
      <c r="O83" s="37" t="inlineStr">
        <is>
          <t>Legal (no criminalisation; no recognition)</t>
        </is>
      </c>
      <c r="P83" s="38" t="inlineStr">
        <is>
          <t>https://www.humandignitytrust.org/country-profile/el-salvador/; https://ilga.org/ilga-world-maps/</t>
        </is>
      </c>
      <c r="Q83" s="37" t="inlineStr">
        <is>
          <t>Proposed/Unclear</t>
        </is>
      </c>
      <c r="R83" s="38" t="inlineStr">
        <is>
          <t>https://ilga.org/ilga-world-maps/</t>
        </is>
      </c>
      <c r="S83" s="37" t="inlineStr">
        <is>
          <t>None (no AI strategy)</t>
        </is>
      </c>
      <c r="T83" s="38" t="inlineStr">
        <is>
          <t>https://en.unesco.org/artificial-intelligence/observatory/policies?country=SV; https://www.unesco.org/ethics-ai/en/global-hub</t>
        </is>
      </c>
      <c r="U83" s="37" t="inlineStr">
        <is>
          <t>No</t>
        </is>
      </c>
      <c r="V83" s="38" t="inlineStr">
        <is>
          <t>https://unctad.org/page/data-protection-and-privacy-legislation-worldwide</t>
        </is>
      </c>
      <c r="W83" s="37" t="inlineStr">
        <is>
          <t>Yes (mandatory SIM registration with ID)</t>
        </is>
      </c>
      <c r="X83" s="38" t="inlineStr">
        <is>
          <t>https://www.gsma.com/solutions-and-impact/connectivity-for-good/public-policy/mobile-policy-handbook/consumer-protection/mandatory-registration-of-prepaid-sims/</t>
        </is>
      </c>
      <c r="AI83">
        <f>SUM(Y83:AH83)</f>
        <v/>
      </c>
      <c r="AJ83">
        <f>100-(AI83*(AI83/20))</f>
        <v/>
      </c>
      <c r="AK83" s="24">
        <f>100-(AJ83*(AJ83/MAX(AJ78:AJ83)))</f>
        <v/>
      </c>
      <c r="AL83" t="n">
        <v>55</v>
      </c>
    </row>
    <row r="84">
      <c r="A84" s="37" t="n">
        <v>71</v>
      </c>
      <c r="B84" s="37" t="inlineStr">
        <is>
          <t>Guatemala</t>
        </is>
      </c>
      <c r="C84" s="37" t="inlineStr">
        <is>
          <t>Americas</t>
        </is>
      </c>
      <c r="D84" s="37" t="inlineStr">
        <is>
          <t>SICA</t>
        </is>
      </c>
      <c r="E84" s="37" t="inlineStr">
        <is>
          <t>None</t>
        </is>
      </c>
      <c r="F84" s="38" t="inlineStr">
        <is>
          <t>https://unctad.org/page/data-protection-and-privacy-legislation-worldwide</t>
        </is>
      </c>
      <c r="G84" s="37" t="inlineStr">
        <is>
          <t>None</t>
        </is>
      </c>
      <c r="H84" s="38" t="inlineStr">
        <is>
          <t>https://unctad.org/page/data-protection-and-privacy-legislation-worldwide</t>
        </is>
      </c>
      <c r="I84" s="37" t="inlineStr">
        <is>
          <t>No</t>
        </is>
      </c>
      <c r="J84" s="38" t="inlineStr">
        <is>
          <t>https://www.unicef.org/guatemala/</t>
        </is>
      </c>
      <c r="K84" s="37" t="inlineStr">
        <is>
          <t>No</t>
        </is>
      </c>
      <c r="L84" s="38" t="inlineStr">
        <is>
          <t>https://www.unicef.org/guatemala/</t>
        </is>
      </c>
      <c r="M84" s="37" t="inlineStr">
        <is>
          <t>No</t>
        </is>
      </c>
      <c r="N84" s="38" t="inlineStr">
        <is>
          <t>https://unctad.org/page/data-protection-and-privacy-legislation-worldwide</t>
        </is>
      </c>
      <c r="O84" s="37" t="inlineStr">
        <is>
          <t>Criminalised (Bill 5272 attempts)</t>
        </is>
      </c>
      <c r="P84" s="38" t="inlineStr">
        <is>
          <t>https://www.humandignitytrust.org/country-profile/guatemala/; https://ilga.org/ilga-world-maps/</t>
        </is>
      </c>
      <c r="Q84" s="37" t="inlineStr">
        <is>
          <t>Proposed/Unclear (frequent restrictions proposed)</t>
        </is>
      </c>
      <c r="R84" s="38" t="inlineStr">
        <is>
          <t>https://ilga.org/ilga-world-maps/</t>
        </is>
      </c>
      <c r="S84" s="37" t="inlineStr">
        <is>
          <t>None</t>
        </is>
      </c>
      <c r="T84" s="38" t="inlineStr">
        <is>
          <t>https://en.unesco.org/artificial-intelligence/observatory/policies?country=GT; https://www.unesco.org/ethics-ai/en/global-hub</t>
        </is>
      </c>
      <c r="U84" s="37" t="inlineStr">
        <is>
          <t>No</t>
        </is>
      </c>
      <c r="V84" s="38" t="inlineStr">
        <is>
          <t>https://unctad.org/page/data-protection-and-privacy-legislation-worldwide</t>
        </is>
      </c>
      <c r="W84" s="37" t="inlineStr">
        <is>
          <t>Yes (SIMs tied to national ID)</t>
        </is>
      </c>
      <c r="X84" s="38" t="inlineStr">
        <is>
          <t>https://www.gsma.com/solutions-and-impact/connectivity-for-good/public-policy/mobile-policy-handbook/consumer-protection/mandatory-registration-of-prepaid-sims/</t>
        </is>
      </c>
      <c r="AI84">
        <f>SUM(Y84:AH84)</f>
        <v/>
      </c>
      <c r="AJ84">
        <f>100-(AI84*(AI84/20))</f>
        <v/>
      </c>
      <c r="AK84" s="24">
        <f>100-(AJ84*(AJ84/MAX(AJ78:AJ84)))</f>
        <v/>
      </c>
      <c r="AL84" t="n">
        <v>71</v>
      </c>
    </row>
    <row r="85">
      <c r="A85" s="37" t="n">
        <v>76</v>
      </c>
      <c r="B85" s="37" t="inlineStr">
        <is>
          <t>Honduras</t>
        </is>
      </c>
      <c r="C85" s="37" t="inlineStr">
        <is>
          <t>Americas</t>
        </is>
      </c>
      <c r="D85" s="37" t="inlineStr">
        <is>
          <t>SICA</t>
        </is>
      </c>
      <c r="E85" s="37" t="inlineStr">
        <is>
          <t>Draft (bills pending)</t>
        </is>
      </c>
      <c r="F85" s="38" t="inlineStr">
        <is>
          <t>https://unctad.org/page/data-protection-and-privacy-legislation-worldwide</t>
        </is>
      </c>
      <c r="G85" s="37" t="inlineStr">
        <is>
          <t>None</t>
        </is>
      </c>
      <c r="H85" s="38" t="inlineStr">
        <is>
          <t>https://unctad.org/page/data-protection-and-privacy-legislation-worldwide</t>
        </is>
      </c>
      <c r="I85" s="37" t="inlineStr">
        <is>
          <t>No</t>
        </is>
      </c>
      <c r="J85" s="38" t="inlineStr">
        <is>
          <t>https://www.unicef.org/honduras/</t>
        </is>
      </c>
      <c r="K85" s="37" t="inlineStr">
        <is>
          <t>No</t>
        </is>
      </c>
      <c r="L85" s="38" t="inlineStr">
        <is>
          <t>https://www.unicef.org/honduras/</t>
        </is>
      </c>
      <c r="M85" s="37" t="inlineStr">
        <is>
          <t>No</t>
        </is>
      </c>
      <c r="N85" s="38" t="inlineStr">
        <is>
          <t>https://unctad.org/page/data-protection-and-privacy-legislation-worldwide</t>
        </is>
      </c>
      <c r="O85" s="37" t="inlineStr">
        <is>
          <t>Criminalised (constitutional ban on marriage/rights)</t>
        </is>
      </c>
      <c r="P85" s="38" t="inlineStr">
        <is>
          <t>https://www.humandignitytrust.org/country-profile/honduras/; https://ilga.org/ilga-world-maps/</t>
        </is>
      </c>
      <c r="Q85" s="37" t="inlineStr">
        <is>
          <t>Yes (morality-based restrictions)</t>
        </is>
      </c>
      <c r="R85" s="38" t="inlineStr">
        <is>
          <t>https://ilga.org/ilga-world-maps/</t>
        </is>
      </c>
      <c r="S85" s="37" t="inlineStr">
        <is>
          <t>None</t>
        </is>
      </c>
      <c r="T85" s="38" t="inlineStr">
        <is>
          <t>https://en.unesco.org/artificial-intelligence/observatory/policies?country=HN; https://www.unesco.org/ethics-ai/en/global-hub</t>
        </is>
      </c>
      <c r="U85" s="37" t="inlineStr">
        <is>
          <t>No</t>
        </is>
      </c>
      <c r="V85" s="38" t="inlineStr">
        <is>
          <t>https://unctad.org/page/data-protection-and-privacy-legislation-worldwide</t>
        </is>
      </c>
      <c r="W85" s="37" t="inlineStr">
        <is>
          <t>Yes (mandatory SIM registration)</t>
        </is>
      </c>
      <c r="X85" s="38" t="inlineStr">
        <is>
          <t>https://www.gsma.com/solutions-and-impact/connectivity-for-good/public-policy/mobile-policy-handbook/consumer-protection/mandatory-registration-of-prepaid-sims/</t>
        </is>
      </c>
      <c r="AI85">
        <f>SUM(Y85:AH85)</f>
        <v/>
      </c>
      <c r="AJ85">
        <f>100-(AI85*(AI85/20))</f>
        <v/>
      </c>
      <c r="AK85" s="24">
        <f>100-(AJ85*(AJ85/MAX(AJ78:AJ85)))</f>
        <v/>
      </c>
      <c r="AL85" t="n">
        <v>76</v>
      </c>
    </row>
    <row r="86">
      <c r="A86" s="37" t="n">
        <v>125</v>
      </c>
      <c r="B86" s="37" t="inlineStr">
        <is>
          <t>Nicaragua</t>
        </is>
      </c>
      <c r="C86" s="37" t="inlineStr">
        <is>
          <t>Americas</t>
        </is>
      </c>
      <c r="D86" s="37" t="inlineStr">
        <is>
          <t>SICA</t>
        </is>
      </c>
      <c r="E86" s="37" t="inlineStr">
        <is>
          <t>In force (Law No. 787 on Personal Data Protection, 2012)</t>
        </is>
      </c>
      <c r="F86" s="38" t="inlineStr">
        <is>
          <t>https://unctad.org/page/data-protection-and-privacy-legislation-worldwide</t>
        </is>
      </c>
      <c r="G86" s="37" t="inlineStr">
        <is>
          <t>Weak (regulator under government control)</t>
        </is>
      </c>
      <c r="H86" s="38" t="inlineStr">
        <is>
          <t>https://unctad.org/page/data-protection-and-privacy-legislation-worldwide</t>
        </is>
      </c>
      <c r="I86" s="37" t="inlineStr">
        <is>
          <t>No</t>
        </is>
      </c>
      <c r="J86" s="38" t="inlineStr">
        <is>
          <t>https://www.unicef.org/nicaragua/</t>
        </is>
      </c>
      <c r="K86" s="37" t="inlineStr">
        <is>
          <t>No</t>
        </is>
      </c>
      <c r="L86" s="38" t="inlineStr">
        <is>
          <t>https://www.unicef.org/nicaragua/</t>
        </is>
      </c>
      <c r="M86" s="37" t="inlineStr">
        <is>
          <t>No</t>
        </is>
      </c>
      <c r="N86" s="38" t="inlineStr">
        <is>
          <t>https://unctad.org/page/data-protection-and-privacy-legislation-worldwide</t>
        </is>
      </c>
      <c r="O86" s="37" t="inlineStr">
        <is>
          <t>Legal (decriminalised 2008; no recognition)</t>
        </is>
      </c>
      <c r="P86" s="38" t="inlineStr">
        <is>
          <t>https://www.humandignitytrust.org/country-profile/nicaragua/; https://ilga.org/ilga-world-maps/</t>
        </is>
      </c>
      <c r="Q86" s="37" t="inlineStr">
        <is>
          <t>Yes (censorship powers used)</t>
        </is>
      </c>
      <c r="R86" s="38" t="inlineStr">
        <is>
          <t>https://ilga.org/ilga-world-maps/</t>
        </is>
      </c>
      <c r="S86" s="37" t="inlineStr">
        <is>
          <t>None</t>
        </is>
      </c>
      <c r="T86" s="38" t="inlineStr">
        <is>
          <t>https://en.unesco.org/artificial-intelligence/observatory/policies?country=NI; https://www.unesco.org/ethics-ai/en/global-hub</t>
        </is>
      </c>
      <c r="U86" s="37" t="inlineStr">
        <is>
          <t>No</t>
        </is>
      </c>
      <c r="V86" s="38" t="inlineStr">
        <is>
          <t>https://unctad.org/page/data-protection-and-privacy-legislation-worldwide</t>
        </is>
      </c>
      <c r="W86" s="37" t="inlineStr">
        <is>
          <t>Yes</t>
        </is>
      </c>
      <c r="X86" s="38" t="inlineStr">
        <is>
          <t>https://www.gsma.com/solutions-and-impact/connectivity-for-good/public-policy/mobile-policy-handbook/consumer-protection/mandatory-registration-of-prepaid-sims/</t>
        </is>
      </c>
      <c r="AI86">
        <f>SUM(Y86:AH86)</f>
        <v/>
      </c>
      <c r="AJ86">
        <f>100-(AI86*(AI86/20))</f>
        <v/>
      </c>
      <c r="AK86" s="24">
        <f>100-(AJ86*(AJ86/MAX(AJ78:AJ86)))</f>
        <v/>
      </c>
      <c r="AL86" t="n">
        <v>125</v>
      </c>
    </row>
    <row r="87">
      <c r="A87" s="37" t="n">
        <v>133</v>
      </c>
      <c r="B87" s="37" t="inlineStr">
        <is>
          <t>Panama</t>
        </is>
      </c>
      <c r="C87" s="37" t="inlineStr">
        <is>
          <t>Americas</t>
        </is>
      </c>
      <c r="D87" s="37" t="inlineStr">
        <is>
          <t>SICA</t>
        </is>
      </c>
      <c r="E87" s="37" t="inlineStr">
        <is>
          <t>In force — Law 81 (2019)</t>
        </is>
      </c>
      <c r="F87" s="38" t="inlineStr">
        <is>
          <t>https://unctad.org/page/data-protection-and-privacy-legislation-worldwide</t>
        </is>
      </c>
      <c r="G87" s="37" t="inlineStr">
        <is>
          <t>Weak — regulator under Ministry</t>
        </is>
      </c>
      <c r="H87" s="38" t="inlineStr">
        <is>
          <t>https://unctad.org/page/data-protection-and-privacy-legislation-worldwide</t>
        </is>
      </c>
      <c r="I87" s="37" t="inlineStr">
        <is>
          <t>Partial</t>
        </is>
      </c>
      <c r="J87" s="38" t="inlineStr">
        <is>
          <t>https://unctad.org/page/data-protection-and-privacy-legislation-worldwide; https://www.unicef.org/panama/</t>
        </is>
      </c>
      <c r="K87" s="37" t="inlineStr">
        <is>
          <t>Partial</t>
        </is>
      </c>
      <c r="L87" s="38" t="inlineStr">
        <is>
          <t>https://www.unicef.org/panama/</t>
        </is>
      </c>
      <c r="M87" s="37" t="inlineStr">
        <is>
          <t>No</t>
        </is>
      </c>
      <c r="N87" s="38" t="inlineStr">
        <is>
          <t>https://unctad.org/page/data-protection-and-privacy-legislation-worldwide</t>
        </is>
      </c>
      <c r="O87" s="37" t="inlineStr">
        <is>
          <t>Legal — decriminalised 2008, no marriage</t>
        </is>
      </c>
      <c r="P87" s="38" t="inlineStr">
        <is>
          <t>https://www.humandignitytrust.org/country-profile/panama/; https://ilga.org/ilga-world-maps/</t>
        </is>
      </c>
      <c r="Q87" s="37" t="inlineStr">
        <is>
          <t>No</t>
        </is>
      </c>
      <c r="R87" s="38" t="inlineStr">
        <is>
          <t>https://ilga.org/ilga-world-maps/</t>
        </is>
      </c>
      <c r="S87" s="37" t="inlineStr">
        <is>
          <t>Draft/Early — Digital Agenda Panama 4.0</t>
        </is>
      </c>
      <c r="T87" s="38" t="inlineStr">
        <is>
          <t>https://en.unesco.org/artificial-intelligence/observatory/policies?country=PA; https://www.unesco.org/ethics-ai/en/global-hub</t>
        </is>
      </c>
      <c r="U87" s="37" t="inlineStr">
        <is>
          <t>No</t>
        </is>
      </c>
      <c r="V87" s="38" t="inlineStr">
        <is>
          <t>https://unctad.org/page/data-protection-and-privacy-legislation-worldwide</t>
        </is>
      </c>
      <c r="W87" s="37" t="inlineStr">
        <is>
          <t>Yes — SIM tied to ID</t>
        </is>
      </c>
      <c r="X87" s="38" t="inlineStr">
        <is>
          <t>https://www.gsma.com/solutions-and-impact/connectivity-for-good/public-policy/mobile-policy-handbook/consumer-protection/mandatory-registration-of-prepaid-sims/</t>
        </is>
      </c>
      <c r="AI87">
        <f>SUM(Y87:AH87)</f>
        <v/>
      </c>
      <c r="AJ87">
        <f>100-(AI87*(AI87/20))</f>
        <v/>
      </c>
      <c r="AK87" s="24">
        <f>100-(AJ87*(AJ87/MAX(AJ78:AJ87)))</f>
        <v/>
      </c>
      <c r="AL87" t="n">
        <v>133</v>
      </c>
    </row>
    <row r="88">
      <c r="A88" s="27" t="n">
        <v>33</v>
      </c>
      <c r="B88" s="27" t="inlineStr">
        <is>
          <t>Canada</t>
        </is>
      </c>
      <c r="C88" s="27" t="inlineStr">
        <is>
          <t>Americas</t>
        </is>
      </c>
      <c r="D88" s="27" t="inlineStr">
        <is>
          <t>USMCA</t>
        </is>
      </c>
      <c r="E88" s="27" t="inlineStr">
        <is>
          <t>Canada regulates federal public bodies under the Privacy Act (R.S.C., 1985, c. P-21) and private-sector organizations under the Personal Information Protection and Electronic Documents Act (PIPEDA) (S.C. 2000, c. 5). Three provinces have “substantially similar” private-sector laws—Québec’s Act respecting the protection of personal information in the private sector (modernized by 2021, c. 25 (“Law 25”)), Alberta’s Personal Information Protection Act, and British Columbia’s Personal Information Protection Act—which generally apply to provincially regulated activities in place of PIPEDA; PIPEDA still governs cross-border and federally regulated activities.</t>
        </is>
      </c>
      <c r="F88" s="28" t="inlineStr">
        <is>
          <t>https://laws-lois.justice.gc.ca/eng/acts/p-21/ https://laws-lois.justice.gc.ca/eng/acts/p-8.6/ https://www.legisquebec.gouv.qc.ca/en/showdoc/cs/P-39.1 https://www.publicationsduquebec.gouv.qc.ca/fileadmin/Fichiers_client/lois_et_reglements/LoisAnnuelles/en/2021/2021C25A.PDF https://www.qp.alberta.ca/documents/Acts/P06P5.pdf https://www.bclaws.gov.bc.ca/civix/document/id/complete/statreg/03063_01</t>
        </is>
      </c>
      <c r="G88" s="27" t="inlineStr">
        <is>
          <t>The Office of the Privacy Commissioner of Canada is an independent Agent of Parliament that oversees compliance with the Privacy Act and PIPEDA and reports directly to Parliament rather than to a minister.</t>
        </is>
      </c>
      <c r="H88" s="28" t="inlineStr">
        <is>
          <t>https://www.priv.gc.ca/en/about-the-opc/who-we-are/ https://www.priv.gc.ca/en/about-the-opc/what-we-do/</t>
        </is>
      </c>
      <c r="I88" s="27" t="inlineStr">
        <is>
          <t>Under PIPEDA, organizations must obtain “meaningful consent,” and OPC guidance stresses heightened protections for children; consent practices must match a child’s maturity and, for young children who cannot meaningfully consent, be obtained from a parent/guardian. Québec’s Law 25 further strengthens safeguards for minors, including privacy-by-default and a requirement that the holder of parental authority consent to the collection of personal information about a child under 14, subject to the child’s best interests.</t>
        </is>
      </c>
      <c r="J88" s="28" t="inlineStr">
        <is>
          <t>https://www.priv.gc.ca/en/privacy-topics/collecting-personal-information/consent/gl_omc_201805/ https://www.publicationsduquebec.gouv.qc.ca/fileadmin/Fichiers_client/lois_et_reglements/LoisAnnuelles/en/2021/2021C25A.PDF</t>
        </is>
      </c>
      <c r="K88" s="27" t="inlineStr">
        <is>
          <t>Canada maintains a National Strategy for the Protection of Children from Sexual Exploitation on the Internet led by Public Safety Canada, supporting the RCMP’s National Child Exploitation Crime Centre and the Canadian Centre for Child Protection.</t>
        </is>
      </c>
      <c r="L88" s="28" t="inlineStr">
        <is>
          <t>https://www.publicsafety.gc.ca/cnt/rsrcs/pblctns/ntnl-strtgy-prtctn-chldrn-sexplttn/index-en.aspx https://www.rcmp-grc.gc.ca/en/national-child-exploitation-crime-centre</t>
        </is>
      </c>
      <c r="M88" s="27" t="inlineStr">
        <is>
          <t>OPC interpretation treats information about sexual orientation and an individual’s sex life as generally “sensitive,” typically requiring stronger safeguards and a higher threshold for collection and use under PIPEDA.</t>
        </is>
      </c>
      <c r="N88" s="28" t="inlineStr">
        <is>
          <t>https://www.priv.gc.ca/en/privacy-topics/privacy-laws-in-canada/the-personal-information-protection-and-electronic-documents-act-pipeda/pipeda-compliance-help/pipeda-interpretation-bulletins/interpretations_10_sensible/</t>
        </is>
      </c>
      <c r="O88" s="27" t="inlineStr">
        <is>
          <t>Same-sex marriage has been legal nationwide since the Civil Marriage Act (S.C. 2005, c. 33). The Canadian Human Rights Act prohibits discrimination based on sexual orientation and, since 2017 (Bill C-16), expressly includes gender identity or expression. The Criminal Code’s hate-propaganda framework applies to “identifiable groups,” including sexual orientation and gender identity/expression.</t>
        </is>
      </c>
      <c r="P88" s="28" t="inlineStr">
        <is>
          <t>https://laws-lois.justice.gc.ca/eng/acts/c-31.5/ https://laws-lois.justice.gc.ca/eng/acts/h-6/ https://www.parl.ca/DocumentViewer/en/42-1/bill/C-16/royal-assent https://laws-lois.justice.gc.ca/eng/acts/C-46/section-318.html</t>
        </is>
      </c>
      <c r="Q88" s="27" t="inlineStr">
        <is>
          <t>Canada does not criminalize the “promotion” of LGBTQ identities; instead, the Criminal Code prohibits advocating genocide (s.318) and the public incitement or wilful promotion of hatred against an identifiable group (s.319). “Conversion therapy” is expressly criminalized by 2021, c. 24 (in force Jan. 7, 2022).</t>
        </is>
      </c>
      <c r="R88" s="28" t="inlineStr">
        <is>
          <t>https://laws-lois.justice.gc.ca/eng/acts/C-46/section-318.html https://laws-lois.justice.gc.ca/eng/acts/C-46/section-319.html https://laws.justice.gc.ca/eng/AnnualStatutes/2021_24/FullText.html</t>
        </is>
      </c>
      <c r="S88" s="27" t="inlineStr">
        <is>
          <t>There is no stand-alone federal AI statute in force; federal departments are bound by the Treasury Board’s Directive on Automated Decision-Making (2019), which requires Algorithmic Impact Assessments, tiered safeguards, transparency and human oversight. The Pan-Canadian Artificial Intelligence Strategy (2017; renewed 2022) is a national funding program supporting AI research and talent (not a regulatory law).</t>
        </is>
      </c>
      <c r="T88" s="28" t="inlineStr">
        <is>
          <t>https://www.tbs-sct.canada.ca/pol/doc-eng.aspx?id=32592 https://www.canada.ca/en/government/system/digital-government/digital-government-innovations/responsible-use-ai/algorithmic-impact-assessment.html https://www.cifar.ca/ai/pan-canadian-artificial-intelligence-strategy</t>
        </is>
      </c>
      <c r="U88" s="27" t="inlineStr">
        <is>
          <t>Federal institutions must conduct Privacy Impact Assessments for programs/activities that involve personal information under the Treasury Board Directive; Québec’s Law 25 requires privacy impact assessments for projects involving systems or services that process personal information, capturing many higher-risk automated/AI deployments in that province.</t>
        </is>
      </c>
      <c r="V88" s="28" t="inlineStr">
        <is>
          <t>https://www.tbs-sct.canada.ca/pol/doc-eng.aspx?id=18308 https://www.priv.gc.ca/en/privacy-topics/privacy-impact-assessments/ https://www.publicationsduquebec.gouv.qc.ca/fileadmin/Fichiers_client/lois_et_reglements/LoisAnnuelles/en/2021/2021C25A.PDF</t>
        </is>
      </c>
      <c r="W88" s="27" t="inlineStr">
        <is>
          <t>No federal statute mandates SIM registration linked to a national ID or to biometrics. Wireless services are governed by the Telecommunications Act and the CRTC’s Wireless Code; carriers may verify identity for service/credit purposes, but there is no requirement to register SIMs with biometric data, and any biometric collection would be subject to PIPEDA’s consent and necessity limits.</t>
        </is>
      </c>
      <c r="X88" s="28" t="inlineStr">
        <is>
          <t>https://laws-lois.justice.gc.ca/eng/acts/t-3.4/ https://crtc.gc.ca/eng/phone/mobile/codesimpl.htm https://laws-lois.justice.gc.ca/eng/acts/p-8.6/</t>
        </is>
      </c>
      <c r="AI88">
        <f>SUM(Y88:AH88)</f>
        <v/>
      </c>
      <c r="AJ88">
        <f>100-(AI88*(AI88/20))</f>
        <v/>
      </c>
      <c r="AK88" s="24">
        <f>100-(AJ88*(AJ88/MAX(AJ88:AJ90)))</f>
        <v/>
      </c>
      <c r="AL88" t="n">
        <v>33</v>
      </c>
    </row>
    <row r="89">
      <c r="A89" s="27" t="n">
        <v>112</v>
      </c>
      <c r="B89" s="27" t="inlineStr">
        <is>
          <t>Mexico</t>
        </is>
      </c>
      <c r="C89" s="27" t="inlineStr">
        <is>
          <t>Americas</t>
        </is>
      </c>
      <c r="D89" s="27" t="inlineStr">
        <is>
          <t>USMCA</t>
        </is>
      </c>
      <c r="E89" s="27" t="inlineStr">
        <is>
          <t>In force (Federal Law on Protection of Personal Data Held by Private Parties, 2010)</t>
        </is>
      </c>
      <c r="F89" s="28" t="inlineStr">
        <is>
          <t>https://unctad.org/page/data-protection-and-privacy-legislation-worldwide</t>
        </is>
      </c>
      <c r="G89" s="27" t="inlineStr">
        <is>
          <t>Strong/Independent (INAI)</t>
        </is>
      </c>
      <c r="H89" s="28" t="inlineStr">
        <is>
          <t>https://unctad.org/page/data-protection-and-privacy-legislation-worldwide</t>
        </is>
      </c>
      <c r="I89" s="27" t="inlineStr">
        <is>
          <t>Partial</t>
        </is>
      </c>
      <c r="J89" s="28" t="inlineStr">
        <is>
          <t>https://unctad.org/page/data-protection-and-privacy-legislation-worldwide; https://www.unicef.org/mexico/</t>
        </is>
      </c>
      <c r="K89" s="27" t="inlineStr">
        <is>
          <t>Partial</t>
        </is>
      </c>
      <c r="L89" s="28" t="inlineStr">
        <is>
          <t>https://www.unicef.org/mexico/</t>
        </is>
      </c>
      <c r="M89" s="27" t="inlineStr">
        <is>
          <t>Yes</t>
        </is>
      </c>
      <c r="N89" s="28" t="inlineStr">
        <is>
          <t>https://unctad.org/page/data-protection-and-privacy-legislation-worldwide</t>
        </is>
      </c>
      <c r="O89" s="27" t="inlineStr">
        <is>
          <t>Equality/Marriage (nationwide since 2022)</t>
        </is>
      </c>
      <c r="P89" s="28" t="inlineStr">
        <is>
          <t>https://www.humandignitytrust.org/country-profile/mexico/; https://ilga.org/ilga-world-maps/</t>
        </is>
      </c>
      <c r="Q89" s="27" t="inlineStr">
        <is>
          <t>No</t>
        </is>
      </c>
      <c r="R89" s="28" t="inlineStr">
        <is>
          <t>https://ilga.org/ilga-world-maps/</t>
        </is>
      </c>
      <c r="S89" s="27" t="inlineStr">
        <is>
          <t>Draft/Early (AI policy proposals 2018; no strategy adopted)</t>
        </is>
      </c>
      <c r="T89" s="28" t="inlineStr">
        <is>
          <t>https://en.unesco.org/artificial-intelligence/observatory/policies?country=MX; https://www.unesco.org/ethics-ai/en/global-hub</t>
        </is>
      </c>
      <c r="U89" s="27" t="inlineStr">
        <is>
          <t>Partial (PIAs encouraged; not mandatory)</t>
        </is>
      </c>
      <c r="V89" s="28" t="inlineStr">
        <is>
          <t>https://unctad.org/page/data-protection-and-privacy-legislation-worldwide</t>
        </is>
      </c>
      <c r="W89" s="27" t="inlineStr">
        <is>
          <t>Yes (registry created 2021; later repealed)</t>
        </is>
      </c>
      <c r="X89" s="28" t="inlineStr">
        <is>
          <t>https://www.gsma.com/solutions-and-impact/connectivity-for-good/public-policy/mobile-policy-handbook/consumer-protection/mandatory-registration-of-prepaid-sims/</t>
        </is>
      </c>
      <c r="AI89">
        <f>SUM(Y89:AH89)</f>
        <v/>
      </c>
      <c r="AJ89">
        <f>100-(AI89*(AI89/20))</f>
        <v/>
      </c>
      <c r="AK89" s="24">
        <f>100-(AJ89*(AJ89/MAX(AJ88:AJ90)))</f>
        <v/>
      </c>
      <c r="AL89" t="n">
        <v>112</v>
      </c>
    </row>
    <row r="90">
      <c r="A90" s="27" t="n">
        <v>187</v>
      </c>
      <c r="B90" s="27" t="inlineStr">
        <is>
          <t>United States of America</t>
        </is>
      </c>
      <c r="C90" s="27" t="inlineStr">
        <is>
          <t>Americas</t>
        </is>
      </c>
      <c r="D90" s="27" t="inlineStr">
        <is>
          <t>USMCA</t>
        </is>
      </c>
      <c r="E90" s="27" t="inlineStr">
        <is>
          <t>No comprehensive law</t>
        </is>
      </c>
      <c r="F90" s="28" t="inlineStr">
        <is>
          <t>https://unctad.org/page/data-protection-and-privacy-legislation-worldwide</t>
        </is>
      </c>
      <c r="G90" s="27" t="inlineStr">
        <is>
          <t>None</t>
        </is>
      </c>
      <c r="H90" s="28" t="inlineStr">
        <is>
          <t>https://unctad.org/page/data-protection-and-privacy-legislation-worldwide</t>
        </is>
      </c>
      <c r="I90" s="27" t="inlineStr">
        <is>
          <t>Yes — COPPA</t>
        </is>
      </c>
      <c r="J90" s="28" t="inlineStr">
        <is>
          <t>https://unctad.org/page/data-protection-and-privacy-legislation-worldwide; https://www.unicef.org/united-states-of-america/</t>
        </is>
      </c>
      <c r="K90" s="27" t="inlineStr">
        <is>
          <t>Yes</t>
        </is>
      </c>
      <c r="L90" s="28" t="inlineStr">
        <is>
          <t>https://www.unicef.org/united-states-of-america/</t>
        </is>
      </c>
      <c r="M90" s="27" t="inlineStr">
        <is>
          <t>Partial</t>
        </is>
      </c>
      <c r="N90" s="28" t="inlineStr">
        <is>
          <t>https://unctad.org/page/data-protection-and-privacy-legislation-worldwide</t>
        </is>
      </c>
      <c r="O90" s="27" t="inlineStr">
        <is>
          <t>Equality/Marriage</t>
        </is>
      </c>
      <c r="P90" s="28" t="inlineStr">
        <is>
          <t>https://www.humandignitytrust.org/country-profile/united-states-of-america/; https://ilga.org/ilga-world-maps/</t>
        </is>
      </c>
      <c r="Q90" s="27" t="inlineStr">
        <is>
          <t>No</t>
        </is>
      </c>
      <c r="R90" s="28" t="inlineStr">
        <is>
          <t>https://ilga.org/ilga-world-maps/</t>
        </is>
      </c>
      <c r="S90" s="27" t="inlineStr">
        <is>
          <t>Adopted — US AI Strategy 2023</t>
        </is>
      </c>
      <c r="T90" s="28" t="inlineStr">
        <is>
          <t>https://en.unesco.org/artificial-intelligence/observatory/policies?country=US; https://www.unesco.org/ethics-ai/en/global-hub</t>
        </is>
      </c>
      <c r="U90" s="27" t="inlineStr">
        <is>
          <t>No</t>
        </is>
      </c>
      <c r="V90" s="28" t="inlineStr">
        <is>
          <t>https://unctad.org/page/data-protection-and-privacy-legislation-worldwide</t>
        </is>
      </c>
      <c r="W90" s="27" t="inlineStr">
        <is>
          <t>No</t>
        </is>
      </c>
      <c r="X90" s="28" t="inlineStr">
        <is>
          <t>https://www.gsma.com/solutions-and-impact/connectivity-for-good/public-policy/mobile-policy-handbook/consumer-protection/mandatory-registration-of-prepaid-sims/</t>
        </is>
      </c>
      <c r="AI90">
        <f>SUM(Y90:AH90)</f>
        <v/>
      </c>
      <c r="AJ90">
        <f>100-(AI90*(AI90/20))</f>
        <v/>
      </c>
      <c r="AK90" s="24">
        <f>100-(AJ90*(AJ90/MAX(AJ88:AJ90)))</f>
        <v/>
      </c>
      <c r="AL90" t="n">
        <v>187</v>
      </c>
    </row>
    <row r="91">
      <c r="A91" s="35" t="n">
        <v>82</v>
      </c>
      <c r="B91" s="35" t="inlineStr">
        <is>
          <t>Iraq</t>
        </is>
      </c>
      <c r="C91" s="35" t="inlineStr">
        <is>
          <t>Asia</t>
        </is>
      </c>
      <c r="D91" s="35" t="inlineStr">
        <is>
          <t>Arab League</t>
        </is>
      </c>
      <c r="E91" s="35" t="inlineStr">
        <is>
          <t>Draft (no comprehensive law)</t>
        </is>
      </c>
      <c r="F91" s="36" t="inlineStr">
        <is>
          <t>https://unctad.org/page/data-protection-and-privacy-legislation-worldwide</t>
        </is>
      </c>
      <c r="G91" s="35" t="inlineStr">
        <is>
          <t>None</t>
        </is>
      </c>
      <c r="H91" s="36" t="inlineStr">
        <is>
          <t>https://unctad.org/page/data-protection-and-privacy-legislation-worldwide</t>
        </is>
      </c>
      <c r="I91" s="35" t="inlineStr">
        <is>
          <t>No</t>
        </is>
      </c>
      <c r="J91" s="36" t="inlineStr">
        <is>
          <t>https://www.unicef.org/iraq/</t>
        </is>
      </c>
      <c r="K91" s="35" t="inlineStr">
        <is>
          <t>No</t>
        </is>
      </c>
      <c r="L91" s="36" t="inlineStr">
        <is>
          <t>https://www.unicef.org/iraq/</t>
        </is>
      </c>
      <c r="M91" s="35" t="inlineStr">
        <is>
          <t>No</t>
        </is>
      </c>
      <c r="N91" s="36" t="inlineStr">
        <is>
          <t>https://unctad.org/page/data-protection-and-privacy-legislation-worldwide</t>
        </is>
      </c>
      <c r="O91" s="35" t="inlineStr">
        <is>
          <t>Criminalised (morality laws applied)</t>
        </is>
      </c>
      <c r="P91" s="36" t="inlineStr">
        <is>
          <t>https://www.humandignitytrust.org/country-profile/iraq/; https://ilga.org/ilga-world-maps/</t>
        </is>
      </c>
      <c r="Q91" s="35" t="inlineStr">
        <is>
          <t>Yes</t>
        </is>
      </c>
      <c r="R91" s="36" t="inlineStr">
        <is>
          <t>https://ilga.org/ilga-world-maps/</t>
        </is>
      </c>
      <c r="S91" s="35" t="inlineStr">
        <is>
          <t>None</t>
        </is>
      </c>
      <c r="T91" s="36" t="inlineStr">
        <is>
          <t>https://en.unesco.org/artificial-intelligence/observatory/policies?country=IQ; https://www.unesco.org/ethics-ai/en/global-hub</t>
        </is>
      </c>
      <c r="U91" s="35" t="inlineStr">
        <is>
          <t>No</t>
        </is>
      </c>
      <c r="V91" s="36" t="inlineStr">
        <is>
          <t>https://unctad.org/page/data-protection-and-privacy-legislation-worldwide</t>
        </is>
      </c>
      <c r="W91" s="35" t="inlineStr">
        <is>
          <t>Yes (biometric SIM registration mandatory)</t>
        </is>
      </c>
      <c r="X91" s="36" t="inlineStr">
        <is>
          <t>https://www.gsma.com/solutions-and-impact/connectivity-for-good/public-policy/mobile-policy-handbook/consumer-protection/mandatory-registration-of-prepaid-sims/; https://privacyinternational.org/learn/sim-card-registration</t>
        </is>
      </c>
      <c r="AI91">
        <f>SUM(Y91:AH91)</f>
        <v/>
      </c>
      <c r="AJ91">
        <f>100-(AI91*(AI91/20))</f>
        <v/>
      </c>
      <c r="AK91" s="24">
        <f>100-(AJ91*(AJ91/MAX(AJ80:AJ91)))</f>
        <v/>
      </c>
      <c r="AL91" t="n">
        <v>82</v>
      </c>
    </row>
    <row r="92">
      <c r="A92" s="35" t="n">
        <v>88</v>
      </c>
      <c r="B92" s="35" t="inlineStr">
        <is>
          <t>Jordan</t>
        </is>
      </c>
      <c r="C92" s="35" t="inlineStr">
        <is>
          <t>Asia</t>
        </is>
      </c>
      <c r="D92" s="35" t="inlineStr">
        <is>
          <t>Arab League</t>
        </is>
      </c>
      <c r="E92" s="35" t="inlineStr">
        <is>
          <t>Draft (bill pending)</t>
        </is>
      </c>
      <c r="F92" s="36" t="inlineStr">
        <is>
          <t>https://unctad.org/page/data-protection-and-privacy-legislation-worldwide</t>
        </is>
      </c>
      <c r="G92" s="35" t="inlineStr">
        <is>
          <t>None (regulator not operational)</t>
        </is>
      </c>
      <c r="H92" s="36" t="inlineStr">
        <is>
          <t>https://unctad.org/page/data-protection-and-privacy-legislation-worldwide</t>
        </is>
      </c>
      <c r="I92" s="35" t="inlineStr">
        <is>
          <t>No (general child protections only)</t>
        </is>
      </c>
      <c r="J92" s="36" t="inlineStr">
        <is>
          <t>https://unctad.org/page/data-protection-and-privacy-legislation-worldwide; https://www.unicef.org/jordan/</t>
        </is>
      </c>
      <c r="K92" s="35" t="inlineStr">
        <is>
          <t>No</t>
        </is>
      </c>
      <c r="L92" s="36" t="inlineStr">
        <is>
          <t>https://www.unicef.org/jordan/</t>
        </is>
      </c>
      <c r="M92" s="35" t="inlineStr">
        <is>
          <t>No</t>
        </is>
      </c>
      <c r="N92" s="36" t="inlineStr">
        <is>
          <t>https://unctad.org/page/data-protection-and-privacy-legislation-worldwide</t>
        </is>
      </c>
      <c r="O92" s="35" t="inlineStr">
        <is>
          <t>Legal (no criminalisation; no marriage equality)</t>
        </is>
      </c>
      <c r="P92" s="36" t="inlineStr">
        <is>
          <t>https://www.humandignitytrust.org/country-profile/jordan/; https://ilga.org/ilga-world-maps/</t>
        </is>
      </c>
      <c r="Q92" s="35" t="inlineStr">
        <is>
          <t>Proposed/Unclear (morality restrictions in practice)</t>
        </is>
      </c>
      <c r="R92" s="36" t="inlineStr">
        <is>
          <t>https://ilga.org/ilga-world-maps/</t>
        </is>
      </c>
      <c r="S92" s="35" t="inlineStr">
        <is>
          <t>Draft/Early (AI initiatives via Digital Economy Ministry; no formal strategy)</t>
        </is>
      </c>
      <c r="T92" s="36" t="inlineStr">
        <is>
          <t>https://en.unesco.org/artificial-intelligence/observatory/policies?country=JO; https://www.unesco.org/ethics-ai/en/global-hub</t>
        </is>
      </c>
      <c r="U92" s="35" t="inlineStr">
        <is>
          <t>No</t>
        </is>
      </c>
      <c r="V92" s="36" t="inlineStr">
        <is>
          <t>https://unctad.org/page/data-protection-and-privacy-legislation-worldwide</t>
        </is>
      </c>
      <c r="W92" s="35" t="inlineStr">
        <is>
          <t>Yes (SIM registration tied to national ID)</t>
        </is>
      </c>
      <c r="X92" s="36" t="inlineStr">
        <is>
          <t>https://www.gsma.com/solutions-and-impact/connectivity-for-good/public-policy/mobile-policy-handbook/consumer-protection/mandatory-registration-of-prepaid-sims/</t>
        </is>
      </c>
      <c r="AI92">
        <f>SUM(Y92:AH92)</f>
        <v/>
      </c>
      <c r="AJ92">
        <f>100-(AI92*(AI92/20))</f>
        <v/>
      </c>
      <c r="AK92" s="24">
        <f>100-(AJ92*(AJ92/MAX(AJ80:AJ92)))</f>
        <v/>
      </c>
      <c r="AL92" t="n">
        <v>88</v>
      </c>
    </row>
    <row r="93">
      <c r="A93" s="35" t="n">
        <v>96</v>
      </c>
      <c r="B93" s="35" t="inlineStr">
        <is>
          <t>Lebanon</t>
        </is>
      </c>
      <c r="C93" s="35" t="inlineStr">
        <is>
          <t>Asia</t>
        </is>
      </c>
      <c r="D93" s="35" t="inlineStr">
        <is>
          <t>Arab League</t>
        </is>
      </c>
      <c r="E93" s="35" t="inlineStr">
        <is>
          <t>In force (E-Transactions and Data Protection Law No. 81/2018)</t>
        </is>
      </c>
      <c r="F93" s="36" t="inlineStr">
        <is>
          <t>https://unctad.org/page/data-protection-and-privacy-legislation-worldwide</t>
        </is>
      </c>
      <c r="G93" s="35" t="inlineStr">
        <is>
          <t>Weak (regulator under Ministry of Economy and Trade)</t>
        </is>
      </c>
      <c r="H93" s="36" t="inlineStr">
        <is>
          <t>https://unctad.org/page/data-protection-and-privacy-legislation-worldwide</t>
        </is>
      </c>
      <c r="I93" s="35" t="inlineStr">
        <is>
          <t>No</t>
        </is>
      </c>
      <c r="J93" s="36" t="inlineStr">
        <is>
          <t>https://www.unicef.org/lebanon/</t>
        </is>
      </c>
      <c r="K93" s="35" t="inlineStr">
        <is>
          <t>No</t>
        </is>
      </c>
      <c r="L93" s="36" t="inlineStr">
        <is>
          <t>https://www.unicef.org/lebanon/</t>
        </is>
      </c>
      <c r="M93" s="35" t="inlineStr">
        <is>
          <t>No</t>
        </is>
      </c>
      <c r="N93" s="36" t="inlineStr">
        <is>
          <t>https://unctad.org/page/data-protection-and-privacy-legislation-worldwide</t>
        </is>
      </c>
      <c r="O93" s="35" t="inlineStr">
        <is>
          <t>Criminalised (Penal Code Article 534)</t>
        </is>
      </c>
      <c r="P93" s="36" t="inlineStr">
        <is>
          <t>https://www.humandignitytrust.org/country-profile/lebanon/; https://ilga.org/ilga-world-maps/</t>
        </is>
      </c>
      <c r="Q93" s="35" t="inlineStr">
        <is>
          <t>Yes (morality/public decency laws)</t>
        </is>
      </c>
      <c r="R93" s="36" t="inlineStr">
        <is>
          <t>https://ilga.org/ilga-world-maps/</t>
        </is>
      </c>
      <c r="S93" s="35" t="inlineStr">
        <is>
          <t>Draft/Early (AI innovation under Digital Transformation Strategy)</t>
        </is>
      </c>
      <c r="T93" s="36" t="inlineStr">
        <is>
          <t>https://en.unesco.org/artificial-intelligence/observatory/policies?country=LB; https://www.unesco.org/ethics-ai/en/global-hub</t>
        </is>
      </c>
      <c r="U93" s="35" t="inlineStr">
        <is>
          <t>No</t>
        </is>
      </c>
      <c r="V93" s="36" t="inlineStr">
        <is>
          <t>https://unctad.org/page/data-protection-and-privacy-legislation-worldwide</t>
        </is>
      </c>
      <c r="W93" s="35" t="inlineStr">
        <is>
          <t>Yes (SIM tied to ID)</t>
        </is>
      </c>
      <c r="X93" s="36" t="inlineStr">
        <is>
          <t>https://www.gsma.com/solutions-and-impact/connectivity-for-good/public-policy/mobile-policy-handbook/consumer-protection/mandatory-registration-of-prepaid-sims/</t>
        </is>
      </c>
      <c r="AI93">
        <f>SUM(Y93:AH93)</f>
        <v/>
      </c>
      <c r="AJ93">
        <f>100-(AI93*(AI93/20))</f>
        <v/>
      </c>
      <c r="AK93" s="24">
        <f>100-(AJ93*(AJ93/MAX(AJ80:AJ93)))</f>
        <v/>
      </c>
      <c r="AL93" t="n">
        <v>96</v>
      </c>
    </row>
    <row r="94">
      <c r="A94" s="35" t="n">
        <v>166</v>
      </c>
      <c r="B94" s="35" t="inlineStr">
        <is>
          <t>State of Palestine</t>
        </is>
      </c>
      <c r="C94" s="35" t="inlineStr">
        <is>
          <t>Asia</t>
        </is>
      </c>
      <c r="D94" s="35" t="inlineStr">
        <is>
          <t>Arab League</t>
        </is>
      </c>
      <c r="E94" s="35" t="inlineStr">
        <is>
          <t>Draft — discussions ongoing, no enacted law</t>
        </is>
      </c>
      <c r="F94" s="36" t="inlineStr">
        <is>
          <t>https://unctad.org/page/data-protection-and-privacy-legislation-worldwide</t>
        </is>
      </c>
      <c r="G94" s="35" t="inlineStr">
        <is>
          <t>None</t>
        </is>
      </c>
      <c r="H94" s="36" t="inlineStr">
        <is>
          <t>https://unctad.org/page/data-protection-and-privacy-legislation-worldwide</t>
        </is>
      </c>
      <c r="I94" s="35" t="inlineStr">
        <is>
          <t>No</t>
        </is>
      </c>
      <c r="J94" s="36" t="inlineStr">
        <is>
          <t>https://www.unicef.org/state-of-palestine/</t>
        </is>
      </c>
      <c r="K94" s="35" t="inlineStr">
        <is>
          <t>No</t>
        </is>
      </c>
      <c r="L94" s="36" t="inlineStr">
        <is>
          <t>https://www.unicef.org/state-of-palestine/</t>
        </is>
      </c>
      <c r="M94" s="35" t="inlineStr">
        <is>
          <t>No</t>
        </is>
      </c>
      <c r="N94" s="36" t="inlineStr">
        <is>
          <t>https://unctad.org/page/data-protection-and-privacy-legislation-worldwide</t>
        </is>
      </c>
      <c r="O94" s="35" t="inlineStr">
        <is>
          <t>Criminalised — Penal Code provisions enforced in Gaza; ambiguous in West Bank</t>
        </is>
      </c>
      <c r="P94" s="36" t="inlineStr">
        <is>
          <t>https://www.humandignitytrust.org/country-profile/state-of-palestine/; https://ilga.org/ilga-world-maps/</t>
        </is>
      </c>
      <c r="Q94" s="35" t="inlineStr">
        <is>
          <t>Yes</t>
        </is>
      </c>
      <c r="R94" s="36" t="inlineStr">
        <is>
          <t>https://ilga.org/ilga-world-maps/</t>
        </is>
      </c>
      <c r="S94" s="35" t="inlineStr">
        <is>
          <t>None</t>
        </is>
      </c>
      <c r="T94" s="36" t="inlineStr">
        <is>
          <t>https://www.unesco.org/ethics-ai/en/global-hub</t>
        </is>
      </c>
      <c r="U94" s="35" t="inlineStr">
        <is>
          <t>No</t>
        </is>
      </c>
      <c r="V94" s="36" t="inlineStr">
        <is>
          <t>https://unctad.org/page/data-protection-and-privacy-legislation-worldwide</t>
        </is>
      </c>
      <c r="W94" s="35" t="inlineStr">
        <is>
          <t>Yes — SIMs linked to ID</t>
        </is>
      </c>
      <c r="X94" s="36" t="inlineStr">
        <is>
          <t>https://www.gsma.com/solutions-and-impact/connectivity-for-good/public-policy/mobile-policy-handbook/consumer-protection/mandatory-registration-of-prepaid-sims/</t>
        </is>
      </c>
      <c r="AI94">
        <f>SUM(Y94:AH94)</f>
        <v/>
      </c>
      <c r="AJ94">
        <f>100-(AI94*(AI94/20))</f>
        <v/>
      </c>
      <c r="AK94" s="24">
        <f>100-(AJ94*(AJ94/MAX(AJ80:AJ94)))</f>
        <v/>
      </c>
      <c r="AL94" t="n">
        <v>166</v>
      </c>
    </row>
    <row r="95">
      <c r="A95" s="35" t="n">
        <v>171</v>
      </c>
      <c r="B95" s="35" t="inlineStr">
        <is>
          <t>Syrian Arab Republic</t>
        </is>
      </c>
      <c r="C95" s="35" t="inlineStr">
        <is>
          <t>Asia</t>
        </is>
      </c>
      <c r="D95" s="35" t="inlineStr">
        <is>
          <t>Arab League</t>
        </is>
      </c>
      <c r="E95" s="35" t="inlineStr">
        <is>
          <t>None</t>
        </is>
      </c>
      <c r="F95" s="36" t="inlineStr">
        <is>
          <t>https://unctad.org/page/data-protection-and-privacy-legislation-worldwide</t>
        </is>
      </c>
      <c r="G95" s="35" t="inlineStr">
        <is>
          <t>None</t>
        </is>
      </c>
      <c r="H95" s="36" t="inlineStr">
        <is>
          <t>https://unctad.org/page/data-protection-and-privacy-legislation-worldwide</t>
        </is>
      </c>
      <c r="I95" s="35" t="inlineStr">
        <is>
          <t>No</t>
        </is>
      </c>
      <c r="J95" s="36" t="inlineStr">
        <is>
          <t>https://www.unicef.org/syrian-arab-republic/</t>
        </is>
      </c>
      <c r="K95" s="35" t="inlineStr">
        <is>
          <t>No</t>
        </is>
      </c>
      <c r="L95" s="36" t="inlineStr">
        <is>
          <t>https://www.unicef.org/syrian-arab-republic/</t>
        </is>
      </c>
      <c r="M95" s="35" t="inlineStr">
        <is>
          <t>No</t>
        </is>
      </c>
      <c r="N95" s="36" t="inlineStr">
        <is>
          <t>https://unctad.org/page/data-protection-and-privacy-legislation-worldwide</t>
        </is>
      </c>
      <c r="O95" s="35" t="inlineStr">
        <is>
          <t>Criminalised</t>
        </is>
      </c>
      <c r="P95" s="36" t="inlineStr">
        <is>
          <t>https://www.humandignitytrust.org/country-profile/syrian-arab-republic/; https://ilga.org/ilga-world-maps/</t>
        </is>
      </c>
      <c r="Q95" s="35" t="inlineStr">
        <is>
          <t>Yes</t>
        </is>
      </c>
      <c r="R95" s="36" t="inlineStr">
        <is>
          <t>https://ilga.org/ilga-world-maps/</t>
        </is>
      </c>
      <c r="S95" s="35" t="inlineStr">
        <is>
          <t>None</t>
        </is>
      </c>
      <c r="T95" s="36" t="inlineStr">
        <is>
          <t>https://en.unesco.org/artificial-intelligence/observatory/policies?country=SY; https://www.unesco.org/ethics-ai/en/global-hub</t>
        </is>
      </c>
      <c r="U95" s="35" t="inlineStr">
        <is>
          <t>No</t>
        </is>
      </c>
      <c r="V95" s="36" t="inlineStr">
        <is>
          <t>https://unctad.org/page/data-protection-and-privacy-legislation-worldwide</t>
        </is>
      </c>
      <c r="W95" s="35" t="inlineStr">
        <is>
          <t>Yes</t>
        </is>
      </c>
      <c r="X95" s="36" t="inlineStr">
        <is>
          <t>https://www.gsma.com/solutions-and-impact/connectivity-for-good/public-policy/mobile-policy-handbook/consumer-protection/mandatory-registration-of-prepaid-sims/</t>
        </is>
      </c>
      <c r="AI95">
        <f>SUM(Y95:AH95)</f>
        <v/>
      </c>
      <c r="AJ95">
        <f>100-(AI95*(AI95/20))</f>
        <v/>
      </c>
      <c r="AK95" s="24">
        <f>100-(AJ95*(AJ95/MAX(AJ80:AJ95)))</f>
        <v/>
      </c>
      <c r="AL95" t="n">
        <v>171</v>
      </c>
    </row>
    <row r="96">
      <c r="A96" s="35" t="n">
        <v>193</v>
      </c>
      <c r="B96" s="35" t="inlineStr">
        <is>
          <t>Yemen</t>
        </is>
      </c>
      <c r="C96" s="35" t="inlineStr">
        <is>
          <t>Asia</t>
        </is>
      </c>
      <c r="D96" s="35" t="inlineStr">
        <is>
          <t>Arab League</t>
        </is>
      </c>
      <c r="E96" s="35" t="inlineStr">
        <is>
          <t>None</t>
        </is>
      </c>
      <c r="F96" s="36" t="inlineStr">
        <is>
          <t>https://unctad.org/page/data-protection-and-privacy-legislation-worldwide</t>
        </is>
      </c>
      <c r="G96" s="35" t="inlineStr">
        <is>
          <t>None</t>
        </is>
      </c>
      <c r="H96" s="36" t="inlineStr">
        <is>
          <t>https://unctad.org/page/data-protection-and-privacy-legislation-worldwide</t>
        </is>
      </c>
      <c r="I96" s="35" t="inlineStr">
        <is>
          <t>No</t>
        </is>
      </c>
      <c r="J96" s="36" t="inlineStr">
        <is>
          <t>https://www.unicef.org/yemen/</t>
        </is>
      </c>
      <c r="K96" s="35" t="inlineStr">
        <is>
          <t>No</t>
        </is>
      </c>
      <c r="L96" s="36" t="inlineStr">
        <is>
          <t>https://www.unicef.org/yemen/</t>
        </is>
      </c>
      <c r="M96" s="35" t="inlineStr">
        <is>
          <t>No</t>
        </is>
      </c>
      <c r="N96" s="36" t="inlineStr">
        <is>
          <t>https://unctad.org/page/data-protection-and-privacy-legislation-worldwide</t>
        </is>
      </c>
      <c r="O96" s="35" t="inlineStr">
        <is>
          <t>Criminalised</t>
        </is>
      </c>
      <c r="P96" s="36" t="inlineStr">
        <is>
          <t>https://www.humandignitytrust.org/country-profile/yemen/; https://ilga.org/ilga-world-maps/</t>
        </is>
      </c>
      <c r="Q96" s="35" t="inlineStr">
        <is>
          <t>Yes</t>
        </is>
      </c>
      <c r="R96" s="36" t="inlineStr">
        <is>
          <t>https://ilga.org/ilga-world-maps/</t>
        </is>
      </c>
      <c r="S96" s="35" t="inlineStr">
        <is>
          <t>None</t>
        </is>
      </c>
      <c r="T96" s="36" t="inlineStr">
        <is>
          <t>https://en.unesco.org/artificial-intelligence/observatory/policies?country=YE; https://www.unesco.org/ethics-ai/en/global-hub</t>
        </is>
      </c>
      <c r="U96" s="35" t="inlineStr">
        <is>
          <t>No</t>
        </is>
      </c>
      <c r="V96" s="36" t="inlineStr">
        <is>
          <t>https://unctad.org/page/data-protection-and-privacy-legislation-worldwide</t>
        </is>
      </c>
      <c r="W96" s="35" t="inlineStr">
        <is>
          <t>Yes</t>
        </is>
      </c>
      <c r="X96" s="36" t="inlineStr">
        <is>
          <t>https://www.gsma.com/solutions-and-impact/connectivity-for-good/public-policy/mobile-policy-handbook/consumer-protection/mandatory-registration-of-prepaid-sims/</t>
        </is>
      </c>
      <c r="AI96">
        <f>SUM(Y96:AH96)</f>
        <v/>
      </c>
      <c r="AJ96">
        <f>100-(AI96*(AI96/20))</f>
        <v/>
      </c>
      <c r="AK96" s="24">
        <f>100-(AJ96*(AJ96/MAX(AJ93:AJ96)))</f>
        <v/>
      </c>
      <c r="AL96" t="n">
        <v>193</v>
      </c>
    </row>
    <row r="97">
      <c r="A97" t="n">
        <v>26</v>
      </c>
      <c r="B97" t="inlineStr">
        <is>
          <t>Brunei Darussalam</t>
        </is>
      </c>
      <c r="C97" t="inlineStr">
        <is>
          <t>Asia</t>
        </is>
      </c>
      <c r="D97" t="inlineStr">
        <is>
          <t>ASEAN</t>
        </is>
      </c>
      <c r="E97" t="inlineStr">
        <is>
          <t>Draft (no comprehensive DP law; sectoral provisions only)</t>
        </is>
      </c>
      <c r="F97" s="50" t="inlineStr">
        <is>
          <t>https://unctad.org/page/data-protection-and-privacy-legislation-worldwide</t>
        </is>
      </c>
      <c r="G97" t="inlineStr">
        <is>
          <t>Weak (no independent DPA)</t>
        </is>
      </c>
      <c r="H97" s="50" t="inlineStr">
        <is>
          <t>https://unctad.org/page/data-protection-and-privacy-legislation-worldwide</t>
        </is>
      </c>
      <c r="I97" t="inlineStr">
        <is>
          <t>Partial (Child Online Protection Framework 2014; ICTD programs)</t>
        </is>
      </c>
      <c r="J97" s="50" t="inlineStr">
        <is>
          <t>https://unctad.org/page/data-protection-and-privacy-legislation-worldwide; https://www.unicef.org/brunei-darussalam/</t>
        </is>
      </c>
      <c r="K97" t="inlineStr">
        <is>
          <t>Partial (COP framework with ITU/ASEAN)</t>
        </is>
      </c>
      <c r="L97" s="50" t="inlineStr">
        <is>
          <t>https://www.unicef.org/brunei-darussalam/</t>
        </is>
      </c>
      <c r="M97" t="inlineStr">
        <is>
          <t>No</t>
        </is>
      </c>
      <c r="N97" s="50" t="inlineStr">
        <is>
          <t>https://unctad.org/page/data-protection-and-privacy-legislation-worldwide</t>
        </is>
      </c>
      <c r="O97" t="inlineStr">
        <is>
          <t>Criminalised (Sharia Penal Code criminalises same-sex conduct)</t>
        </is>
      </c>
      <c r="P97" s="50" t="inlineStr">
        <is>
          <t>https://www.humandignitytrust.org/country-profile/brunei-darussalam/; https://ilga.org/ilga-world-maps/</t>
        </is>
      </c>
      <c r="Q97" t="inlineStr">
        <is>
          <t>Yes (bans on LGBT promotion under morality laws)</t>
        </is>
      </c>
      <c r="R97" s="50" t="inlineStr">
        <is>
          <t>https://ilga.org/ilga-world-maps/</t>
        </is>
      </c>
      <c r="S97" t="inlineStr">
        <is>
          <t>None (no AI strategy identified)</t>
        </is>
      </c>
      <c r="T97" s="50" t="inlineStr">
        <is>
          <t>https://en.unesco.org/artificial-intelligence/observatory/policies?country=BN; https://www.unesco.org/ethics-ai/en/global-hub</t>
        </is>
      </c>
      <c r="U97" t="inlineStr">
        <is>
          <t>No</t>
        </is>
      </c>
      <c r="V97" s="50" t="inlineStr">
        <is>
          <t>https://unctad.org/page/data-protection-and-privacy-legislation-worldwide</t>
        </is>
      </c>
      <c r="W97" t="inlineStr">
        <is>
          <t>Yes (mandatory biometric SIM registration required)</t>
        </is>
      </c>
      <c r="X97" s="50" t="inlineStr">
        <is>
          <t>https://www.gsma.com/solutions-and-impact/connectivity-for-good/public-policy/mobile-policy-handbook/consumer-protection/mandatory-registration-of-prepaid-sims/; https://privacyinternational.org/learn/sim-card-registration</t>
        </is>
      </c>
      <c r="AI97">
        <f>SUM(Y97:AH97)</f>
        <v/>
      </c>
      <c r="AJ97">
        <f>100-(AI97*(AI97/20))</f>
        <v/>
      </c>
      <c r="AK97" s="24">
        <f>100-(AJ97*(AJ97/MAX(AJ82:AJ97)))</f>
        <v/>
      </c>
      <c r="AL97" t="n">
        <v>26</v>
      </c>
    </row>
    <row r="98">
      <c r="A98" t="n">
        <v>31</v>
      </c>
      <c r="B98" t="inlineStr">
        <is>
          <t>Cambodia</t>
        </is>
      </c>
      <c r="C98" t="inlineStr">
        <is>
          <t>Asia</t>
        </is>
      </c>
      <c r="D98" t="inlineStr">
        <is>
          <t>ASEAN</t>
        </is>
      </c>
      <c r="E98" t="inlineStr">
        <is>
          <t>Draft (Personal Data Protection Law under development)</t>
        </is>
      </c>
      <c r="F98" s="50" t="inlineStr">
        <is>
          <t>https://unctad.org/page/data-protection-and-privacy-legislation-worldwide</t>
        </is>
      </c>
      <c r="G98" t="inlineStr">
        <is>
          <t>Weak (no independent DPA established yet)</t>
        </is>
      </c>
      <c r="H98" s="50" t="inlineStr">
        <is>
          <t>https://unctad.org/page/data-protection-and-privacy-legislation-worldwide</t>
        </is>
      </c>
      <c r="I98" t="inlineStr">
        <is>
          <t>Partial (Child Protection laws; no dedicated COP strategy)</t>
        </is>
      </c>
      <c r="J98" s="50" t="inlineStr">
        <is>
          <t>https://unctad.org/page/data-protection-and-privacy-legislation-worldwide; https://www.unicef.org/cambodia/</t>
        </is>
      </c>
      <c r="K98" t="inlineStr">
        <is>
          <t>Partial (cooperation with ITU/UNICEF on COP initiatives)</t>
        </is>
      </c>
      <c r="L98" s="50" t="inlineStr">
        <is>
          <t>https://www.unicef.org/cambodia/</t>
        </is>
      </c>
      <c r="M98" t="inlineStr">
        <is>
          <t>No</t>
        </is>
      </c>
      <c r="N98" s="50" t="inlineStr">
        <is>
          <t>https://unctad.org/page/data-protection-and-privacy-legislation-worldwide</t>
        </is>
      </c>
      <c r="O98" t="inlineStr">
        <is>
          <t>Legal (same-sex sexual acts legal; no recognition of marriage)</t>
        </is>
      </c>
      <c r="P98" s="50" t="inlineStr">
        <is>
          <t>https://www.humandignitytrust.org/country-profile/cambodia/; https://ilga.org/ilga-world-maps/</t>
        </is>
      </c>
      <c r="Q98" t="inlineStr">
        <is>
          <t>No/Annulled</t>
        </is>
      </c>
      <c r="R98" s="50" t="inlineStr">
        <is>
          <t>https://ilga.org/ilga-world-maps/</t>
        </is>
      </c>
      <c r="S98" t="inlineStr">
        <is>
          <t>Draft/Early (AI referenced in Digital Government Policy 2022–2035; no dedicated AI strategy)</t>
        </is>
      </c>
      <c r="T98" s="50" t="inlineStr">
        <is>
          <t>https://en.unesco.org/artificial-intelligence/observatory/policies?country=KH; https://www.unesco.org/ethics-ai/en/global-hub</t>
        </is>
      </c>
      <c r="U98" t="inlineStr">
        <is>
          <t>No</t>
        </is>
      </c>
      <c r="V98" s="50" t="inlineStr">
        <is>
          <t>https://unctad.org/page/data-protection-and-privacy-legislation-worldwide</t>
        </is>
      </c>
      <c r="W98" t="inlineStr">
        <is>
          <t>Yes (biometric SIM registration required)</t>
        </is>
      </c>
      <c r="X98" s="50" t="inlineStr">
        <is>
          <t>https://www.gsma.com/solutions-and-impact/connectivity-for-good/public-policy/mobile-policy-handbook/consumer-protection/mandatory-registration-of-prepaid-sims/; https://privacyinternational.org/learn/sim-card-registration</t>
        </is>
      </c>
      <c r="AI98">
        <f>SUM(Y98:AH98)</f>
        <v/>
      </c>
      <c r="AJ98">
        <f>100-(AI98*(AI98/20))</f>
        <v/>
      </c>
      <c r="AK98" s="24">
        <f>100-(AJ98*(AJ98/MAX(AJ83:AJ98)))</f>
        <v/>
      </c>
      <c r="AL98" t="n">
        <v>31</v>
      </c>
    </row>
    <row r="99">
      <c r="A99" t="n">
        <v>80</v>
      </c>
      <c r="B99" t="inlineStr">
        <is>
          <t>Indonesia</t>
        </is>
      </c>
      <c r="C99" t="inlineStr">
        <is>
          <t>Asia</t>
        </is>
      </c>
      <c r="D99" t="inlineStr">
        <is>
          <t>ASEAN</t>
        </is>
      </c>
      <c r="E99" t="inlineStr">
        <is>
          <t>In force (Personal Data Protection Law, 2022)</t>
        </is>
      </c>
      <c r="F99" s="50" t="inlineStr">
        <is>
          <t>https://unctad.org/page/data-protection-and-privacy-legislation-worldwide</t>
        </is>
      </c>
      <c r="G99" t="inlineStr">
        <is>
          <t>Weak (regulator under Ministry of Communication)</t>
        </is>
      </c>
      <c r="H99" s="50" t="inlineStr">
        <is>
          <t>https://unctad.org/page/data-protection-and-privacy-legislation-worldwide</t>
        </is>
      </c>
      <c r="I99" t="inlineStr">
        <is>
          <t>Partial (general child rights; no COP-specific regime)</t>
        </is>
      </c>
      <c r="J99" s="50" t="inlineStr">
        <is>
          <t>https://unctad.org/page/data-protection-and-privacy-legislation-worldwide; https://www.unicef.org/indonesia/</t>
        </is>
      </c>
      <c r="K99" t="inlineStr">
        <is>
          <t>Partial (national ICT &amp; child online campaigns)</t>
        </is>
      </c>
      <c r="L99" s="50" t="inlineStr">
        <is>
          <t>https://www.unicef.org/indonesia/</t>
        </is>
      </c>
      <c r="M99" t="inlineStr">
        <is>
          <t>No</t>
        </is>
      </c>
      <c r="N99" s="50" t="inlineStr">
        <is>
          <t>https://unctad.org/page/data-protection-and-privacy-legislation-worldwide</t>
        </is>
      </c>
      <c r="O99" t="inlineStr">
        <is>
          <t>Criminalised (discriminatory laws; no recognition)</t>
        </is>
      </c>
      <c r="P99" s="50" t="inlineStr">
        <is>
          <t>https://www.humandignitytrust.org/country-profile/indonesia/; https://ilga.org/ilga-world-maps/</t>
        </is>
      </c>
      <c r="Q99" t="inlineStr">
        <is>
          <t>Yes (morality/decency laws)</t>
        </is>
      </c>
      <c r="R99" s="50" t="inlineStr">
        <is>
          <t>https://ilga.org/ilga-world-maps/</t>
        </is>
      </c>
      <c r="S99" t="inlineStr">
        <is>
          <t>Adopted (National AI Strategy 2020–2045)</t>
        </is>
      </c>
      <c r="T99" s="50" t="inlineStr">
        <is>
          <t>https://en.unesco.org/artificial-intelligence/observatory/policies?country=ID; https://www.unesco.org/ethics-ai/en/global-hub</t>
        </is>
      </c>
      <c r="U99" t="inlineStr">
        <is>
          <t>No</t>
        </is>
      </c>
      <c r="V99" s="50" t="inlineStr">
        <is>
          <t>https://unctad.org/page/data-protection-and-privacy-legislation-worldwide</t>
        </is>
      </c>
      <c r="W99" t="inlineStr">
        <is>
          <t>Yes (mandatory SIM registration with ID)</t>
        </is>
      </c>
      <c r="X99" s="50" t="inlineStr">
        <is>
          <t>https://www.gsma.com/solutions-and-impact/connectivity-for-good/public-policy/mobile-policy-handbook/consumer-protection/mandatory-registration-of-prepaid-sims/</t>
        </is>
      </c>
      <c r="AI99">
        <f>SUM(Y99:AH99)</f>
        <v/>
      </c>
      <c r="AJ99">
        <f>100-(AI99*(AI99/20))</f>
        <v/>
      </c>
      <c r="AK99" s="24">
        <f>100-(AJ99*(AJ99/MAX(AJ84:AJ99)))</f>
        <v/>
      </c>
      <c r="AL99" t="n">
        <v>80</v>
      </c>
    </row>
    <row r="100">
      <c r="A100" t="n">
        <v>94</v>
      </c>
      <c r="B100" t="inlineStr">
        <is>
          <t>Lao People's Democratic Republic</t>
        </is>
      </c>
      <c r="C100" t="inlineStr">
        <is>
          <t>Asia</t>
        </is>
      </c>
      <c r="D100" t="inlineStr">
        <is>
          <t>ASEAN</t>
        </is>
      </c>
      <c r="E100" t="inlineStr">
        <is>
          <t>In force (Law on Electronic Data Protection, 2017)</t>
        </is>
      </c>
      <c r="F100" s="50" t="inlineStr">
        <is>
          <t>https://unctad.org/page/data-protection-and-privacy-legislation-worldwide</t>
        </is>
      </c>
      <c r="G100" t="inlineStr">
        <is>
          <t>Weak (regulator under Ministry of Posts/Telecoms)</t>
        </is>
      </c>
      <c r="H100" s="50" t="inlineStr">
        <is>
          <t>https://unctad.org/page/data-protection-and-privacy-legislation-worldwide</t>
        </is>
      </c>
      <c r="I100" t="inlineStr">
        <is>
          <t>No</t>
        </is>
      </c>
      <c r="J100" s="50" t="inlineStr">
        <is>
          <t>https://www.unicef.org/lao-peoples-democratic-republic/</t>
        </is>
      </c>
      <c r="K100" t="inlineStr">
        <is>
          <t>No</t>
        </is>
      </c>
      <c r="L100" s="50" t="inlineStr">
        <is>
          <t>https://www.unicef.org/lao-peoples-democratic-republic/</t>
        </is>
      </c>
      <c r="M100" t="inlineStr">
        <is>
          <t>No</t>
        </is>
      </c>
      <c r="N100" s="50" t="inlineStr">
        <is>
          <t>https://unctad.org/page/data-protection-and-privacy-legislation-worldwide</t>
        </is>
      </c>
      <c r="O100" t="inlineStr">
        <is>
          <t>Legal (no criminalisation; no partnerships)</t>
        </is>
      </c>
      <c r="P100" s="50" t="inlineStr">
        <is>
          <t>https://www.humandignitytrust.org/country-profile/lao-peoples-democratic-republic/; https://ilga.org/ilga-world-maps/</t>
        </is>
      </c>
      <c r="Q100" t="inlineStr">
        <is>
          <t>Yes (morality/public order laws)</t>
        </is>
      </c>
      <c r="R100" s="50" t="inlineStr">
        <is>
          <t>https://ilga.org/ilga-world-maps/</t>
        </is>
      </c>
      <c r="S100" t="inlineStr">
        <is>
          <t>None</t>
        </is>
      </c>
      <c r="T100" s="50" t="inlineStr">
        <is>
          <t>https://en.unesco.org/artificial-intelligence/observatory/policies?country=LA; https://www.unesco.org/ethics-ai/en/global-hub</t>
        </is>
      </c>
      <c r="U100" t="inlineStr">
        <is>
          <t>No</t>
        </is>
      </c>
      <c r="V100" s="50" t="inlineStr">
        <is>
          <t>https://unctad.org/page/data-protection-and-privacy-legislation-worldwide</t>
        </is>
      </c>
      <c r="W100" t="inlineStr">
        <is>
          <t>Yes (SIM registration tied to national ID)</t>
        </is>
      </c>
      <c r="X100" s="50" t="inlineStr">
        <is>
          <t>https://www.gsma.com/solutions-and-impact/connectivity-for-good/public-policy/mobile-policy-handbook/consumer-protection/mandatory-registration-of-prepaid-sims/</t>
        </is>
      </c>
      <c r="AI100">
        <f>SUM(Y100:AH100)</f>
        <v/>
      </c>
      <c r="AJ100">
        <f>100-(AI100*(AI100/20))</f>
        <v/>
      </c>
      <c r="AK100" s="24">
        <f>100-(AJ100*(AJ100/MAX(AJ85:AJ100)))</f>
        <v/>
      </c>
      <c r="AL100" t="n">
        <v>94</v>
      </c>
    </row>
    <row r="101">
      <c r="A101" t="n">
        <v>105</v>
      </c>
      <c r="B101" t="inlineStr">
        <is>
          <t>Malaysia</t>
        </is>
      </c>
      <c r="C101" t="inlineStr">
        <is>
          <t>Asia</t>
        </is>
      </c>
      <c r="D101" t="inlineStr">
        <is>
          <t>ASEAN</t>
        </is>
      </c>
      <c r="E101" t="inlineStr">
        <is>
          <t>In force (Personal Data Protection Act, 2010)</t>
        </is>
      </c>
      <c r="F101" s="50" t="inlineStr">
        <is>
          <t>https://unctad.org/page/data-protection-and-privacy-legislation-worldwide</t>
        </is>
      </c>
      <c r="G101" t="inlineStr">
        <is>
          <t>Weak (commissioner under Ministry of Communications)</t>
        </is>
      </c>
      <c r="H101" s="50" t="inlineStr">
        <is>
          <t>https://unctad.org/page/data-protection-and-privacy-legislation-worldwide</t>
        </is>
      </c>
      <c r="I101" t="inlineStr">
        <is>
          <t>Partial (no COP-specific law; consumer protections exist)</t>
        </is>
      </c>
      <c r="J101" s="50" t="inlineStr">
        <is>
          <t>https://unctad.org/page/data-protection-and-privacy-legislation-worldwide; https://www.unicef.org/malaysia/</t>
        </is>
      </c>
      <c r="K101" t="inlineStr">
        <is>
          <t>Partial (awareness programs; no framework)</t>
        </is>
      </c>
      <c r="L101" s="50" t="inlineStr">
        <is>
          <t>https://www.unicef.org/malaysia/</t>
        </is>
      </c>
      <c r="M101" t="inlineStr">
        <is>
          <t>No</t>
        </is>
      </c>
      <c r="N101" s="50" t="inlineStr">
        <is>
          <t>https://unctad.org/page/data-protection-and-privacy-legislation-worldwide</t>
        </is>
      </c>
      <c r="O101" t="inlineStr">
        <is>
          <t>Criminalised (Penal Code Sections 377A/B)</t>
        </is>
      </c>
      <c r="P101" s="50" t="inlineStr">
        <is>
          <t>https://www.humandignitytrust.org/country-profile/malaysia/; https://ilga.org/ilga-world-maps/</t>
        </is>
      </c>
      <c r="Q101" t="inlineStr">
        <is>
          <t>Yes (censorship against LGBTQ content)</t>
        </is>
      </c>
      <c r="R101" s="50" t="inlineStr">
        <is>
          <t>https://ilga.org/ilga-world-maps/</t>
        </is>
      </c>
      <c r="S101" t="inlineStr">
        <is>
          <t>Adopted (National AI Roadmap 2021–2025)</t>
        </is>
      </c>
      <c r="T101" s="50" t="inlineStr">
        <is>
          <t>https://en.unesco.org/artificial-intelligence/observatory/policies?country=MY; https://www.unesco.org/ethics-ai/en/global-hub</t>
        </is>
      </c>
      <c r="U101" t="inlineStr">
        <is>
          <t>No</t>
        </is>
      </c>
      <c r="V101" s="50" t="inlineStr">
        <is>
          <t>https://unctad.org/page/data-protection-and-privacy-legislation-worldwide</t>
        </is>
      </c>
      <c r="W101" t="inlineStr">
        <is>
          <t>Yes (SIM tied to ID; biometric capture common)</t>
        </is>
      </c>
      <c r="X101" s="50" t="inlineStr">
        <is>
          <t>https://www.gsma.com/solutions-and-impact/connectivity-for-good/public-policy/mobile-policy-handbook/consumer-protection/mandatory-registration-of-prepaid-sims/; https://privacyinternational.org/learn/sim-card-registration</t>
        </is>
      </c>
      <c r="AI101">
        <f>SUM(Y101:AH101)</f>
        <v/>
      </c>
      <c r="AJ101">
        <f>100-(AI101*(AI101/20))</f>
        <v/>
      </c>
      <c r="AK101" s="24">
        <f>100-(AJ101*(AJ101/MAX(AJ86:AJ101)))</f>
        <v/>
      </c>
      <c r="AL101" t="n">
        <v>105</v>
      </c>
    </row>
    <row r="102">
      <c r="A102" t="n">
        <v>119</v>
      </c>
      <c r="B102" t="inlineStr">
        <is>
          <t>Myanmar</t>
        </is>
      </c>
      <c r="C102" t="inlineStr">
        <is>
          <t>Asia</t>
        </is>
      </c>
      <c r="D102" t="inlineStr">
        <is>
          <t>ASEAN</t>
        </is>
      </c>
      <c r="E102" t="inlineStr">
        <is>
          <t>None</t>
        </is>
      </c>
      <c r="F102" s="50" t="inlineStr">
        <is>
          <t>https://unctad.org/page/data-protection-and-privacy-legislation-worldwide</t>
        </is>
      </c>
      <c r="G102" t="inlineStr">
        <is>
          <t>None</t>
        </is>
      </c>
      <c r="H102" s="50" t="inlineStr">
        <is>
          <t>https://unctad.org/page/data-protection-and-privacy-legislation-worldwide</t>
        </is>
      </c>
      <c r="I102" t="inlineStr">
        <is>
          <t>No</t>
        </is>
      </c>
      <c r="J102" s="50" t="inlineStr">
        <is>
          <t>https://www.unicef.org/myanmar/</t>
        </is>
      </c>
      <c r="K102" t="inlineStr">
        <is>
          <t>No</t>
        </is>
      </c>
      <c r="L102" s="50" t="inlineStr">
        <is>
          <t>https://www.unicef.org/myanmar/</t>
        </is>
      </c>
      <c r="M102" t="inlineStr">
        <is>
          <t>No</t>
        </is>
      </c>
      <c r="N102" s="50" t="inlineStr">
        <is>
          <t>https://unctad.org/page/data-protection-and-privacy-legislation-worldwide</t>
        </is>
      </c>
      <c r="O102" t="inlineStr">
        <is>
          <t>Criminalised (Penal Code Section 377)</t>
        </is>
      </c>
      <c r="P102" s="50" t="inlineStr">
        <is>
          <t>https://www.humandignitytrust.org/country-profile/myanmar/; https://ilga.org/ilga-world-maps/</t>
        </is>
      </c>
      <c r="Q102" t="inlineStr">
        <is>
          <t>Yes</t>
        </is>
      </c>
      <c r="R102" s="50" t="inlineStr">
        <is>
          <t>https://ilga.org/ilga-world-maps/</t>
        </is>
      </c>
      <c r="S102" t="inlineStr">
        <is>
          <t>None</t>
        </is>
      </c>
      <c r="T102" s="50" t="inlineStr">
        <is>
          <t>https://en.unesco.org/artificial-intelligence/observatory/policies?country=MM; https://www.unesco.org/ethics-ai/en/global-hub</t>
        </is>
      </c>
      <c r="U102" t="inlineStr">
        <is>
          <t>No</t>
        </is>
      </c>
      <c r="V102" s="50" t="inlineStr">
        <is>
          <t>https://unctad.org/page/data-protection-and-privacy-legislation-worldwide</t>
        </is>
      </c>
      <c r="W102" t="inlineStr">
        <is>
          <t>Yes (SIM registration tied to biometric ID)</t>
        </is>
      </c>
      <c r="X102" s="50" t="inlineStr">
        <is>
          <t>https://www.gsma.com/solutions-and-impact/connectivity-for-good/public-policy/mobile-policy-handbook/consumer-protection/mandatory-registration-of-prepaid-sims/; https://privacyinternational.org/learn/sim-card-registration</t>
        </is>
      </c>
      <c r="AI102">
        <f>SUM(Y102:AH102)</f>
        <v/>
      </c>
      <c r="AJ102">
        <f>100-(AI102*(AI102/20))</f>
        <v/>
      </c>
      <c r="AK102" s="24">
        <f>100-(AJ102*(AJ102/MAX(AJ87:AJ102)))</f>
        <v/>
      </c>
      <c r="AL102" t="n">
        <v>119</v>
      </c>
    </row>
    <row r="103">
      <c r="A103" t="n">
        <v>137</v>
      </c>
      <c r="B103" t="inlineStr">
        <is>
          <t>Philippines</t>
        </is>
      </c>
      <c r="C103" t="inlineStr">
        <is>
          <t>Asia</t>
        </is>
      </c>
      <c r="D103" t="inlineStr">
        <is>
          <t>ASEAN</t>
        </is>
      </c>
      <c r="E103" t="inlineStr">
        <is>
          <t>In force — Data Privacy Act (2012)</t>
        </is>
      </c>
      <c r="F103" s="50" t="inlineStr">
        <is>
          <t>https://unctad.org/page/data-protection-and-privacy-legislation-worldwide</t>
        </is>
      </c>
      <c r="G103" t="inlineStr">
        <is>
          <t>Moderate — National Privacy Commission</t>
        </is>
      </c>
      <c r="H103" s="50" t="inlineStr">
        <is>
          <t>https://unctad.org/page/data-protection-and-privacy-legislation-worldwide</t>
        </is>
      </c>
      <c r="I103" t="inlineStr">
        <is>
          <t>Partial</t>
        </is>
      </c>
      <c r="J103" s="50" t="inlineStr">
        <is>
          <t>https://unctad.org/page/data-protection-and-privacy-legislation-worldwide; https://www.unicef.org/philippines/</t>
        </is>
      </c>
      <c r="K103" t="inlineStr">
        <is>
          <t>Partial</t>
        </is>
      </c>
      <c r="L103" s="50" t="inlineStr">
        <is>
          <t>https://www.unicef.org/philippines/</t>
        </is>
      </c>
      <c r="M103" t="inlineStr">
        <is>
          <t>No</t>
        </is>
      </c>
      <c r="N103" s="50" t="inlineStr">
        <is>
          <t>https://unctad.org/page/data-protection-and-privacy-legislation-worldwide</t>
        </is>
      </c>
      <c r="O103" t="inlineStr">
        <is>
          <t>Legal — no recognition</t>
        </is>
      </c>
      <c r="P103" s="50" t="inlineStr">
        <is>
          <t>https://www.humandignitytrust.org/country-profile/philippines/; https://ilga.org/ilga-world-maps/</t>
        </is>
      </c>
      <c r="Q103" t="inlineStr">
        <is>
          <t>No</t>
        </is>
      </c>
      <c r="R103" s="50" t="inlineStr">
        <is>
          <t>https://ilga.org/ilga-world-maps/</t>
        </is>
      </c>
      <c r="S103" t="inlineStr">
        <is>
          <t>Draft/Early — AI Roadmap 2021</t>
        </is>
      </c>
      <c r="T103" s="50" t="inlineStr">
        <is>
          <t>https://en.unesco.org/artificial-intelligence/observatory/policies?country=PH; https://www.unesco.org/ethics-ai/en/global-hub</t>
        </is>
      </c>
      <c r="U103" t="inlineStr">
        <is>
          <t>No</t>
        </is>
      </c>
      <c r="V103" s="50" t="inlineStr">
        <is>
          <t>https://unctad.org/page/data-protection-and-privacy-legislation-worldwide</t>
        </is>
      </c>
      <c r="W103" t="inlineStr">
        <is>
          <t>Yes — SIM Registration Act 2022</t>
        </is>
      </c>
      <c r="X103" s="50" t="inlineStr">
        <is>
          <t>https://www.gsma.com/solutions-and-impact/connectivity-for-good/public-policy/mobile-policy-handbook/consumer-protection/mandatory-registration-of-prepaid-sims/</t>
        </is>
      </c>
      <c r="AI103">
        <f>SUM(Y103:AH103)</f>
        <v/>
      </c>
      <c r="AJ103">
        <f>100-(AI103*(AI103/20))</f>
        <v/>
      </c>
      <c r="AK103" s="24">
        <f>100-(AJ103*(AJ103/MAX(AJ88:AJ103)))</f>
        <v/>
      </c>
      <c r="AL103" t="n">
        <v>137</v>
      </c>
    </row>
    <row r="104">
      <c r="A104" t="n">
        <v>157</v>
      </c>
      <c r="B104" t="inlineStr">
        <is>
          <t>Singapore</t>
        </is>
      </c>
      <c r="C104" t="inlineStr">
        <is>
          <t>Asia</t>
        </is>
      </c>
      <c r="D104" t="inlineStr">
        <is>
          <t>ASEAN</t>
        </is>
      </c>
      <c r="E104" t="inlineStr">
        <is>
          <t>In force — Personal Data Protection Act (PDPA, 2012)</t>
        </is>
      </c>
      <c r="F104" s="50" t="inlineStr">
        <is>
          <t>https://unctad.org/page/data-protection-and-privacy-legislation-worldwide</t>
        </is>
      </c>
      <c r="G104" t="inlineStr">
        <is>
          <t>Moderate — PDPC within IMDA</t>
        </is>
      </c>
      <c r="H104" s="50" t="inlineStr">
        <is>
          <t>https://unctad.org/page/data-protection-and-privacy-legislation-worldwide</t>
        </is>
      </c>
      <c r="I104" t="inlineStr">
        <is>
          <t>Partial</t>
        </is>
      </c>
      <c r="J104" s="50" t="inlineStr">
        <is>
          <t>https://unctad.org/page/data-protection-and-privacy-legislation-worldwide; https://www.unicef.org/singapore/</t>
        </is>
      </c>
      <c r="K104" t="inlineStr">
        <is>
          <t>Yes — cyber wellness programs</t>
        </is>
      </c>
      <c r="L104" s="50" t="inlineStr">
        <is>
          <t>https://www.unicef.org/singapore/</t>
        </is>
      </c>
      <c r="M104" t="inlineStr">
        <is>
          <t>No explicit recognition</t>
        </is>
      </c>
      <c r="N104" s="50" t="inlineStr">
        <is>
          <t>https://unctad.org/page/data-protection-and-privacy-legislation-worldwide</t>
        </is>
      </c>
      <c r="O104" t="inlineStr">
        <is>
          <t>Legal — Section 377A repealed in 2022, no marriage</t>
        </is>
      </c>
      <c r="P104" s="50" t="inlineStr">
        <is>
          <t>https://www.humandignitytrust.org/country-profile/singapore/; https://ilga.org/ilga-world-maps/</t>
        </is>
      </c>
      <c r="Q104" t="inlineStr">
        <is>
          <t>No</t>
        </is>
      </c>
      <c r="R104" s="50" t="inlineStr">
        <is>
          <t>https://ilga.org/ilga-world-maps/</t>
        </is>
      </c>
      <c r="S104" t="inlineStr">
        <is>
          <t>Adopted — National AI Strategy (2019)</t>
        </is>
      </c>
      <c r="T104" s="50" t="inlineStr">
        <is>
          <t>https://en.unesco.org/artificial-intelligence/observatory/policies?country=SG; https://www.unesco.org/ethics-ai/en/global-hub</t>
        </is>
      </c>
      <c r="U104" t="inlineStr">
        <is>
          <t>No</t>
        </is>
      </c>
      <c r="V104" s="50" t="inlineStr">
        <is>
          <t>https://unctad.org/page/data-protection-and-privacy-legislation-worldwide</t>
        </is>
      </c>
      <c r="W104" t="inlineStr">
        <is>
          <t>Yes — SIM tied to NRIC/ID</t>
        </is>
      </c>
      <c r="X104" s="50" t="inlineStr">
        <is>
          <t>https://www.gsma.com/solutions-and-impact/connectivity-for-good/public-policy/mobile-policy-handbook/consumer-protection/mandatory-registration-of-prepaid-sims/</t>
        </is>
      </c>
      <c r="AI104">
        <f>SUM(Y104:AH104)</f>
        <v/>
      </c>
      <c r="AJ104">
        <f>100-(AI104*(AI104/20))</f>
        <v/>
      </c>
      <c r="AK104" s="24">
        <f>100-(AJ104*(AJ104/MAX(AJ89:AJ104)))</f>
        <v/>
      </c>
      <c r="AL104" t="n">
        <v>157</v>
      </c>
    </row>
    <row r="105">
      <c r="A105" t="n">
        <v>174</v>
      </c>
      <c r="B105" t="inlineStr">
        <is>
          <t>Thailand</t>
        </is>
      </c>
      <c r="C105" t="inlineStr">
        <is>
          <t>Asia</t>
        </is>
      </c>
      <c r="D105" t="inlineStr">
        <is>
          <t>ASEAN</t>
        </is>
      </c>
      <c r="E105" t="inlineStr">
        <is>
          <t>In force — PDPA (2022)</t>
        </is>
      </c>
      <c r="F105" s="50" t="inlineStr">
        <is>
          <t>https://unctad.org/page/data-protection-and-privacy-legislation-worldwide</t>
        </is>
      </c>
      <c r="G105" t="inlineStr">
        <is>
          <t>Moderate — regulator under Ministry</t>
        </is>
      </c>
      <c r="H105" s="50" t="inlineStr">
        <is>
          <t>https://unctad.org/page/data-protection-and-privacy-legislation-worldwide</t>
        </is>
      </c>
      <c r="I105" t="inlineStr">
        <is>
          <t>Partial</t>
        </is>
      </c>
      <c r="J105" s="50" t="inlineStr">
        <is>
          <t>https://unctad.org/page/data-protection-and-privacy-legislation-worldwide; https://www.unicef.org/thailand/</t>
        </is>
      </c>
      <c r="K105" t="inlineStr">
        <is>
          <t>Partial</t>
        </is>
      </c>
      <c r="L105" s="50" t="inlineStr">
        <is>
          <t>https://www.unicef.org/thailand/</t>
        </is>
      </c>
      <c r="M105" t="inlineStr">
        <is>
          <t>Partial — gender identity protections debated</t>
        </is>
      </c>
      <c r="N105" s="50" t="inlineStr">
        <is>
          <t>https://unctad.org/page/data-protection-and-privacy-legislation-worldwide</t>
        </is>
      </c>
      <c r="O105" t="inlineStr">
        <is>
          <t>Legal — Civil Partnership Bill pending</t>
        </is>
      </c>
      <c r="P105" s="50" t="inlineStr">
        <is>
          <t>https://www.humandignitytrust.org/country-profile/thailand/; https://ilga.org/ilga-world-maps/</t>
        </is>
      </c>
      <c r="Q105" t="inlineStr">
        <is>
          <t>No</t>
        </is>
      </c>
      <c r="R105" s="50" t="inlineStr">
        <is>
          <t>https://ilga.org/ilga-world-maps/</t>
        </is>
      </c>
      <c r="S105" t="inlineStr">
        <is>
          <t>Adopted — Thailand National AI Strategy 2022</t>
        </is>
      </c>
      <c r="T105" s="50" t="inlineStr">
        <is>
          <t>https://en.unesco.org/artificial-intelligence/observatory/policies?country=TH; https://www.unesco.org/ethics-ai/en/global-hub</t>
        </is>
      </c>
      <c r="U105" t="inlineStr">
        <is>
          <t>Yes</t>
        </is>
      </c>
      <c r="V105" s="50" t="inlineStr">
        <is>
          <t>https://unctad.org/page/data-protection-and-privacy-legislation-worldwide</t>
        </is>
      </c>
      <c r="W105" t="inlineStr">
        <is>
          <t>Yes — SIM linked to ID</t>
        </is>
      </c>
      <c r="X105" s="50" t="inlineStr">
        <is>
          <t>https://www.gsma.com/solutions-and-impact/connectivity-for-good/public-policy/mobile-policy-handbook/consumer-protection/mandatory-registration-of-prepaid-sims/</t>
        </is>
      </c>
      <c r="AI105">
        <f>SUM(Y105:AH105)</f>
        <v/>
      </c>
      <c r="AJ105">
        <f>100-(AI105*(AI105/20))</f>
        <v/>
      </c>
      <c r="AK105" s="24">
        <f>100-(AJ105*(AJ105/MAX(AJ90:AJ105)))</f>
        <v/>
      </c>
      <c r="AL105" t="n">
        <v>174</v>
      </c>
    </row>
    <row r="106">
      <c r="A106" t="n">
        <v>175</v>
      </c>
      <c r="B106" t="inlineStr">
        <is>
          <t>Timor-Leste</t>
        </is>
      </c>
      <c r="C106" t="inlineStr">
        <is>
          <t>Asia</t>
        </is>
      </c>
      <c r="D106" t="inlineStr">
        <is>
          <t>ASEAN</t>
        </is>
      </c>
      <c r="E106" t="inlineStr">
        <is>
          <t>None</t>
        </is>
      </c>
      <c r="F106" s="50" t="inlineStr">
        <is>
          <t>https://unctad.org/page/data-protection-and-privacy-legislation-worldwide</t>
        </is>
      </c>
      <c r="G106" t="inlineStr">
        <is>
          <t>None</t>
        </is>
      </c>
      <c r="H106" s="50" t="inlineStr">
        <is>
          <t>https://unctad.org/page/data-protection-and-privacy-legislation-worldwide</t>
        </is>
      </c>
      <c r="I106" t="inlineStr">
        <is>
          <t>No</t>
        </is>
      </c>
      <c r="J106" s="50" t="inlineStr">
        <is>
          <t>https://www.unicef.org/timor-leste/</t>
        </is>
      </c>
      <c r="K106" t="inlineStr">
        <is>
          <t>No</t>
        </is>
      </c>
      <c r="L106" s="50" t="inlineStr">
        <is>
          <t>https://www.unicef.org/timor-leste/</t>
        </is>
      </c>
      <c r="M106" t="inlineStr">
        <is>
          <t>No</t>
        </is>
      </c>
      <c r="N106" s="50" t="inlineStr">
        <is>
          <t>https://unctad.org/page/data-protection-and-privacy-legislation-worldwide</t>
        </is>
      </c>
      <c r="O106" t="inlineStr">
        <is>
          <t>Legal — no criminalisation</t>
        </is>
      </c>
      <c r="P106" s="50" t="inlineStr">
        <is>
          <t>https://www.humandignitytrust.org/country-profile/timor-leste/; https://ilga.org/ilga-world-maps/</t>
        </is>
      </c>
      <c r="Q106" t="inlineStr">
        <is>
          <t>No</t>
        </is>
      </c>
      <c r="R106" s="50" t="inlineStr">
        <is>
          <t>https://ilga.org/ilga-world-maps/</t>
        </is>
      </c>
      <c r="S106" t="inlineStr">
        <is>
          <t>None</t>
        </is>
      </c>
      <c r="T106" s="50" t="inlineStr">
        <is>
          <t>https://en.unesco.org/artificial-intelligence/observatory/policies?country=TL; https://www.unesco.org/ethics-ai/en/global-hub</t>
        </is>
      </c>
      <c r="U106" t="inlineStr">
        <is>
          <t>No</t>
        </is>
      </c>
      <c r="V106" s="50" t="inlineStr">
        <is>
          <t>https://unctad.org/page/data-protection-and-privacy-legislation-worldwide</t>
        </is>
      </c>
      <c r="W106" t="inlineStr">
        <is>
          <t>Yes — SIM ID-linked</t>
        </is>
      </c>
      <c r="X106" s="50" t="inlineStr">
        <is>
          <t>https://www.gsma.com/solutions-and-impact/connectivity-for-good/public-policy/mobile-policy-handbook/consumer-protection/mandatory-registration-of-prepaid-sims/</t>
        </is>
      </c>
      <c r="AI106">
        <f>SUM(Y106:AH106)</f>
        <v/>
      </c>
      <c r="AJ106">
        <f>100-(AI106*(AI106/20))</f>
        <v/>
      </c>
      <c r="AK106" s="24">
        <f>100-(AJ106*(AJ106/MAX(AJ91:AJ106)))</f>
        <v/>
      </c>
      <c r="AL106" t="n">
        <v>175</v>
      </c>
    </row>
    <row r="107">
      <c r="A107" t="n">
        <v>192</v>
      </c>
      <c r="B107" t="inlineStr">
        <is>
          <t>Viet Nam</t>
        </is>
      </c>
      <c r="C107" t="inlineStr">
        <is>
          <t>Asia</t>
        </is>
      </c>
      <c r="D107" t="inlineStr">
        <is>
          <t>ASEAN</t>
        </is>
      </c>
      <c r="E107" t="inlineStr">
        <is>
          <t>In force — Decree No. 13/2023</t>
        </is>
      </c>
      <c r="F107" s="50" t="inlineStr">
        <is>
          <t>https://unctad.org/page/data-protection-and-privacy-legislation-worldwide</t>
        </is>
      </c>
      <c r="G107" t="inlineStr">
        <is>
          <t>Weak</t>
        </is>
      </c>
      <c r="H107" s="50" t="inlineStr">
        <is>
          <t>https://unctad.org/page/data-protection-and-privacy-legislation-worldwide</t>
        </is>
      </c>
      <c r="I107" t="inlineStr">
        <is>
          <t>Partial</t>
        </is>
      </c>
      <c r="J107" s="50" t="inlineStr">
        <is>
          <t>https://unctad.org/page/data-protection-and-privacy-legislation-worldwide; https://www.unicef.org/viet-nam/</t>
        </is>
      </c>
      <c r="K107" t="inlineStr">
        <is>
          <t>Partial</t>
        </is>
      </c>
      <c r="L107" s="50" t="inlineStr">
        <is>
          <t>https://www.unicef.org/viet-nam/</t>
        </is>
      </c>
      <c r="M107" t="inlineStr">
        <is>
          <t>No</t>
        </is>
      </c>
      <c r="N107" s="50" t="inlineStr">
        <is>
          <t>https://unctad.org/page/data-protection-and-privacy-legislation-worldwide</t>
        </is>
      </c>
      <c r="O107" t="inlineStr">
        <is>
          <t>Legal</t>
        </is>
      </c>
      <c r="P107" s="50" t="inlineStr">
        <is>
          <t>https://www.humandignitytrust.org/country-profile/viet-nam/; https://ilga.org/ilga-world-maps/</t>
        </is>
      </c>
      <c r="Q107" t="inlineStr">
        <is>
          <t>Yes</t>
        </is>
      </c>
      <c r="R107" s="50" t="inlineStr">
        <is>
          <t>https://ilga.org/ilga-world-maps/</t>
        </is>
      </c>
      <c r="S107" t="inlineStr">
        <is>
          <t>Adopted — Vietnam AI Strategy 2021–2030</t>
        </is>
      </c>
      <c r="T107" s="50" t="inlineStr">
        <is>
          <t>https://en.unesco.org/artificial-intelligence/observatory/policies?country=VN; https://www.unesco.org/ethics-ai/en/global-hub</t>
        </is>
      </c>
      <c r="U107" t="inlineStr">
        <is>
          <t>No</t>
        </is>
      </c>
      <c r="V107" s="50" t="inlineStr">
        <is>
          <t>https://unctad.org/page/data-protection-and-privacy-legislation-worldwide</t>
        </is>
      </c>
      <c r="W107" t="inlineStr">
        <is>
          <t>Yes</t>
        </is>
      </c>
      <c r="X107" s="50" t="inlineStr">
        <is>
          <t>https://www.gsma.com/solutions-and-impact/connectivity-for-good/public-policy/mobile-policy-handbook/consumer-protection/mandatory-registration-of-prepaid-sims/</t>
        </is>
      </c>
      <c r="AI107">
        <f>SUM(Y107:AH107)</f>
        <v/>
      </c>
      <c r="AJ107">
        <f>100-(AI107*(AI107/20))</f>
        <v/>
      </c>
      <c r="AK107" s="24">
        <f>100-(AJ107*(AJ107/MAX(AJ103:AJ107)))</f>
        <v/>
      </c>
      <c r="AL107" t="n">
        <v>192</v>
      </c>
    </row>
    <row r="108">
      <c r="A108" t="n">
        <v>9</v>
      </c>
      <c r="B108" t="inlineStr">
        <is>
          <t>Armenia</t>
        </is>
      </c>
      <c r="C108" t="inlineStr">
        <is>
          <t>Asia</t>
        </is>
      </c>
      <c r="D108" t="inlineStr">
        <is>
          <t>CIS</t>
        </is>
      </c>
      <c r="E108" t="inlineStr">
        <is>
          <t>In force (Law on Personal Data Protection 2015)</t>
        </is>
      </c>
      <c r="F108" s="50" t="inlineStr">
        <is>
          <t>https://unctad.org/page/data-protection-and-privacy-legislation-worldwide</t>
        </is>
      </c>
      <c r="G108" t="inlineStr">
        <is>
          <t>Weak (Commissioner under Ministry of Justice)</t>
        </is>
      </c>
      <c r="H108" s="50" t="inlineStr">
        <is>
          <t>https://unctad.org/page/data-protection-and-privacy-legislation-worldwide</t>
        </is>
      </c>
      <c r="I108" t="inlineStr">
        <is>
          <t>Partial (general child protection; no explicit COP)</t>
        </is>
      </c>
      <c r="J108" s="50" t="inlineStr">
        <is>
          <t>https://unctad.org/page/data-protection-and-privacy-legislation-worldwide; https://www.unicef.org/armenia/</t>
        </is>
      </c>
      <c r="K108" t="inlineStr">
        <is>
          <t>No</t>
        </is>
      </c>
      <c r="L108" s="50" t="inlineStr">
        <is>
          <t>https://www.unicef.org/armenia/</t>
        </is>
      </c>
      <c r="M108" t="inlineStr">
        <is>
          <t>No (sexual orientation not in sensitive categories)</t>
        </is>
      </c>
      <c r="N108" s="50" t="inlineStr">
        <is>
          <t>https://unctad.org/page/data-protection-and-privacy-legislation-worldwide</t>
        </is>
      </c>
      <c r="O108" t="inlineStr">
        <is>
          <t>Legal (no criminalisation; no recognition)</t>
        </is>
      </c>
      <c r="P108" s="50" t="inlineStr">
        <is>
          <t>https://www.humandignitytrust.org/country-profile/armenia/; https://ilga.org/ilga-world-maps/</t>
        </is>
      </c>
      <c r="Q108" t="inlineStr">
        <is>
          <t>No/Annulled</t>
        </is>
      </c>
      <c r="R108" s="50" t="inlineStr">
        <is>
          <t>https://ilga.org/ilga-world-maps/</t>
        </is>
      </c>
      <c r="S108" t="inlineStr">
        <is>
          <t>Draft/Early (AI strategy development ongoing 2022–2024)</t>
        </is>
      </c>
      <c r="T108" s="50" t="inlineStr">
        <is>
          <t>https://en.unesco.org/artificial-intelligence/observatory/policies?country=AM; https://www.unesco.org/ethics-ai/en/global-hub</t>
        </is>
      </c>
      <c r="U108" t="inlineStr">
        <is>
          <t>No</t>
        </is>
      </c>
      <c r="V108" s="50" t="inlineStr">
        <is>
          <t>https://unctad.org/page/data-protection-and-privacy-legislation-worldwide</t>
        </is>
      </c>
      <c r="W108" t="inlineStr">
        <is>
          <t>No (passport/ID for SIM, no biometrics)</t>
        </is>
      </c>
      <c r="X108" s="50" t="inlineStr">
        <is>
          <t>https://www.gsma.com/solutions-and-impact/connectivity-for-good/public-policy/mobile-policy-handbook/consumer-protection/mandatory-registration-of-prepaid-sims/; https://privacyinternational.org/learn/sim-card-registration</t>
        </is>
      </c>
      <c r="AI108">
        <f>SUM(Y108:AH108)</f>
        <v/>
      </c>
      <c r="AJ108">
        <f>100-(AI108*(AI108/20))</f>
        <v/>
      </c>
      <c r="AK108" s="24">
        <f>100-(AJ108*(AJ108/MAX(AJ101:AJ108)))</f>
        <v/>
      </c>
      <c r="AL108" t="n">
        <v>9</v>
      </c>
    </row>
    <row r="109">
      <c r="A109" t="n">
        <v>12</v>
      </c>
      <c r="B109" t="inlineStr">
        <is>
          <t>Azerbaijan</t>
        </is>
      </c>
      <c r="C109" t="inlineStr">
        <is>
          <t>Asia</t>
        </is>
      </c>
      <c r="D109" t="inlineStr">
        <is>
          <t>CIS</t>
        </is>
      </c>
      <c r="E109" t="inlineStr">
        <is>
          <t>In force (Law on Personal Data 2010; amendments 2021)</t>
        </is>
      </c>
      <c r="F109" s="50" t="inlineStr">
        <is>
          <t>https://unctad.org/page/data-protection-and-privacy-legislation-worldwide</t>
        </is>
      </c>
      <c r="G109" t="inlineStr">
        <is>
          <t>Weak (supervision under executive ministry)</t>
        </is>
      </c>
      <c r="H109" s="50" t="inlineStr">
        <is>
          <t>https://unctad.org/page/data-protection-and-privacy-legislation-worldwide</t>
        </is>
      </c>
      <c r="I109" t="inlineStr">
        <is>
          <t>Partial (general child rights code, no COP strategy)</t>
        </is>
      </c>
      <c r="J109" s="50" t="inlineStr">
        <is>
          <t>https://unctad.org/page/data-protection-and-privacy-legislation-worldwide; https://www.unicef.org/azerbaijan/</t>
        </is>
      </c>
      <c r="K109" t="inlineStr">
        <is>
          <t>No</t>
        </is>
      </c>
      <c r="L109" s="50" t="inlineStr">
        <is>
          <t>https://www.unicef.org/azerbaijan/</t>
        </is>
      </c>
      <c r="M109" t="inlineStr">
        <is>
          <t>No (orientation not in sensitive categories)</t>
        </is>
      </c>
      <c r="N109" s="50" t="inlineStr">
        <is>
          <t>https://unctad.org/page/data-protection-and-privacy-legislation-worldwide</t>
        </is>
      </c>
      <c r="O109" t="inlineStr">
        <is>
          <t>Legal (no criminalisation; no recognition)</t>
        </is>
      </c>
      <c r="P109" s="50" t="inlineStr">
        <is>
          <t>https://www.humandignitytrust.org/country-profile/azerbaijan/; https://ilga.org/ilga-world-maps/</t>
        </is>
      </c>
      <c r="Q109" t="inlineStr">
        <is>
          <t>No/Annulled</t>
        </is>
      </c>
      <c r="R109" s="50" t="inlineStr">
        <is>
          <t>https://ilga.org/ilga-world-maps/</t>
        </is>
      </c>
      <c r="S109" t="inlineStr">
        <is>
          <t>Draft/Early (AI strategy under preparation, ICT strategy 2021 references AI)</t>
        </is>
      </c>
      <c r="T109" s="50" t="inlineStr">
        <is>
          <t>https://en.unesco.org/artificial-intelligence/observatory/policies?country=AZ; https://www.unesco.org/ethics-ai/en/global-hub</t>
        </is>
      </c>
      <c r="U109" t="inlineStr">
        <is>
          <t>No</t>
        </is>
      </c>
      <c r="V109" s="50" t="inlineStr">
        <is>
          <t>https://unctad.org/page/data-protection-and-privacy-legislation-worldwide</t>
        </is>
      </c>
      <c r="W109" t="inlineStr">
        <is>
          <t>Yes (mandatory SIM registration with ID and biometric linkage in practice)</t>
        </is>
      </c>
      <c r="X109" s="50" t="inlineStr">
        <is>
          <t>https://www.gsma.com/solutions-and-impact/connectivity-for-good/public-policy/mobile-policy-handbook/consumer-protection/mandatory-registration-of-prepaid-sims/; https://privacyinternational.org/learn/sim-card-registration</t>
        </is>
      </c>
      <c r="AI109">
        <f>SUM(Y109:AH109)</f>
        <v/>
      </c>
      <c r="AJ109">
        <f>100-(AI109*(AI109/20))</f>
        <v/>
      </c>
      <c r="AK109" s="24">
        <f>100-(AJ109*(AJ109/MAX(AJ99:AJ109)))</f>
        <v/>
      </c>
      <c r="AL109" t="n">
        <v>12</v>
      </c>
    </row>
    <row r="110">
      <c r="A110" s="43" t="n">
        <v>66</v>
      </c>
      <c r="B110" s="43" t="inlineStr">
        <is>
          <t>Georgia</t>
        </is>
      </c>
      <c r="C110" s="43" t="inlineStr">
        <is>
          <t>Asia</t>
        </is>
      </c>
      <c r="D110" s="43" t="inlineStr">
        <is>
          <t>Council of Europe</t>
        </is>
      </c>
      <c r="E110" s="43" t="inlineStr">
        <is>
          <t>In force (Law on Personal Data Protection, 2012; amended 2021)</t>
        </is>
      </c>
      <c r="F110" s="44" t="inlineStr">
        <is>
          <t>https://unctad.org/page/data-protection-and-privacy-legislation-worldwide</t>
        </is>
      </c>
      <c r="G110" s="43" t="inlineStr">
        <is>
          <t>Strong/Independent (State Inspector’s Service until 2022; restructured)</t>
        </is>
      </c>
      <c r="H110" s="44" t="inlineStr">
        <is>
          <t>https://unctad.org/page/data-protection-and-privacy-legislation-worldwide</t>
        </is>
      </c>
      <c r="I110" s="43" t="inlineStr">
        <is>
          <t>Partial (general child rights; no COP law)</t>
        </is>
      </c>
      <c r="J110" s="44" t="inlineStr">
        <is>
          <t>https://unctad.org/page/data-protection-and-privacy-legislation-worldwide; https://www.unicef.org/georgia/</t>
        </is>
      </c>
      <c r="K110" s="43" t="inlineStr">
        <is>
          <t>No</t>
        </is>
      </c>
      <c r="L110" s="44" t="inlineStr">
        <is>
          <t>https://www.unicef.org/georgia/</t>
        </is>
      </c>
      <c r="M110" s="43" t="inlineStr">
        <is>
          <t>Yes (protected under law)</t>
        </is>
      </c>
      <c r="N110" s="44" t="inlineStr">
        <is>
          <t>https://unctad.org/page/data-protection-and-privacy-legislation-worldwide</t>
        </is>
      </c>
      <c r="O110" s="43" t="inlineStr">
        <is>
          <t>Legal (no criminalisation; no marriage equality)</t>
        </is>
      </c>
      <c r="P110" s="44" t="inlineStr">
        <is>
          <t>https://www.humandignitytrust.org/country-profile/georgia/; https://ilga.org/ilga-world-maps/</t>
        </is>
      </c>
      <c r="Q110" s="43" t="inlineStr">
        <is>
          <t>No</t>
        </is>
      </c>
      <c r="R110" s="44" t="inlineStr">
        <is>
          <t>https://ilga.org/ilga-world-maps/</t>
        </is>
      </c>
      <c r="S110" s="43" t="inlineStr">
        <is>
          <t>Draft/Early (digital agenda; EU alignment)</t>
        </is>
      </c>
      <c r="T110" s="44" t="inlineStr">
        <is>
          <t>https://en.unesco.org/artificial-intelligence/observatory/policies?country=GE; https://www.unesco.org/ethics-ai/en/global-hub</t>
        </is>
      </c>
      <c r="U110" s="43" t="inlineStr">
        <is>
          <t>No</t>
        </is>
      </c>
      <c r="V110" s="44" t="inlineStr">
        <is>
          <t>https://unctad.org/page/data-protection-and-privacy-legislation-worldwide</t>
        </is>
      </c>
      <c r="W110" s="43" t="inlineStr">
        <is>
          <t>Yes (SIM registration with ID; biometric linkage expanding)</t>
        </is>
      </c>
      <c r="X110" s="44" t="inlineStr">
        <is>
          <t>https://www.gsma.com/solutions-and-impact/connectivity-for-good/public-policy/mobile-policy-handbook/consumer-protection/mandatory-registration-of-prepaid-sims/; https://privacyinternational.org/learn/sim-card-registration</t>
        </is>
      </c>
      <c r="AI110">
        <f>SUM(Y110:AH110)</f>
        <v/>
      </c>
      <c r="AJ110">
        <f>100-(AI110*(AI110/20))</f>
        <v/>
      </c>
      <c r="AK110" s="24">
        <f>100-(AJ110*(AJ110/MAX(AJ95:AJ110)))</f>
        <v/>
      </c>
      <c r="AL110" t="n">
        <v>66</v>
      </c>
    </row>
    <row r="111">
      <c r="A111" t="n">
        <v>87</v>
      </c>
      <c r="B111" t="inlineStr">
        <is>
          <t>Japan</t>
        </is>
      </c>
      <c r="C111" t="inlineStr">
        <is>
          <t>Asia</t>
        </is>
      </c>
      <c r="D111" t="inlineStr">
        <is>
          <t>G7</t>
        </is>
      </c>
      <c r="E111" t="inlineStr">
        <is>
          <t>In force (APPI, amended 2022)</t>
        </is>
      </c>
      <c r="F111" s="50" t="inlineStr">
        <is>
          <t>https://unctad.org/page/data-protection-and-privacy-legislation-worldwide</t>
        </is>
      </c>
      <c r="G111" t="inlineStr">
        <is>
          <t>Strong/Independent (PPC Japan)</t>
        </is>
      </c>
      <c r="H111" s="50" t="inlineStr">
        <is>
          <t>https://unctad.org/page/data-protection-and-privacy-legislation-worldwide</t>
        </is>
      </c>
      <c r="I111" t="inlineStr">
        <is>
          <t>Yes (APPI covers minors; national COP efforts)</t>
        </is>
      </c>
      <c r="J111" s="50" t="inlineStr">
        <is>
          <t>https://unctad.org/page/data-protection-and-privacy-legislation-worldwide; https://www.unicef.org/japan/</t>
        </is>
      </c>
      <c r="K111" t="inlineStr">
        <is>
          <t>Yes (government COP initiatives)</t>
        </is>
      </c>
      <c r="L111" s="50" t="inlineStr">
        <is>
          <t>https://www.unicef.org/japan/</t>
        </is>
      </c>
      <c r="M111" t="inlineStr">
        <is>
          <t>Partial (covered via interpretation; not explicit)</t>
        </is>
      </c>
      <c r="N111" s="50" t="inlineStr">
        <is>
          <t>https://unctad.org/page/data-protection-and-privacy-legislation-worldwide</t>
        </is>
      </c>
      <c r="O111" t="inlineStr">
        <is>
          <t>Legal (decriminalised; no marriage equality)</t>
        </is>
      </c>
      <c r="P111" s="50" t="inlineStr">
        <is>
          <t>https://www.humandignitytrust.org/country-profile/japan/; https://ilga.org/ilga-world-maps/</t>
        </is>
      </c>
      <c r="Q111" t="inlineStr">
        <is>
          <t>No</t>
        </is>
      </c>
      <c r="R111" s="50" t="inlineStr">
        <is>
          <t>https://ilga.org/ilga-world-maps/</t>
        </is>
      </c>
      <c r="S111" t="inlineStr">
        <is>
          <t>Adopted (AI Strategy 2019; Society 5.0)</t>
        </is>
      </c>
      <c r="T111" s="50" t="inlineStr">
        <is>
          <t>https://en.unesco.org/artificial-intelligence/observatory/policies?country=JP; https://www.unesco.org/ethics-ai/en/global-hub</t>
        </is>
      </c>
      <c r="U111" t="inlineStr">
        <is>
          <t>No</t>
        </is>
      </c>
      <c r="V111" s="50" t="inlineStr">
        <is>
          <t>https://unctad.org/page/data-protection-and-privacy-legislation-worldwide</t>
        </is>
      </c>
      <c r="W111" t="inlineStr">
        <is>
          <t>No (ID required; no biometrics)</t>
        </is>
      </c>
      <c r="X111" s="50" t="inlineStr">
        <is>
          <t>https://www.gsma.com/solutions-and-impact/connectivity-for-good/public-policy/mobile-policy-handbook/consumer-protection/mandatory-registration-of-prepaid-sims/; https://privacyinternational.org/learn/sim-card-registration</t>
        </is>
      </c>
      <c r="AI111">
        <f>SUM(Y111:AH111)</f>
        <v/>
      </c>
      <c r="AJ111">
        <f>100-(AI111*(AI111/20))</f>
        <v/>
      </c>
      <c r="AK111" s="24">
        <f>100-(AJ111*(AJ111/MAX(AJ96:AJ111)))</f>
        <v/>
      </c>
      <c r="AL111" t="n">
        <v>87</v>
      </c>
    </row>
    <row r="112">
      <c r="A112" t="n">
        <v>14</v>
      </c>
      <c r="B112" t="inlineStr">
        <is>
          <t>Bahrain</t>
        </is>
      </c>
      <c r="C112" t="inlineStr">
        <is>
          <t>Asia</t>
        </is>
      </c>
      <c r="D112" t="inlineStr">
        <is>
          <t>GCC</t>
        </is>
      </c>
      <c r="E112" t="inlineStr">
        <is>
          <t>In force (Law No. 30 of 2018 on Personal Data Protection)</t>
        </is>
      </c>
      <c r="F112" s="50" t="inlineStr">
        <is>
          <t>https://unctad.org/page/data-protection-and-privacy-legislation-worldwide</t>
        </is>
      </c>
      <c r="G112" t="inlineStr">
        <is>
          <t>Moderate (Personal Data Protection Authority under Ministry of Justice)</t>
        </is>
      </c>
      <c r="H112" s="50" t="inlineStr">
        <is>
          <t>https://unctad.org/page/data-protection-and-privacy-legislation-worldwide</t>
        </is>
      </c>
      <c r="I112" t="inlineStr">
        <is>
          <t>Partial (general child protection law; no COP strategy)</t>
        </is>
      </c>
      <c r="J112" s="50" t="inlineStr">
        <is>
          <t>https://unctad.org/page/data-protection-and-privacy-legislation-worldwide; https://www.unicef.org/bahrain/</t>
        </is>
      </c>
      <c r="K112" t="inlineStr">
        <is>
          <t>No</t>
        </is>
      </c>
      <c r="L112" s="50" t="inlineStr">
        <is>
          <t>https://www.unicef.org/bahrain/</t>
        </is>
      </c>
      <c r="M112" t="inlineStr">
        <is>
          <t>No</t>
        </is>
      </c>
      <c r="N112" s="50" t="inlineStr">
        <is>
          <t>https://unctad.org/page/data-protection-and-privacy-legislation-worldwide</t>
        </is>
      </c>
      <c r="O112" t="inlineStr">
        <is>
          <t>Criminalised</t>
        </is>
      </c>
      <c r="P112" s="50" t="inlineStr">
        <is>
          <t>https://www.humandignitytrust.org/country-profile/bahrain/; https://ilga.org/ilga-world-maps/</t>
        </is>
      </c>
      <c r="Q112" t="inlineStr">
        <is>
          <t>Yes (penal code provisions criminalising promotion of homosexuality)</t>
        </is>
      </c>
      <c r="R112" s="50" t="inlineStr">
        <is>
          <t>https://ilga.org/ilga-world-maps/</t>
        </is>
      </c>
      <c r="S112" t="inlineStr">
        <is>
          <t>Draft/Early (AI initiatives in ICT strategy; no standalone AI strategy)</t>
        </is>
      </c>
      <c r="T112" s="50" t="inlineStr">
        <is>
          <t>https://en.unesco.org/artificial-intelligence/observatory/policies?country=BH; https://www.unesco.org/ethics-ai/en/global-hub</t>
        </is>
      </c>
      <c r="U112" t="inlineStr">
        <is>
          <t>No</t>
        </is>
      </c>
      <c r="V112" s="50" t="inlineStr">
        <is>
          <t>https://unctad.org/page/data-protection-and-privacy-legislation-worldwide</t>
        </is>
      </c>
      <c r="W112" t="inlineStr">
        <is>
          <t>Yes (mandatory biometric SIM registration)</t>
        </is>
      </c>
      <c r="X112" s="50" t="inlineStr">
        <is>
          <t>https://www.gsma.com/solutions-and-impact/connectivity-for-good/public-policy/mobile-policy-handbook/consumer-protection/mandatory-registration-of-prepaid-sims/; https://privacyinternational.org/learn/sim-card-registration</t>
        </is>
      </c>
      <c r="AI112">
        <f>SUM(Y112:AH112)</f>
        <v/>
      </c>
      <c r="AJ112">
        <f>100-(AI112*(AI112/20))</f>
        <v/>
      </c>
      <c r="AK112" s="24">
        <f>100-(AJ112*(AJ112/MAX(AJ100:AJ112)))</f>
        <v/>
      </c>
      <c r="AL112" t="n">
        <v>14</v>
      </c>
    </row>
    <row r="113">
      <c r="A113" t="n">
        <v>92</v>
      </c>
      <c r="B113" t="inlineStr">
        <is>
          <t>Kuwait</t>
        </is>
      </c>
      <c r="C113" t="inlineStr">
        <is>
          <t>Asia</t>
        </is>
      </c>
      <c r="D113" t="inlineStr">
        <is>
          <t>GCC</t>
        </is>
      </c>
      <c r="E113" t="inlineStr">
        <is>
          <t>In force (Law No. 20 of 2014 on IT Crimes, limited protections)</t>
        </is>
      </c>
      <c r="F113" s="50" t="inlineStr">
        <is>
          <t>https://unctad.org/page/data-protection-and-privacy-legislation-worldwide</t>
        </is>
      </c>
      <c r="G113" t="inlineStr">
        <is>
          <t>None</t>
        </is>
      </c>
      <c r="H113" s="50" t="inlineStr">
        <is>
          <t>https://unctad.org/page/data-protection-and-privacy-legislation-worldwide</t>
        </is>
      </c>
      <c r="I113" t="inlineStr">
        <is>
          <t>No</t>
        </is>
      </c>
      <c r="J113" s="50" t="inlineStr">
        <is>
          <t>https://www.unicef.org/kuwait/</t>
        </is>
      </c>
      <c r="K113" t="inlineStr">
        <is>
          <t>No</t>
        </is>
      </c>
      <c r="L113" s="50" t="inlineStr">
        <is>
          <t>https://www.unicef.org/kuwait/</t>
        </is>
      </c>
      <c r="M113" t="inlineStr">
        <is>
          <t>No</t>
        </is>
      </c>
      <c r="N113" s="50" t="inlineStr">
        <is>
          <t>https://unctad.org/page/data-protection-and-privacy-legislation-worldwide</t>
        </is>
      </c>
      <c r="O113" t="inlineStr">
        <is>
          <t>Criminalised (Penal Code Articles 193/198)</t>
        </is>
      </c>
      <c r="P113" s="50" t="inlineStr">
        <is>
          <t>https://www.humandignitytrust.org/country-profile/kuwait/; https://ilga.org/ilga-world-maps/</t>
        </is>
      </c>
      <c r="Q113" t="inlineStr">
        <is>
          <t>Yes (strict morality censorship)</t>
        </is>
      </c>
      <c r="R113" s="50" t="inlineStr">
        <is>
          <t>https://ilga.org/ilga-world-maps/</t>
        </is>
      </c>
      <c r="S113" t="inlineStr">
        <is>
          <t>Draft/Early (Vision 2035 programmes; no formal AI strategy)</t>
        </is>
      </c>
      <c r="T113" s="50" t="inlineStr">
        <is>
          <t>https://en.unesco.org/artificial-intelligence/observatory/policies?country=KW; https://www.unesco.org/ethics-ai/en/global-hub</t>
        </is>
      </c>
      <c r="U113" t="inlineStr">
        <is>
          <t>No</t>
        </is>
      </c>
      <c r="V113" s="50" t="inlineStr">
        <is>
          <t>https://unctad.org/page/data-protection-and-privacy-legislation-worldwide</t>
        </is>
      </c>
      <c r="W113" t="inlineStr">
        <is>
          <t>Yes (SIM registration with biometric ID)</t>
        </is>
      </c>
      <c r="X113" s="50" t="inlineStr">
        <is>
          <t>https://www.gsma.com/solutions-and-impact/connectivity-for-good/public-policy/mobile-policy-handbook/consumer-protection/mandatory-registration-of-prepaid-sims/; https://privacyinternational.org/learn/sim-card-registration</t>
        </is>
      </c>
      <c r="AI113">
        <f>SUM(Y113:AH113)</f>
        <v/>
      </c>
      <c r="AJ113">
        <f>100-(AI113*(AI113/20))</f>
        <v/>
      </c>
      <c r="AK113" s="24">
        <f>100-(AJ113*(AJ113/MAX(AJ98:AJ113)))</f>
        <v/>
      </c>
      <c r="AL113" t="n">
        <v>92</v>
      </c>
    </row>
    <row r="114">
      <c r="A114" t="n">
        <v>130</v>
      </c>
      <c r="B114" t="inlineStr">
        <is>
          <t>Oman</t>
        </is>
      </c>
      <c r="C114" t="inlineStr">
        <is>
          <t>Asia</t>
        </is>
      </c>
      <c r="D114" t="inlineStr">
        <is>
          <t>GCC</t>
        </is>
      </c>
      <c r="E114" t="inlineStr">
        <is>
          <t>In force — PDPL 2022</t>
        </is>
      </c>
      <c r="F114" s="50" t="inlineStr">
        <is>
          <t>https://unctad.org/page/data-protection-and-privacy-legislation-worldwide</t>
        </is>
      </c>
      <c r="G114" t="inlineStr">
        <is>
          <t>Weak — regulator under Ministry</t>
        </is>
      </c>
      <c r="H114" s="50" t="inlineStr">
        <is>
          <t>https://unctad.org/page/data-protection-and-privacy-legislation-worldwide</t>
        </is>
      </c>
      <c r="I114" t="inlineStr">
        <is>
          <t>No</t>
        </is>
      </c>
      <c r="J114" s="50" t="inlineStr">
        <is>
          <t>https://www.unicef.org/oman/</t>
        </is>
      </c>
      <c r="K114" t="inlineStr">
        <is>
          <t>No</t>
        </is>
      </c>
      <c r="L114" s="50" t="inlineStr">
        <is>
          <t>https://www.unicef.org/oman/</t>
        </is>
      </c>
      <c r="M114" t="inlineStr">
        <is>
          <t>No</t>
        </is>
      </c>
      <c r="N114" s="50" t="inlineStr">
        <is>
          <t>https://unctad.org/page/data-protection-and-privacy-legislation-worldwide</t>
        </is>
      </c>
      <c r="O114" t="inlineStr">
        <is>
          <t>Criminalised</t>
        </is>
      </c>
      <c r="P114" s="50" t="inlineStr">
        <is>
          <t>https://www.humandignitytrust.org/country-profile/oman/; https://ilga.org/ilga-world-maps/</t>
        </is>
      </c>
      <c r="Q114" t="inlineStr">
        <is>
          <t>Yes</t>
        </is>
      </c>
      <c r="R114" s="50" t="inlineStr">
        <is>
          <t>https://ilga.org/ilga-world-maps/</t>
        </is>
      </c>
      <c r="S114" t="inlineStr">
        <is>
          <t>Draft/Early — Vision 2040</t>
        </is>
      </c>
      <c r="T114" s="50" t="inlineStr">
        <is>
          <t>https://en.unesco.org/artificial-intelligence/observatory/policies?country=OM; https://www.unesco.org/ethics-ai/en/global-hub</t>
        </is>
      </c>
      <c r="U114" t="inlineStr">
        <is>
          <t>No</t>
        </is>
      </c>
      <c r="V114" s="50" t="inlineStr">
        <is>
          <t>https://unctad.org/page/data-protection-and-privacy-legislation-worldwide</t>
        </is>
      </c>
      <c r="W114" t="inlineStr">
        <is>
          <t>Yes</t>
        </is>
      </c>
      <c r="X114" s="50" t="inlineStr">
        <is>
          <t>https://www.gsma.com/solutions-and-impact/connectivity-for-good/public-policy/mobile-policy-handbook/consumer-protection/mandatory-registration-of-prepaid-sims/</t>
        </is>
      </c>
      <c r="AI114">
        <f>SUM(Y114:AH114)</f>
        <v/>
      </c>
      <c r="AJ114">
        <f>100-(AI114*(AI114/20))</f>
        <v/>
      </c>
      <c r="AK114" s="24">
        <f>100-(AJ114*(AJ114/MAX(AJ99:AJ114)))</f>
        <v/>
      </c>
      <c r="AL114" t="n">
        <v>130</v>
      </c>
    </row>
    <row r="115">
      <c r="A115" t="n">
        <v>140</v>
      </c>
      <c r="B115" t="inlineStr">
        <is>
          <t>Qatar</t>
        </is>
      </c>
      <c r="C115" t="inlineStr">
        <is>
          <t>Asia</t>
        </is>
      </c>
      <c r="D115" t="inlineStr">
        <is>
          <t>GCC</t>
        </is>
      </c>
      <c r="E115" t="inlineStr">
        <is>
          <t>In force — Law No. 13/2016</t>
        </is>
      </c>
      <c r="F115" s="50" t="inlineStr">
        <is>
          <t>https://unctad.org/page/data-protection-and-privacy-legislation-worldwide</t>
        </is>
      </c>
      <c r="G115" t="inlineStr">
        <is>
          <t>Weak — regulator in Ministry</t>
        </is>
      </c>
      <c r="H115" s="50" t="inlineStr">
        <is>
          <t>https://unctad.org/page/data-protection-and-privacy-legislation-worldwide</t>
        </is>
      </c>
      <c r="I115" t="inlineStr">
        <is>
          <t>No</t>
        </is>
      </c>
      <c r="J115" s="50" t="inlineStr">
        <is>
          <t>https://www.unicef.org/qatar/</t>
        </is>
      </c>
      <c r="K115" t="inlineStr">
        <is>
          <t>No</t>
        </is>
      </c>
      <c r="L115" s="50" t="inlineStr">
        <is>
          <t>https://www.unicef.org/qatar/</t>
        </is>
      </c>
      <c r="M115" t="inlineStr">
        <is>
          <t>No</t>
        </is>
      </c>
      <c r="N115" s="50" t="inlineStr">
        <is>
          <t>https://unctad.org/page/data-protection-and-privacy-legislation-worldwide</t>
        </is>
      </c>
      <c r="O115" t="inlineStr">
        <is>
          <t>Criminalised</t>
        </is>
      </c>
      <c r="P115" s="50" t="inlineStr">
        <is>
          <t>https://www.humandignitytrust.org/country-profile/qatar/; https://ilga.org/ilga-world-maps/</t>
        </is>
      </c>
      <c r="Q115" t="inlineStr">
        <is>
          <t>Yes</t>
        </is>
      </c>
      <c r="R115" s="50" t="inlineStr">
        <is>
          <t>https://ilga.org/ilga-world-maps/</t>
        </is>
      </c>
      <c r="S115" t="inlineStr">
        <is>
          <t>Draft/Early — AI Strategy 2019</t>
        </is>
      </c>
      <c r="T115" s="50" t="inlineStr">
        <is>
          <t>https://en.unesco.org/artificial-intelligence/observatory/policies?country=QA; https://www.unesco.org/ethics-ai/en/global-hub</t>
        </is>
      </c>
      <c r="U115" t="inlineStr">
        <is>
          <t>No</t>
        </is>
      </c>
      <c r="V115" s="50" t="inlineStr">
        <is>
          <t>https://unctad.org/page/data-protection-and-privacy-legislation-worldwide</t>
        </is>
      </c>
      <c r="W115" t="inlineStr">
        <is>
          <t>Yes</t>
        </is>
      </c>
      <c r="X115" s="50" t="inlineStr">
        <is>
          <t>https://www.gsma.com/solutions-and-impact/connectivity-for-good/public-policy/mobile-policy-handbook/consumer-protection/mandatory-registration-of-prepaid-sims/</t>
        </is>
      </c>
      <c r="AI115">
        <f>SUM(Y115:AH115)</f>
        <v/>
      </c>
      <c r="AJ115">
        <f>100-(AI115*(AI115/20))</f>
        <v/>
      </c>
      <c r="AK115" s="24">
        <f>100-(AJ115*(AJ115/MAX(AJ100:AJ115)))</f>
        <v/>
      </c>
      <c r="AL115" t="n">
        <v>140</v>
      </c>
    </row>
    <row r="116">
      <c r="A116" t="n">
        <v>152</v>
      </c>
      <c r="B116" t="inlineStr">
        <is>
          <t>Saudi Arabia</t>
        </is>
      </c>
      <c r="C116" t="inlineStr">
        <is>
          <t>Asia</t>
        </is>
      </c>
      <c r="D116" t="inlineStr">
        <is>
          <t>GCC</t>
        </is>
      </c>
      <c r="E116" t="inlineStr">
        <is>
          <t>In force — Personal Data Protection Law 2021</t>
        </is>
      </c>
      <c r="F116" s="50" t="inlineStr">
        <is>
          <t>https://unctad.org/page/data-protection-and-privacy-legislation-worldwide</t>
        </is>
      </c>
      <c r="G116" t="inlineStr">
        <is>
          <t>Weak — regulator under executive</t>
        </is>
      </c>
      <c r="H116" s="50" t="inlineStr">
        <is>
          <t>https://unctad.org/page/data-protection-and-privacy-legislation-worldwide</t>
        </is>
      </c>
      <c r="I116" t="inlineStr">
        <is>
          <t>No</t>
        </is>
      </c>
      <c r="J116" s="50" t="inlineStr">
        <is>
          <t>https://www.unicef.org/saudi-arabia/</t>
        </is>
      </c>
      <c r="K116" t="inlineStr">
        <is>
          <t>No</t>
        </is>
      </c>
      <c r="L116" s="50" t="inlineStr">
        <is>
          <t>https://www.unicef.org/saudi-arabia/</t>
        </is>
      </c>
      <c r="M116" t="inlineStr">
        <is>
          <t>No</t>
        </is>
      </c>
      <c r="N116" s="50" t="inlineStr">
        <is>
          <t>https://unctad.org/page/data-protection-and-privacy-legislation-worldwide</t>
        </is>
      </c>
      <c r="O116" t="inlineStr">
        <is>
          <t>Criminalised — severe penalties</t>
        </is>
      </c>
      <c r="P116" s="50" t="inlineStr">
        <is>
          <t>https://www.humandignitytrust.org/country-profile/saudi-arabia/; https://ilga.org/ilga-world-maps/</t>
        </is>
      </c>
      <c r="Q116" t="inlineStr">
        <is>
          <t>Yes</t>
        </is>
      </c>
      <c r="R116" s="50" t="inlineStr">
        <is>
          <t>https://ilga.org/ilga-world-maps/</t>
        </is>
      </c>
      <c r="S116" t="inlineStr">
        <is>
          <t>Adopted — Saudi Data &amp; AI Authority (SDAIA) Strategy 2020</t>
        </is>
      </c>
      <c r="T116" s="50" t="inlineStr">
        <is>
          <t>https://en.unesco.org/artificial-intelligence/observatory/policies?country=SA; https://www.unesco.org/ethics-ai/en/global-hub</t>
        </is>
      </c>
      <c r="U116" t="inlineStr">
        <is>
          <t>No</t>
        </is>
      </c>
      <c r="V116" s="50" t="inlineStr">
        <is>
          <t>https://unctad.org/page/data-protection-and-privacy-legislation-worldwide</t>
        </is>
      </c>
      <c r="W116" t="inlineStr">
        <is>
          <t>Yes</t>
        </is>
      </c>
      <c r="X116" s="50" t="inlineStr">
        <is>
          <t>https://www.gsma.com/solutions-and-impact/connectivity-for-good/public-policy/mobile-policy-handbook/consumer-protection/mandatory-registration-of-prepaid-sims/</t>
        </is>
      </c>
      <c r="AI116">
        <f>SUM(Y116:AH116)</f>
        <v/>
      </c>
      <c r="AJ116">
        <f>100-(AI116*(AI116/20))</f>
        <v/>
      </c>
      <c r="AK116" s="24">
        <f>100-(AJ116*(AJ116/MAX(AJ101:AJ116)))</f>
        <v/>
      </c>
      <c r="AL116" t="n">
        <v>152</v>
      </c>
    </row>
    <row r="117">
      <c r="A117" t="n">
        <v>185</v>
      </c>
      <c r="B117" t="inlineStr">
        <is>
          <t>United Arab Emirates</t>
        </is>
      </c>
      <c r="C117" t="inlineStr">
        <is>
          <t>Asia</t>
        </is>
      </c>
      <c r="D117" t="inlineStr">
        <is>
          <t>GCC</t>
        </is>
      </c>
      <c r="E117" t="inlineStr">
        <is>
          <t>In force — Federal Data Protection Law (2021)</t>
        </is>
      </c>
      <c r="F117" s="50" t="inlineStr">
        <is>
          <t>https://unctad.org/page/data-protection-and-privacy-legislation-worldwide</t>
        </is>
      </c>
      <c r="G117" t="inlineStr">
        <is>
          <t>Weak — under government ministry</t>
        </is>
      </c>
      <c r="H117" s="50" t="inlineStr">
        <is>
          <t>https://unctad.org/page/data-protection-and-privacy-legislation-worldwide</t>
        </is>
      </c>
      <c r="I117" t="inlineStr">
        <is>
          <t>Partial</t>
        </is>
      </c>
      <c r="J117" s="50" t="inlineStr">
        <is>
          <t>https://unctad.org/page/data-protection-and-privacy-legislation-worldwide; https://www.unicef.org/united-arab-emirates/</t>
        </is>
      </c>
      <c r="K117" t="inlineStr">
        <is>
          <t>Yes — national programs</t>
        </is>
      </c>
      <c r="L117" s="50" t="inlineStr">
        <is>
          <t>https://www.unicef.org/united-arab-emirates/</t>
        </is>
      </c>
      <c r="M117" t="inlineStr">
        <is>
          <t>No</t>
        </is>
      </c>
      <c r="N117" s="50" t="inlineStr">
        <is>
          <t>https://unctad.org/page/data-protection-and-privacy-legislation-worldwide</t>
        </is>
      </c>
      <c r="O117" t="inlineStr">
        <is>
          <t>Criminalised — Sharia provisions, Penal Code</t>
        </is>
      </c>
      <c r="P117" s="50" t="inlineStr">
        <is>
          <t>https://www.humandignitytrust.org/country-profile/united-arab-emirates/; https://ilga.org/ilga-world-maps/</t>
        </is>
      </c>
      <c r="Q117" t="inlineStr">
        <is>
          <t>Yes</t>
        </is>
      </c>
      <c r="R117" s="50" t="inlineStr">
        <is>
          <t>https://ilga.org/ilga-world-maps/</t>
        </is>
      </c>
      <c r="S117" t="inlineStr">
        <is>
          <t>Adopted — UAE AI Strategy 2031</t>
        </is>
      </c>
      <c r="T117" s="50" t="inlineStr">
        <is>
          <t>https://en.unesco.org/artificial-intelligence/observatory/policies?country=AE; https://www.unesco.org/ethics-ai/en/global-hub</t>
        </is>
      </c>
      <c r="U117" t="inlineStr">
        <is>
          <t>No</t>
        </is>
      </c>
      <c r="V117" s="50" t="inlineStr">
        <is>
          <t>https://unctad.org/page/data-protection-and-privacy-legislation-worldwide</t>
        </is>
      </c>
      <c r="W117" t="inlineStr">
        <is>
          <t>Yes — Emirates ID required, biometric enabled</t>
        </is>
      </c>
      <c r="X117" s="50" t="inlineStr">
        <is>
          <t>https://www.gsma.com/solutions-and-impact/connectivity-for-good/public-policy/mobile-policy-handbook/consumer-protection/mandatory-registration-of-prepaid-sims/; https://privacyinternational.org/learn/sim-card-registration</t>
        </is>
      </c>
      <c r="AI117">
        <f>SUM(Y117:AH117)</f>
        <v/>
      </c>
      <c r="AJ117">
        <f>100-(AI117*(AI117/20))</f>
        <v/>
      </c>
      <c r="AK117" s="24">
        <f>100-(AJ117*(AJ117/MAX(AJ106:AJ117)))</f>
        <v/>
      </c>
      <c r="AL117" t="n">
        <v>185</v>
      </c>
    </row>
    <row r="118">
      <c r="A118" t="n">
        <v>84</v>
      </c>
      <c r="B118" t="inlineStr">
        <is>
          <t>Israel</t>
        </is>
      </c>
      <c r="C118" t="inlineStr">
        <is>
          <t>Asia</t>
        </is>
      </c>
      <c r="D118" t="inlineStr">
        <is>
          <t>OECD</t>
        </is>
      </c>
      <c r="E118" t="inlineStr">
        <is>
          <t>In force (Privacy Protection Law, 1981; amended)</t>
        </is>
      </c>
      <c r="F118" s="50" t="inlineStr">
        <is>
          <t>https://unctad.org/page/data-protection-and-privacy-legislation-worldwide</t>
        </is>
      </c>
      <c r="G118" t="inlineStr">
        <is>
          <t>Moderate (Privacy Protection Authority under Ministry of Justice)</t>
        </is>
      </c>
      <c r="H118" s="50" t="inlineStr">
        <is>
          <t>https://unctad.org/page/data-protection-and-privacy-legislation-worldwide</t>
        </is>
      </c>
      <c r="I118" t="inlineStr">
        <is>
          <t>Partial (general child protections; no standalone COP law)</t>
        </is>
      </c>
      <c r="J118" s="50" t="inlineStr">
        <is>
          <t>https://unctad.org/page/data-protection-and-privacy-legislation-worldwide; https://www.unicef.org/israel/</t>
        </is>
      </c>
      <c r="K118" t="inlineStr">
        <is>
          <t>Partial (programmes on online child safety)</t>
        </is>
      </c>
      <c r="L118" s="50" t="inlineStr">
        <is>
          <t>https://www.unicef.org/israel/</t>
        </is>
      </c>
      <c r="M118" t="inlineStr">
        <is>
          <t>Yes (equality and data protection provisions)</t>
        </is>
      </c>
      <c r="N118" s="50" t="inlineStr">
        <is>
          <t>https://unctad.org/page/data-protection-and-privacy-legislation-worldwide</t>
        </is>
      </c>
      <c r="O118" t="inlineStr">
        <is>
          <t>Legal (foreign marriages recognised; no local marriage equality)</t>
        </is>
      </c>
      <c r="P118" s="50" t="inlineStr">
        <is>
          <t>https://www.humandignitytrust.org/country-profile/israel/; https://ilga.org/ilga-world-maps/</t>
        </is>
      </c>
      <c r="Q118" t="inlineStr">
        <is>
          <t>No</t>
        </is>
      </c>
      <c r="R118" s="50" t="inlineStr">
        <is>
          <t>https://ilga.org/ilga-world-maps/</t>
        </is>
      </c>
      <c r="S118" t="inlineStr">
        <is>
          <t>Adopted (National AI Program 2020)</t>
        </is>
      </c>
      <c r="T118" s="50" t="inlineStr">
        <is>
          <t>https://en.unesco.org/artificial-intelligence/observatory/policies?country=IL; https://www.unesco.org/ethics-ai/en/global-hub</t>
        </is>
      </c>
      <c r="U118" t="inlineStr">
        <is>
          <t>No</t>
        </is>
      </c>
      <c r="V118" s="50" t="inlineStr">
        <is>
          <t>https://unctad.org/page/data-protection-and-privacy-legislation-worldwide</t>
        </is>
      </c>
      <c r="W118" t="inlineStr">
        <is>
          <t>Yes (SIM tied to biometric national ID)</t>
        </is>
      </c>
      <c r="X118" s="50" t="inlineStr">
        <is>
          <t>https://www.gsma.com/solutions-and-impact/connectivity-for-good/public-policy/mobile-policy-handbook/consumer-protection/mandatory-registration-of-prepaid-sims/; https://privacyinternational.org/learn/sim-card-registration</t>
        </is>
      </c>
      <c r="AI118">
        <f>SUM(Y118:AH118)</f>
        <v/>
      </c>
      <c r="AJ118">
        <f>100-(AI118*(AI118/20))</f>
        <v/>
      </c>
      <c r="AK118" s="24">
        <f>100-(AJ118*(AJ118/MAX(AJ103:AJ118)))</f>
        <v/>
      </c>
      <c r="AL118" t="n">
        <v>84</v>
      </c>
    </row>
    <row r="119">
      <c r="A119" t="n">
        <v>141</v>
      </c>
      <c r="B119" t="inlineStr">
        <is>
          <t>Republic of Korea</t>
        </is>
      </c>
      <c r="C119" t="inlineStr">
        <is>
          <t>Asia</t>
        </is>
      </c>
      <c r="D119" t="inlineStr">
        <is>
          <t>OECD</t>
        </is>
      </c>
      <c r="E119" t="inlineStr">
        <is>
          <t>In force — PIPA (2011)</t>
        </is>
      </c>
      <c r="F119" s="50" t="inlineStr">
        <is>
          <t>https://unctad.org/page/data-protection-and-privacy-legislation-worldwide</t>
        </is>
      </c>
      <c r="G119" t="inlineStr">
        <is>
          <t>Strong — PIPC</t>
        </is>
      </c>
      <c r="H119" s="50" t="inlineStr">
        <is>
          <t>https://unctad.org/page/data-protection-and-privacy-legislation-worldwide</t>
        </is>
      </c>
      <c r="I119" t="inlineStr">
        <is>
          <t>Yes</t>
        </is>
      </c>
      <c r="J119" s="50" t="inlineStr">
        <is>
          <t>https://unctad.org/page/data-protection-and-privacy-legislation-worldwide; https://www.unicef.org/republic-of-korea/</t>
        </is>
      </c>
      <c r="K119" t="inlineStr">
        <is>
          <t>Yes</t>
        </is>
      </c>
      <c r="L119" s="50" t="inlineStr">
        <is>
          <t>https://www.unicef.org/republic-of-korea/</t>
        </is>
      </c>
      <c r="M119" t="inlineStr">
        <is>
          <t>No explicit protection</t>
        </is>
      </c>
      <c r="N119" s="50" t="inlineStr">
        <is>
          <t>https://unctad.org/page/data-protection-and-privacy-legislation-worldwide</t>
        </is>
      </c>
      <c r="O119" t="inlineStr">
        <is>
          <t>Legal — no marriage equality</t>
        </is>
      </c>
      <c r="P119" s="50" t="inlineStr">
        <is>
          <t>https://www.humandignitytrust.org/country-profile/republic-of-korea/; https://ilga.org/ilga-world-maps/</t>
        </is>
      </c>
      <c r="Q119" t="inlineStr">
        <is>
          <t>No</t>
        </is>
      </c>
      <c r="R119" s="50" t="inlineStr">
        <is>
          <t>https://ilga.org/ilga-world-maps/</t>
        </is>
      </c>
      <c r="S119" t="inlineStr">
        <is>
          <t>Adopted — AI National Strategy 2019</t>
        </is>
      </c>
      <c r="T119" s="50" t="inlineStr">
        <is>
          <t>https://www.unesco.org/ethics-ai/en/global-hub</t>
        </is>
      </c>
      <c r="U119" t="inlineStr">
        <is>
          <t>Yes</t>
        </is>
      </c>
      <c r="V119" s="50" t="inlineStr">
        <is>
          <t>https://unctad.org/page/data-protection-and-privacy-legislation-worldwide</t>
        </is>
      </c>
      <c r="W119" t="inlineStr">
        <is>
          <t>Yes — tied to ID, not biometrics</t>
        </is>
      </c>
      <c r="X119" s="50" t="inlineStr">
        <is>
          <t>https://www.gsma.com/solutions-and-impact/connectivity-for-good/public-policy/mobile-policy-handbook/consumer-protection/mandatory-registration-of-prepaid-sims/; https://privacyinternational.org/learn/sim-card-registration</t>
        </is>
      </c>
      <c r="AI119">
        <f>SUM(Y119:AH119)</f>
        <v/>
      </c>
      <c r="AJ119">
        <f>100-(AI119*(AI119/20))</f>
        <v/>
      </c>
      <c r="AK119" s="24">
        <f>100-(AJ119*(AJ119/MAX(AJ104:AJ119)))</f>
        <v/>
      </c>
      <c r="AL119" t="n">
        <v>141</v>
      </c>
    </row>
    <row r="120">
      <c r="A120" t="n">
        <v>2</v>
      </c>
      <c r="B120" t="inlineStr">
        <is>
          <t>Afghanistan</t>
        </is>
      </c>
      <c r="C120" t="inlineStr">
        <is>
          <t>Asia</t>
        </is>
      </c>
      <c r="D120" t="inlineStr">
        <is>
          <t>SAARC</t>
        </is>
      </c>
      <c r="E120" t="inlineStr">
        <is>
          <t>None – No comprehensive data protection law; minor privacy in Electronic Transactions and Signatures Law 2017</t>
        </is>
      </c>
      <c r="F120" s="50" t="inlineStr">
        <is>
          <t>https://unctad.org/page/data-protection-and-privacy-legislation-worldwide; https://www.refworld.org/legal/legislation/natleglaws/2017/afg-2017-01.html</t>
        </is>
      </c>
      <c r="G120" t="inlineStr">
        <is>
          <t>No DPA – No data protection authority (2024)</t>
        </is>
      </c>
      <c r="H120" s="50" t="inlineStr">
        <is>
          <t>https://unctad.org/page/data-protection-and-privacy-legislation-worldwide</t>
        </is>
      </c>
      <c r="I120" t="inlineStr">
        <is>
          <t>None – No child data or online safety law; general privacy weakly addressed</t>
        </is>
      </c>
      <c r="J120" s="50" t="inlineStr">
        <is>
          <t>https://www.unicef.org/afghanistan/reports/child-protection-afghanistan-2023</t>
        </is>
      </c>
      <c r="K120" t="inlineStr">
        <is>
          <t>No – No national COP or child online protection strategy (2024)</t>
        </is>
      </c>
      <c r="L120" s="50" t="inlineStr">
        <is>
          <t>https://www.unicef.org/afghanistan/reports/child-protection-afghanistan-2023</t>
        </is>
      </c>
      <c r="M120" t="inlineStr">
        <is>
          <t>No – SOGI not listed; privacy law does not mention sensitive data (ETSL 2017)</t>
        </is>
      </c>
      <c r="N120" s="50" t="inlineStr">
        <is>
          <t>https://www.refworld.org/legal/legislation/natleglaws/2017/afg-2017-01.html; https://unctad.org/page/data-protection-and-privacy-legislation-worldwide</t>
        </is>
      </c>
      <c r="O120" t="inlineStr">
        <is>
          <t>Criminalized – Same-sex acts illegal; harsh penalties including death risk under Taliban (Sharia, post-2021)</t>
        </is>
      </c>
      <c r="P120" s="50" t="inlineStr">
        <is>
          <t>https://www.humandignitytrust.org/country-profile/afghanistan/; https://ilga.org/maps-sexual-orientation-laws</t>
        </is>
      </c>
      <c r="Q120" t="inlineStr">
        <is>
          <t>Yes – Broad morality laws, Taliban restrictions (2021–) prohibit LGBTQ+ expression</t>
        </is>
      </c>
      <c r="R120" s="50" t="inlineStr">
        <is>
          <t>https://www.hrw.org/news/2023/08/30/afghanistan-lgbt-afghans-face-persecution; https://ilga.org/maps-sexual-orientation-laws</t>
        </is>
      </c>
      <c r="S120" t="inlineStr">
        <is>
          <t>None – No national AI policy or strategy (2024)</t>
        </is>
      </c>
      <c r="T120" s="50" t="inlineStr">
        <is>
          <t>https://en.unesco.org/artificial-intelligence/observatory/policies?country=AF</t>
        </is>
      </c>
      <c r="U120" t="inlineStr">
        <is>
          <t>No – No DPIA/legal risk assessment required for AI or data (2024)</t>
        </is>
      </c>
      <c r="V120" s="50" t="inlineStr">
        <is>
          <t>https://www.refworld.org/legal/legislation/natleglaws/2017/afg-2017-01.html</t>
        </is>
      </c>
      <c r="W120" t="inlineStr">
        <is>
          <t>Biometric mandatory – SIM registration requires biometrics (GSMA 2023)</t>
        </is>
      </c>
      <c r="X120" s="50" t="inlineStr">
        <is>
          <t>https://www.gsma.com/mobilefordevelopment/resources/mandatory-sim-registration-in-afghanistan/; https://privacyinternational.org/examples/3208/afghanistan-mandatory-sim-registration</t>
        </is>
      </c>
      <c r="AI120">
        <f>SUM(Y120:AH120)</f>
        <v/>
      </c>
      <c r="AJ120">
        <f>100-(AI120*(AI120/20))</f>
        <v/>
      </c>
      <c r="AK120" s="24">
        <f>MAX(AJ120:AJ284)-(AJ120*(AJ120/MAX(AJ120:AJ284)))</f>
        <v/>
      </c>
      <c r="AL120" t="n">
        <v>2</v>
      </c>
    </row>
    <row r="121">
      <c r="A121" t="n">
        <v>15</v>
      </c>
      <c r="B121" t="inlineStr">
        <is>
          <t>Bangladesh</t>
        </is>
      </c>
      <c r="C121" t="inlineStr">
        <is>
          <t>Asia</t>
        </is>
      </c>
      <c r="D121" t="inlineStr">
        <is>
          <t>SAARC</t>
        </is>
      </c>
      <c r="E121" t="inlineStr">
        <is>
          <t>Draft (Data Protection Act not yet enacted, under consultation 2023–2024)</t>
        </is>
      </c>
      <c r="F121" s="50" t="inlineStr">
        <is>
          <t>https://unctad.org/page/data-protection-and-privacy-legislation-worldwide</t>
        </is>
      </c>
      <c r="G121" t="inlineStr">
        <is>
          <t>Weak (no independent DPA, regulator BTRC under government)</t>
        </is>
      </c>
      <c r="H121" s="50" t="inlineStr">
        <is>
          <t>https://unctad.org/page/data-protection-and-privacy-legislation-worldwide</t>
        </is>
      </c>
      <c r="I121" t="inlineStr">
        <is>
          <t>Partial (ICT Child Online Protection strategy via BTRC)</t>
        </is>
      </c>
      <c r="J121" s="50" t="inlineStr">
        <is>
          <t>https://unctad.org/page/data-protection-and-privacy-legislation-worldwide; https://www.unicef.org/bangladesh/</t>
        </is>
      </c>
      <c r="K121" t="inlineStr">
        <is>
          <t>Partial (BTRC COP strategy with ITU/UNICEF support)</t>
        </is>
      </c>
      <c r="L121" s="50" t="inlineStr">
        <is>
          <t>https://www.unicef.org/bangladesh/</t>
        </is>
      </c>
      <c r="M121" t="inlineStr">
        <is>
          <t>No</t>
        </is>
      </c>
      <c r="N121" s="50" t="inlineStr">
        <is>
          <t>https://unctad.org/page/data-protection-and-privacy-legislation-worldwide</t>
        </is>
      </c>
      <c r="O121" t="inlineStr">
        <is>
          <t>Criminalised (Section 377 in Penal Code)</t>
        </is>
      </c>
      <c r="P121" s="50" t="inlineStr">
        <is>
          <t>https://www.humandignitytrust.org/country-profile/bangladesh/; https://ilga.org/ilga-world-maps/</t>
        </is>
      </c>
      <c r="Q121" t="inlineStr">
        <is>
          <t>Yes (Digital Security Act used to target LGBTQ expression)</t>
        </is>
      </c>
      <c r="R121" s="50" t="inlineStr">
        <is>
          <t>https://ilga.org/ilga-world-maps/</t>
        </is>
      </c>
      <c r="S121" t="inlineStr">
        <is>
          <t>Draft/Early (AI policy consultations ongoing; AI in Digital Bangladesh agenda)</t>
        </is>
      </c>
      <c r="T121" s="50" t="inlineStr">
        <is>
          <t>https://en.unesco.org/artificial-intelligence/observatory/policies?country=BD; https://www.unesco.org/ethics-ai/en/global-hub</t>
        </is>
      </c>
      <c r="U121" t="inlineStr">
        <is>
          <t>No</t>
        </is>
      </c>
      <c r="V121" s="50" t="inlineStr">
        <is>
          <t>https://unctad.org/page/data-protection-and-privacy-legislation-worldwide</t>
        </is>
      </c>
      <c r="W121" t="inlineStr">
        <is>
          <t>Yes (mandatory biometric SIM registration, fingerprints required)</t>
        </is>
      </c>
      <c r="X121" s="50" t="inlineStr">
        <is>
          <t>https://www.gsma.com/solutions-and-impact/connectivity-for-good/public-policy/mobile-policy-handbook/consumer-protection/mandatory-registration-of-prepaid-sims/; https://privacyinternational.org/learn/sim-card-registration</t>
        </is>
      </c>
      <c r="AI121">
        <f>SUM(Y121:AH121)</f>
        <v/>
      </c>
      <c r="AJ121">
        <f>100-(AI121*(AI121/20))</f>
        <v/>
      </c>
      <c r="AK121" s="24">
        <f>100-(AJ121*(AJ121/MAX(AJ108:AJ121)))</f>
        <v/>
      </c>
      <c r="AL121" t="n">
        <v>15</v>
      </c>
    </row>
    <row r="122">
      <c r="A122" t="n">
        <v>21</v>
      </c>
      <c r="B122" t="inlineStr">
        <is>
          <t>Bhutan</t>
        </is>
      </c>
      <c r="C122" t="inlineStr">
        <is>
          <t>Asia</t>
        </is>
      </c>
      <c r="D122" t="inlineStr">
        <is>
          <t>SAARC</t>
        </is>
      </c>
      <c r="E122" t="inlineStr">
        <is>
          <t>Draft (no comprehensive DP law; draft ICT laws cover some aspects)</t>
        </is>
      </c>
      <c r="F122" s="50" t="inlineStr">
        <is>
          <t>https://unctad.org/page/data-protection-and-privacy-legislation-worldwide</t>
        </is>
      </c>
      <c r="G122" t="inlineStr">
        <is>
          <t>Weak (no independent DPA)</t>
        </is>
      </c>
      <c r="H122" s="50" t="inlineStr">
        <is>
          <t>https://unctad.org/page/data-protection-and-privacy-legislation-worldwide</t>
        </is>
      </c>
      <c r="I122" t="inlineStr">
        <is>
          <t>Partial (Child Care and Protection Act 2011; no COP strategy)</t>
        </is>
      </c>
      <c r="J122" s="50" t="inlineStr">
        <is>
          <t>https://unctad.org/page/data-protection-and-privacy-legislation-worldwide; https://www.unicef.org/bhutan/</t>
        </is>
      </c>
      <c r="K122" t="inlineStr">
        <is>
          <t>No</t>
        </is>
      </c>
      <c r="L122" s="50" t="inlineStr">
        <is>
          <t>https://www.unicef.org/bhutan/</t>
        </is>
      </c>
      <c r="M122" t="inlineStr">
        <is>
          <t>No</t>
        </is>
      </c>
      <c r="N122" s="50" t="inlineStr">
        <is>
          <t>https://unctad.org/page/data-protection-and-privacy-legislation-worldwide</t>
        </is>
      </c>
      <c r="O122" t="inlineStr">
        <is>
          <t>Legal (same-sex relations decriminalised 2021)</t>
        </is>
      </c>
      <c r="P122" s="50" t="inlineStr">
        <is>
          <t>https://www.humandignitytrust.org/country-profile/bhutan/; https://ilga.org/ilga-world-maps/</t>
        </is>
      </c>
      <c r="Q122" t="inlineStr">
        <is>
          <t>No/Annulled</t>
        </is>
      </c>
      <c r="R122" s="50" t="inlineStr">
        <is>
          <t>https://ilga.org/ilga-world-maps/</t>
        </is>
      </c>
      <c r="S122" t="inlineStr">
        <is>
          <t>Draft/Early (AI in Digital Drukyul flagship programs; consultations ongoing)</t>
        </is>
      </c>
      <c r="T122" s="50" t="inlineStr">
        <is>
          <t>https://en.unesco.org/artificial-intelligence/observatory/policies?country=BT; https://www.unesco.org/ethics-ai/en/global-hub</t>
        </is>
      </c>
      <c r="U122" t="inlineStr">
        <is>
          <t>No</t>
        </is>
      </c>
      <c r="V122" s="50" t="inlineStr">
        <is>
          <t>https://unctad.org/page/data-protection-and-privacy-legislation-worldwide</t>
        </is>
      </c>
      <c r="W122" t="inlineStr">
        <is>
          <t>Yes (mandatory biometric SIM registration introduced 2018)</t>
        </is>
      </c>
      <c r="X122" s="50" t="inlineStr">
        <is>
          <t>https://www.gsma.com/solutions-and-impact/connectivity-for-good/public-policy/mobile-policy-handbook/consumer-protection/mandatory-registration-of-prepaid-sims/; https://privacyinternational.org/learn/sim-card-registration</t>
        </is>
      </c>
      <c r="AI122">
        <f>SUM(Y122:AH122)</f>
        <v/>
      </c>
      <c r="AJ122">
        <f>100-(AI122*(AI122/20))</f>
        <v/>
      </c>
      <c r="AK122" s="24">
        <f>100-(AJ122*(AJ122/MAX(AJ107:AJ122)))</f>
        <v/>
      </c>
      <c r="AL122" t="n">
        <v>21</v>
      </c>
    </row>
    <row r="123">
      <c r="A123" t="n">
        <v>79</v>
      </c>
      <c r="B123" t="inlineStr">
        <is>
          <t>India</t>
        </is>
      </c>
      <c r="C123" t="inlineStr">
        <is>
          <t>Asia</t>
        </is>
      </c>
      <c r="D123" t="inlineStr">
        <is>
          <t>SAARC</t>
        </is>
      </c>
      <c r="E123" t="inlineStr">
        <is>
          <t>In force (Digital Personal Data Protection Act, 2023)</t>
        </is>
      </c>
      <c r="F123" s="50" t="inlineStr">
        <is>
          <t>https://unctad.org/page/data-protection-and-privacy-legislation-worldwide</t>
        </is>
      </c>
      <c r="G123" t="inlineStr">
        <is>
          <t>Weak (Data Protection Board under government)</t>
        </is>
      </c>
      <c r="H123" s="50" t="inlineStr">
        <is>
          <t>https://unctad.org/page/data-protection-and-privacy-legislation-worldwide</t>
        </is>
      </c>
      <c r="I123" t="inlineStr">
        <is>
          <t>Partial (parental consent required for under-18)</t>
        </is>
      </c>
      <c r="J123" s="50" t="inlineStr">
        <is>
          <t>https://unctad.org/page/data-protection-and-privacy-legislation-worldwide; https://www.unicef.org/india/</t>
        </is>
      </c>
      <c r="K123" t="inlineStr">
        <is>
          <t>Partial (initiatives, not comprehensive)</t>
        </is>
      </c>
      <c r="L123" s="50" t="inlineStr">
        <is>
          <t>https://www.unicef.org/india/</t>
        </is>
      </c>
      <c r="M123" t="inlineStr">
        <is>
          <t>No</t>
        </is>
      </c>
      <c r="N123" s="50" t="inlineStr">
        <is>
          <t>https://unctad.org/page/data-protection-and-privacy-legislation-worldwide</t>
        </is>
      </c>
      <c r="O123" t="inlineStr">
        <is>
          <t>Legal (decriminalised 2018; no marriage equality)</t>
        </is>
      </c>
      <c r="P123" s="50" t="inlineStr">
        <is>
          <t>https://www.humandignitytrust.org/country-profile/india/; https://ilga.org/ilga-world-maps/</t>
        </is>
      </c>
      <c r="Q123" t="inlineStr">
        <is>
          <t>Proposed/Unclear (state-level restrictions)</t>
        </is>
      </c>
      <c r="R123" s="50" t="inlineStr">
        <is>
          <t>https://ilga.org/ilga-world-maps/</t>
        </is>
      </c>
      <c r="S123" t="inlineStr">
        <is>
          <t>Draft/Early (NITI Aayog AI for All, 2018; not formally adopted)</t>
        </is>
      </c>
      <c r="T123" s="50" t="inlineStr">
        <is>
          <t>https://en.unesco.org/artificial-intelligence/observatory/policies?country=IN; https://www.unesco.org/ethics-ai/en/global-hub</t>
        </is>
      </c>
      <c r="U123" t="inlineStr">
        <is>
          <t>No</t>
        </is>
      </c>
      <c r="V123" s="50" t="inlineStr">
        <is>
          <t>https://unctad.org/page/data-protection-and-privacy-legislation-worldwide</t>
        </is>
      </c>
      <c r="W123" t="inlineStr">
        <is>
          <t>Yes (Aadhaar-linked biometric SIM registration)</t>
        </is>
      </c>
      <c r="X123" s="50" t="inlineStr">
        <is>
          <t>https://www.gsma.com/solutions-and-impact/connectivity-for-good/public-policy/mobile-policy-handbook/consumer-protection/mandatory-registration-of-prepaid-sims/; https://privacyinternational.org/learn/sim-card-registration</t>
        </is>
      </c>
      <c r="AI123">
        <f>SUM(Y123:AH123)</f>
        <v/>
      </c>
      <c r="AJ123">
        <f>100-(AI123*(AI123/20))</f>
        <v/>
      </c>
      <c r="AK123" s="24">
        <f>100-(AJ123*(AJ123/MAX(AJ108:AJ123)))</f>
        <v/>
      </c>
      <c r="AL123" t="n">
        <v>79</v>
      </c>
    </row>
    <row r="124">
      <c r="A124" t="n">
        <v>106</v>
      </c>
      <c r="B124" t="inlineStr">
        <is>
          <t>Maldives</t>
        </is>
      </c>
      <c r="C124" t="inlineStr">
        <is>
          <t>Asia</t>
        </is>
      </c>
      <c r="D124" t="inlineStr">
        <is>
          <t>SAARC</t>
        </is>
      </c>
      <c r="E124" t="inlineStr">
        <is>
          <t>In force (Personal Data Protection Act, 2021)</t>
        </is>
      </c>
      <c r="F124" s="50" t="inlineStr">
        <is>
          <t>https://unctad.org/page/data-protection-and-privacy-legislation-worldwide</t>
        </is>
      </c>
      <c r="G124" t="inlineStr">
        <is>
          <t>Weak (regulator within Ministry of Environment, Climate Change &amp; Technology)</t>
        </is>
      </c>
      <c r="H124" s="50" t="inlineStr">
        <is>
          <t>https://unctad.org/page/data-protection-and-privacy-legislation-worldwide</t>
        </is>
      </c>
      <c r="I124" t="inlineStr">
        <is>
          <t>No</t>
        </is>
      </c>
      <c r="J124" s="50" t="inlineStr">
        <is>
          <t>https://www.unicef.org/maldives/</t>
        </is>
      </c>
      <c r="K124" t="inlineStr">
        <is>
          <t>No</t>
        </is>
      </c>
      <c r="L124" s="50" t="inlineStr">
        <is>
          <t>https://www.unicef.org/maldives/</t>
        </is>
      </c>
      <c r="M124" t="inlineStr">
        <is>
          <t>No</t>
        </is>
      </c>
      <c r="N124" s="50" t="inlineStr">
        <is>
          <t>https://unctad.org/page/data-protection-and-privacy-legislation-worldwide</t>
        </is>
      </c>
      <c r="O124" t="inlineStr">
        <is>
          <t>Criminalised (Sharia-based laws)</t>
        </is>
      </c>
      <c r="P124" s="50" t="inlineStr">
        <is>
          <t>https://www.humandignitytrust.org/country-profile/maldives/; https://ilga.org/ilga-world-maps/</t>
        </is>
      </c>
      <c r="Q124" t="inlineStr">
        <is>
          <t>Yes</t>
        </is>
      </c>
      <c r="R124" s="50" t="inlineStr">
        <is>
          <t>https://ilga.org/ilga-world-maps/</t>
        </is>
      </c>
      <c r="S124" t="inlineStr">
        <is>
          <t>Draft/Early (AI in digital transformation agenda; no standalone strategy)</t>
        </is>
      </c>
      <c r="T124" s="50" t="inlineStr">
        <is>
          <t>https://en.unesco.org/artificial-intelligence/observatory/policies?country=MV; https://www.unesco.org/ethics-ai/en/global-hub</t>
        </is>
      </c>
      <c r="U124" t="inlineStr">
        <is>
          <t>No</t>
        </is>
      </c>
      <c r="V124" s="50" t="inlineStr">
        <is>
          <t>https://unctad.org/page/data-protection-and-privacy-legislation-worldwide</t>
        </is>
      </c>
      <c r="W124" t="inlineStr">
        <is>
          <t>Yes (SIMs tied to biometric ID)</t>
        </is>
      </c>
      <c r="X124" s="50" t="inlineStr">
        <is>
          <t>https://www.gsma.com/solutions-and-impact/connectivity-for-good/public-policy/mobile-policy-handbook/consumer-protection/mandatory-registration-of-prepaid-sims/; https://privacyinternational.org/learn/sim-card-registration</t>
        </is>
      </c>
      <c r="AI124">
        <f>SUM(Y124:AH124)</f>
        <v/>
      </c>
      <c r="AJ124">
        <f>100-(AI124*(AI124/20))</f>
        <v/>
      </c>
      <c r="AK124" s="24">
        <f>100-(AJ124*(AJ124/MAX(AJ109:AJ124)))</f>
        <v/>
      </c>
      <c r="AL124" t="n">
        <v>106</v>
      </c>
    </row>
    <row r="125">
      <c r="A125" t="n">
        <v>122</v>
      </c>
      <c r="B125" t="inlineStr">
        <is>
          <t>Nepal</t>
        </is>
      </c>
      <c r="C125" t="inlineStr">
        <is>
          <t>Asia</t>
        </is>
      </c>
      <c r="D125" t="inlineStr">
        <is>
          <t>SAARC</t>
        </is>
      </c>
      <c r="E125" t="inlineStr">
        <is>
          <t>Draft (Privacy and Data Protection Bill)</t>
        </is>
      </c>
      <c r="F125" s="50" t="inlineStr">
        <is>
          <t>https://unctad.org/page/data-protection-and-privacy-legislation-worldwide</t>
        </is>
      </c>
      <c r="G125" t="inlineStr">
        <is>
          <t>None yet</t>
        </is>
      </c>
      <c r="H125" s="50" t="inlineStr">
        <is>
          <t>https://unctad.org/page/data-protection-and-privacy-legislation-worldwide</t>
        </is>
      </c>
      <c r="I125" t="inlineStr">
        <is>
          <t>No</t>
        </is>
      </c>
      <c r="J125" s="50" t="inlineStr">
        <is>
          <t>https://www.unicef.org/nepal/</t>
        </is>
      </c>
      <c r="K125" t="inlineStr">
        <is>
          <t>Partial (child safety awareness programs)</t>
        </is>
      </c>
      <c r="L125" s="50" t="inlineStr">
        <is>
          <t>https://www.unicef.org/nepal/</t>
        </is>
      </c>
      <c r="M125" t="inlineStr">
        <is>
          <t>No</t>
        </is>
      </c>
      <c r="N125" s="50" t="inlineStr">
        <is>
          <t>https://unctad.org/page/data-protection-and-privacy-legislation-worldwide</t>
        </is>
      </c>
      <c r="O125" t="inlineStr">
        <is>
          <t>Legal (third gender recognised; same-sex marriage SC ruling 2023)</t>
        </is>
      </c>
      <c r="P125" s="50" t="inlineStr">
        <is>
          <t>https://www.humandignitytrust.org/country-profile/nepal/; https://ilga.org/ilga-world-maps/</t>
        </is>
      </c>
      <c r="Q125" t="inlineStr">
        <is>
          <t>No</t>
        </is>
      </c>
      <c r="R125" s="50" t="inlineStr">
        <is>
          <t>https://ilga.org/ilga-world-maps/</t>
        </is>
      </c>
      <c r="S125" t="inlineStr">
        <is>
          <t>Draft/Early (AI research initiatives; no formal strategy)</t>
        </is>
      </c>
      <c r="T125" s="50" t="inlineStr">
        <is>
          <t>https://en.unesco.org/artificial-intelligence/observatory/policies?country=NP; https://www.unesco.org/ethics-ai/en/global-hub</t>
        </is>
      </c>
      <c r="U125" t="inlineStr">
        <is>
          <t>No</t>
        </is>
      </c>
      <c r="V125" s="50" t="inlineStr">
        <is>
          <t>https://unctad.org/page/data-protection-and-privacy-legislation-worldwide</t>
        </is>
      </c>
      <c r="W125" t="inlineStr">
        <is>
          <t>Yes (SIM tied to biometric ID)</t>
        </is>
      </c>
      <c r="X125" s="50" t="inlineStr">
        <is>
          <t>https://www.gsma.com/solutions-and-impact/connectivity-for-good/public-policy/mobile-policy-handbook/consumer-protection/mandatory-registration-of-prepaid-sims/; https://privacyinternational.org/learn/sim-card-registration</t>
        </is>
      </c>
      <c r="AI125">
        <f>SUM(Y125:AH125)</f>
        <v/>
      </c>
      <c r="AJ125">
        <f>100-(AI125*(AI125/20))</f>
        <v/>
      </c>
      <c r="AK125" s="24">
        <f>100-(AJ125*(AJ125/MAX(AJ110:AJ125)))</f>
        <v/>
      </c>
      <c r="AL125" t="n">
        <v>122</v>
      </c>
    </row>
    <row r="126">
      <c r="A126" t="n">
        <v>131</v>
      </c>
      <c r="B126" t="inlineStr">
        <is>
          <t>Pakistan</t>
        </is>
      </c>
      <c r="C126" t="inlineStr">
        <is>
          <t>Asia</t>
        </is>
      </c>
      <c r="D126" t="inlineStr">
        <is>
          <t>SAARC</t>
        </is>
      </c>
      <c r="E126" t="inlineStr">
        <is>
          <t>Draft — PDP Bill not enacted</t>
        </is>
      </c>
      <c r="F126" s="50" t="inlineStr">
        <is>
          <t>https://unctad.org/page/data-protection-and-privacy-legislation-worldwide</t>
        </is>
      </c>
      <c r="G126" t="inlineStr">
        <is>
          <t>None yet</t>
        </is>
      </c>
      <c r="H126" s="50" t="inlineStr">
        <is>
          <t>https://unctad.org/page/data-protection-and-privacy-legislation-worldwide</t>
        </is>
      </c>
      <c r="I126" t="inlineStr">
        <is>
          <t>No</t>
        </is>
      </c>
      <c r="J126" s="50" t="inlineStr">
        <is>
          <t>https://www.unicef.org/pakistan/</t>
        </is>
      </c>
      <c r="K126" t="inlineStr">
        <is>
          <t>No</t>
        </is>
      </c>
      <c r="L126" s="50" t="inlineStr">
        <is>
          <t>https://www.unicef.org/pakistan/</t>
        </is>
      </c>
      <c r="M126" t="inlineStr">
        <is>
          <t>No</t>
        </is>
      </c>
      <c r="N126" s="50" t="inlineStr">
        <is>
          <t>https://unctad.org/page/data-protection-and-privacy-legislation-worldwide</t>
        </is>
      </c>
      <c r="O126" t="inlineStr">
        <is>
          <t>Criminalised — Penal Code 377</t>
        </is>
      </c>
      <c r="P126" s="50" t="inlineStr">
        <is>
          <t>https://www.humandignitytrust.org/country-profile/pakistan/; https://ilga.org/ilga-world-maps/</t>
        </is>
      </c>
      <c r="Q126" t="inlineStr">
        <is>
          <t>Yes</t>
        </is>
      </c>
      <c r="R126" s="50" t="inlineStr">
        <is>
          <t>https://ilga.org/ilga-world-maps/</t>
        </is>
      </c>
      <c r="S126" t="inlineStr">
        <is>
          <t>Draft/Early — AI Policy Framework 2021; National AI Policy 2023 in consultation</t>
        </is>
      </c>
      <c r="T126" s="50" t="inlineStr">
        <is>
          <t>https://en.unesco.org/artificial-intelligence/observatory/policies?country=PK; https://www.unesco.org/ethics-ai/en/global-hub</t>
        </is>
      </c>
      <c r="U126" t="inlineStr">
        <is>
          <t>No</t>
        </is>
      </c>
      <c r="V126" s="50" t="inlineStr">
        <is>
          <t>https://unctad.org/page/data-protection-and-privacy-legislation-worldwide</t>
        </is>
      </c>
      <c r="W126" t="inlineStr">
        <is>
          <t>Yes — biometric SIM compulsory</t>
        </is>
      </c>
      <c r="X126" s="50" t="inlineStr">
        <is>
          <t>https://www.gsma.com/solutions-and-impact/connectivity-for-good/public-policy/mobile-policy-handbook/consumer-protection/mandatory-registration-of-prepaid-sims/; https://privacyinternational.org/learn/sim-card-registration</t>
        </is>
      </c>
      <c r="AI126">
        <f>SUM(Y126:AH126)</f>
        <v/>
      </c>
      <c r="AJ126">
        <f>100-(AI126*(AI126/20))</f>
        <v/>
      </c>
      <c r="AK126" s="24">
        <f>100-(AJ126*(AJ126/MAX(AJ111:AJ126)))</f>
        <v/>
      </c>
      <c r="AL126" t="n">
        <v>131</v>
      </c>
    </row>
    <row r="127">
      <c r="A127" t="n">
        <v>165</v>
      </c>
      <c r="B127" t="inlineStr">
        <is>
          <t>Sri Lanka</t>
        </is>
      </c>
      <c r="C127" t="inlineStr">
        <is>
          <t>Asia</t>
        </is>
      </c>
      <c r="D127" t="inlineStr">
        <is>
          <t>SAARC</t>
        </is>
      </c>
      <c r="E127" t="inlineStr">
        <is>
          <t>In force — Personal Data Protection Act 2022</t>
        </is>
      </c>
      <c r="F127" s="50" t="inlineStr">
        <is>
          <t>https://unctad.org/page/data-protection-and-privacy-legislation-worldwide</t>
        </is>
      </c>
      <c r="G127" t="inlineStr">
        <is>
          <t>Moderate — Data Protection Authority (new)</t>
        </is>
      </c>
      <c r="H127" s="50" t="inlineStr">
        <is>
          <t>https://unctad.org/page/data-protection-and-privacy-legislation-worldwide</t>
        </is>
      </c>
      <c r="I127" t="inlineStr">
        <is>
          <t>Partial</t>
        </is>
      </c>
      <c r="J127" s="50" t="inlineStr">
        <is>
          <t>https://unctad.org/page/data-protection-and-privacy-legislation-worldwide; https://www.unicef.org/sri-lanka/</t>
        </is>
      </c>
      <c r="K127" t="inlineStr">
        <is>
          <t>Partial</t>
        </is>
      </c>
      <c r="L127" s="50" t="inlineStr">
        <is>
          <t>https://www.unicef.org/sri-lanka/</t>
        </is>
      </c>
      <c r="M127" t="inlineStr">
        <is>
          <t>No</t>
        </is>
      </c>
      <c r="N127" s="50" t="inlineStr">
        <is>
          <t>https://unctad.org/page/data-protection-and-privacy-legislation-worldwide</t>
        </is>
      </c>
      <c r="O127" t="inlineStr">
        <is>
          <t>Legal — sodomy law decriminalised by Supreme Court in 2023</t>
        </is>
      </c>
      <c r="P127" s="50" t="inlineStr">
        <is>
          <t>https://www.humandignitytrust.org/country-profile/sri-lanka/; https://ilga.org/ilga-world-maps/</t>
        </is>
      </c>
      <c r="Q127" t="inlineStr">
        <is>
          <t>No</t>
        </is>
      </c>
      <c r="R127" s="50" t="inlineStr">
        <is>
          <t>https://ilga.org/ilga-world-maps/</t>
        </is>
      </c>
      <c r="S127" t="inlineStr">
        <is>
          <t>Draft/Early — AI in Digital Economy Strategy</t>
        </is>
      </c>
      <c r="T127" s="50" t="inlineStr">
        <is>
          <t>https://en.unesco.org/artificial-intelligence/observatory/policies?country=LK; https://www.unesco.org/ethics-ai/en/global-hub</t>
        </is>
      </c>
      <c r="U127" t="inlineStr">
        <is>
          <t>No</t>
        </is>
      </c>
      <c r="V127" s="50" t="inlineStr">
        <is>
          <t>https://unctad.org/page/data-protection-and-privacy-legislation-worldwide</t>
        </is>
      </c>
      <c r="W127" t="inlineStr">
        <is>
          <t>Yes — SIMs linked to ID, not biometrics</t>
        </is>
      </c>
      <c r="X127" s="50" t="inlineStr">
        <is>
          <t>https://www.gsma.com/solutions-and-impact/connectivity-for-good/public-policy/mobile-policy-handbook/consumer-protection/mandatory-registration-of-prepaid-sims/; https://privacyinternational.org/learn/sim-card-registration</t>
        </is>
      </c>
      <c r="AI127">
        <f>SUM(Y127:AH127)</f>
        <v/>
      </c>
      <c r="AJ127">
        <f>100-(AI127*(AI127/20))</f>
        <v/>
      </c>
      <c r="AK127" s="24">
        <f>100-(AJ127*(AJ127/MAX(AJ112:AJ127)))</f>
        <v/>
      </c>
      <c r="AL127" t="n">
        <v>165</v>
      </c>
    </row>
    <row r="128">
      <c r="A128" t="n">
        <v>37</v>
      </c>
      <c r="B128" t="inlineStr">
        <is>
          <t>China</t>
        </is>
      </c>
      <c r="C128" t="inlineStr">
        <is>
          <t>Asia</t>
        </is>
      </c>
      <c r="D128" t="inlineStr">
        <is>
          <t>SCO</t>
        </is>
      </c>
      <c r="E128" t="inlineStr">
        <is>
          <t>In force (Personal Information Protection Law 2021)</t>
        </is>
      </c>
      <c r="F128" s="50" t="inlineStr">
        <is>
          <t>https://unctad.org/page/data-protection-and-privacy-legislation-worldwide</t>
        </is>
      </c>
      <c r="G128" t="inlineStr">
        <is>
          <t>Weak (Cyberspace Administration of China under State Council)</t>
        </is>
      </c>
      <c r="H128" s="50" t="inlineStr">
        <is>
          <t>https://unctad.org/page/data-protection-and-privacy-legislation-worldwide</t>
        </is>
      </c>
      <c r="I128" t="inlineStr">
        <is>
          <t>Partial (Minors Protection Law; online protections, but no unified COP strategy)</t>
        </is>
      </c>
      <c r="J128" s="50" t="inlineStr">
        <is>
          <t>https://unctad.org/page/data-protection-and-privacy-legislation-worldwide; https://www.unicef.org/china/</t>
        </is>
      </c>
      <c r="K128" t="inlineStr">
        <is>
          <t>Partial (child online protections under CAC programs)</t>
        </is>
      </c>
      <c r="L128" s="50" t="inlineStr">
        <is>
          <t>https://www.unicef.org/china/</t>
        </is>
      </c>
      <c r="M128" t="inlineStr">
        <is>
          <t>No (not listed in law)</t>
        </is>
      </c>
      <c r="N128" s="50" t="inlineStr">
        <is>
          <t>https://unctad.org/page/data-protection-and-privacy-legislation-worldwide</t>
        </is>
      </c>
      <c r="O128" t="inlineStr">
        <is>
          <t>Legal (homosexuality decriminalised 1997; marriage equality not recognised)</t>
        </is>
      </c>
      <c r="P128" s="50" t="inlineStr">
        <is>
          <t>https://www.humandignitytrust.org/country-profile/china/; https://ilga.org/ilga-world-maps/</t>
        </is>
      </c>
      <c r="Q128" t="inlineStr">
        <is>
          <t>Yes (censorship laws restrict LGBTQ expression online)</t>
        </is>
      </c>
      <c r="R128" s="50" t="inlineStr">
        <is>
          <t>https://ilga.org/ilga-world-maps/</t>
        </is>
      </c>
      <c r="S128" t="inlineStr">
        <is>
          <t>Adopted (New Generation AI Development Plan 2017; sectoral AI regulations ongoing)</t>
        </is>
      </c>
      <c r="T128" s="50" t="inlineStr">
        <is>
          <t>https://en.unesco.org/artificial-intelligence/observatory/policies?country=CN; https://www.unesco.org/ethics-ai/en/global-hub</t>
        </is>
      </c>
      <c r="U128" t="inlineStr">
        <is>
          <t>Yes (PIPL requires impact assessments for sensitive processing)</t>
        </is>
      </c>
      <c r="V128" s="50" t="inlineStr">
        <is>
          <t>https://unctad.org/page/data-protection-and-privacy-legislation-worldwide</t>
        </is>
      </c>
      <c r="W128" t="inlineStr">
        <is>
          <t>Yes (mandatory facial biometrics for SIM registration)</t>
        </is>
      </c>
      <c r="X128" s="50" t="inlineStr">
        <is>
          <t>https://www.gsma.com/solutions-and-impact/connectivity-for-good/public-policy/mobile-policy-handbook/consumer-protection/mandatory-registration-of-prepaid-sims/; https://privacyinternational.org/learn/sim-card-registration</t>
        </is>
      </c>
      <c r="AI128">
        <f>SUM(Y128:AH128)</f>
        <v/>
      </c>
      <c r="AJ128">
        <f>100-(AI128*(AI128/20))</f>
        <v/>
      </c>
      <c r="AK128" s="24">
        <f>100-(AJ128*(AJ128/MAX(AJ118:AJ128)))</f>
        <v/>
      </c>
      <c r="AL128" t="n">
        <v>37</v>
      </c>
    </row>
    <row r="129">
      <c r="A129" t="n">
        <v>47</v>
      </c>
      <c r="B129" t="inlineStr">
        <is>
          <t>Democratic People's Republic of Korea</t>
        </is>
      </c>
      <c r="C129" t="inlineStr">
        <is>
          <t>Asia</t>
        </is>
      </c>
      <c r="D129" t="inlineStr">
        <is>
          <t>SCO</t>
        </is>
      </c>
      <c r="E129" t="inlineStr">
        <is>
          <t>None (state surveillance only)</t>
        </is>
      </c>
      <c r="F129" s="50" t="inlineStr">
        <is>
          <t>https://unctad.org/page/data-protection-and-privacy-legislation-worldwide</t>
        </is>
      </c>
      <c r="G129" t="inlineStr">
        <is>
          <t>Weak (no independent authority)</t>
        </is>
      </c>
      <c r="H129" s="50" t="inlineStr">
        <is>
          <t>https://unctad.org/page/data-protection-and-privacy-legislation-worldwide</t>
        </is>
      </c>
      <c r="I129" t="inlineStr">
        <is>
          <t>No</t>
        </is>
      </c>
      <c r="J129" s="50" t="inlineStr">
        <is>
          <t>https://www.unicef.org/democratic-peoples-republic-of-korea/</t>
        </is>
      </c>
      <c r="K129" t="inlineStr">
        <is>
          <t>No</t>
        </is>
      </c>
      <c r="L129" s="50" t="inlineStr">
        <is>
          <t>https://www.unicef.org/democratic-peoples-republic-of-korea/</t>
        </is>
      </c>
      <c r="M129" t="inlineStr">
        <is>
          <t>No</t>
        </is>
      </c>
      <c r="N129" s="50" t="inlineStr">
        <is>
          <t>https://unctad.org/page/data-protection-and-privacy-legislation-worldwide</t>
        </is>
      </c>
      <c r="O129" t="inlineStr">
        <is>
          <t>Criminalised</t>
        </is>
      </c>
      <c r="P129" s="50" t="inlineStr">
        <is>
          <t>https://www.humandignitytrust.org/country-profile/democratic-peoples-republic-of-korea/; https://ilga.org/ilga-world-maps/</t>
        </is>
      </c>
      <c r="Q129" t="inlineStr">
        <is>
          <t>Yes (censorship laws)</t>
        </is>
      </c>
      <c r="R129" s="50" t="inlineStr">
        <is>
          <t>https://ilga.org/ilga-world-maps/</t>
        </is>
      </c>
      <c r="S129" t="inlineStr">
        <is>
          <t>None (no AI strategy)</t>
        </is>
      </c>
      <c r="T129" s="50" t="inlineStr">
        <is>
          <t>https://en.unesco.org/artificial-intelligence/observatory/policies?country=KP; https://www.unesco.org/ethics-ai/en/global-hub</t>
        </is>
      </c>
      <c r="U129" t="inlineStr">
        <is>
          <t>No</t>
        </is>
      </c>
      <c r="V129" s="50" t="inlineStr">
        <is>
          <t>https://unctad.org/page/data-protection-and-privacy-legislation-worldwide</t>
        </is>
      </c>
      <c r="W129" t="inlineStr">
        <is>
          <t>Yes (SIMs tightly controlled by state)</t>
        </is>
      </c>
      <c r="X129" s="50" t="inlineStr">
        <is>
          <t>https://www.gsma.com/solutions-and-impact/connectivity-for-good/public-policy/mobile-policy-handbook/consumer-protection/mandatory-registration-of-prepaid-sims/</t>
        </is>
      </c>
      <c r="AI129">
        <f>SUM(Y129:AH129)</f>
        <v/>
      </c>
      <c r="AJ129">
        <f>100-(AI129*(AI129/20))</f>
        <v/>
      </c>
      <c r="AK129" s="24">
        <f>100-(AJ129*(AJ129/MAX(AJ118:AJ129)))</f>
        <v/>
      </c>
      <c r="AL129" t="n">
        <v>47</v>
      </c>
    </row>
    <row r="130">
      <c r="A130" t="n">
        <v>81</v>
      </c>
      <c r="B130" t="inlineStr">
        <is>
          <t>Iran (Islamic Republic of)</t>
        </is>
      </c>
      <c r="C130" t="inlineStr">
        <is>
          <t>Asia</t>
        </is>
      </c>
      <c r="D130" t="inlineStr">
        <is>
          <t>SCO</t>
        </is>
      </c>
      <c r="E130" t="inlineStr">
        <is>
          <t>Draft (privacy bills pending)</t>
        </is>
      </c>
      <c r="F130" s="50" t="inlineStr">
        <is>
          <t>https://unctad.org/page/data-protection-and-privacy-legislation-worldwide</t>
        </is>
      </c>
      <c r="G130" t="inlineStr">
        <is>
          <t>None</t>
        </is>
      </c>
      <c r="H130" s="50" t="inlineStr">
        <is>
          <t>https://unctad.org/page/data-protection-and-privacy-legislation-worldwide</t>
        </is>
      </c>
      <c r="I130" t="inlineStr">
        <is>
          <t>No</t>
        </is>
      </c>
      <c r="J130" s="50" t="inlineStr">
        <is>
          <t>https://www.unicef.org/iran-islamic-republic-of/</t>
        </is>
      </c>
      <c r="K130" t="inlineStr">
        <is>
          <t>No</t>
        </is>
      </c>
      <c r="L130" s="50" t="inlineStr">
        <is>
          <t>https://www.unicef.org/iran-islamic-republic-of/</t>
        </is>
      </c>
      <c r="M130" t="inlineStr">
        <is>
          <t>No</t>
        </is>
      </c>
      <c r="N130" s="50" t="inlineStr">
        <is>
          <t>https://unctad.org/page/data-protection-and-privacy-legislation-worldwide</t>
        </is>
      </c>
      <c r="O130" t="inlineStr">
        <is>
          <t>Criminalised (severe penalties, including capital punishment)</t>
        </is>
      </c>
      <c r="P130" s="50" t="inlineStr">
        <is>
          <t>https://www.humandignitytrust.org/country-profile/iran-islamic-republic-of/; https://ilga.org/ilga-world-maps/</t>
        </is>
      </c>
      <c r="Q130" t="inlineStr">
        <is>
          <t>Yes (strict censorship)</t>
        </is>
      </c>
      <c r="R130" s="50" t="inlineStr">
        <is>
          <t>https://ilga.org/ilga-world-maps/</t>
        </is>
      </c>
      <c r="S130" t="inlineStr">
        <is>
          <t>Draft/Early (AI initiatives, no formal national strategy)</t>
        </is>
      </c>
      <c r="T130" s="50" t="inlineStr">
        <is>
          <t>https://www.unesco.org/ethics-ai/en/global-hub</t>
        </is>
      </c>
      <c r="U130" t="inlineStr">
        <is>
          <t>No</t>
        </is>
      </c>
      <c r="V130" s="50" t="inlineStr">
        <is>
          <t>https://unctad.org/page/data-protection-and-privacy-legislation-worldwide</t>
        </is>
      </c>
      <c r="W130" t="inlineStr">
        <is>
          <t>Yes (biometric SIM registration mandatory)</t>
        </is>
      </c>
      <c r="X130" s="50" t="inlineStr">
        <is>
          <t>https://www.gsma.com/solutions-and-impact/connectivity-for-good/public-policy/mobile-policy-handbook/consumer-protection/mandatory-registration-of-prepaid-sims/; https://privacyinternational.org/learn/sim-card-registration</t>
        </is>
      </c>
      <c r="AI130">
        <f>SUM(Y130:AH130)</f>
        <v/>
      </c>
      <c r="AJ130">
        <f>100-(AI130*(AI130/20))</f>
        <v/>
      </c>
      <c r="AK130" s="24">
        <f>100-(AJ130*(AJ130/MAX(AJ118:AJ130)))</f>
        <v/>
      </c>
      <c r="AL130" t="n">
        <v>81</v>
      </c>
    </row>
    <row r="131">
      <c r="A131" t="n">
        <v>89</v>
      </c>
      <c r="B131" t="inlineStr">
        <is>
          <t>Kazakhstan</t>
        </is>
      </c>
      <c r="C131" t="inlineStr">
        <is>
          <t>Asia</t>
        </is>
      </c>
      <c r="D131" t="inlineStr">
        <is>
          <t>SCO</t>
        </is>
      </c>
      <c r="E131" t="inlineStr">
        <is>
          <t>In force (Law on Personal Data and Protection, 2013)</t>
        </is>
      </c>
      <c r="F131" s="50" t="inlineStr">
        <is>
          <t>https://unctad.org/page/data-protection-and-privacy-legislation-worldwide</t>
        </is>
      </c>
      <c r="G131" t="inlineStr">
        <is>
          <t>Weak (regulator under Ministry of Digital Development)</t>
        </is>
      </c>
      <c r="H131" s="50" t="inlineStr">
        <is>
          <t>https://unctad.org/page/data-protection-and-privacy-legislation-worldwide</t>
        </is>
      </c>
      <c r="I131" t="inlineStr">
        <is>
          <t>Partial (general laws; no COP framework)</t>
        </is>
      </c>
      <c r="J131" s="50" t="inlineStr">
        <is>
          <t>https://unctad.org/page/data-protection-and-privacy-legislation-worldwide; https://www.unicef.org/kazakhstan/</t>
        </is>
      </c>
      <c r="K131" t="inlineStr">
        <is>
          <t>No</t>
        </is>
      </c>
      <c r="L131" s="50" t="inlineStr">
        <is>
          <t>https://www.unicef.org/kazakhstan/</t>
        </is>
      </c>
      <c r="M131" t="inlineStr">
        <is>
          <t>No</t>
        </is>
      </c>
      <c r="N131" s="50" t="inlineStr">
        <is>
          <t>https://unctad.org/page/data-protection-and-privacy-legislation-worldwide</t>
        </is>
      </c>
      <c r="O131" t="inlineStr">
        <is>
          <t>Legal (decriminalised 1998; no partnerships)</t>
        </is>
      </c>
      <c r="P131" s="50" t="inlineStr">
        <is>
          <t>https://www.humandignitytrust.org/country-profile/kazakhstan/; https://ilga.org/ilga-world-maps/</t>
        </is>
      </c>
      <c r="Q131" t="inlineStr">
        <is>
          <t>Proposed/Unclear (anti-propaganda bills tabled)</t>
        </is>
      </c>
      <c r="R131" s="50" t="inlineStr">
        <is>
          <t>https://ilga.org/ilga-world-maps/</t>
        </is>
      </c>
      <c r="S131" t="inlineStr">
        <is>
          <t>Draft/Early (integrated into Digital Kazakhstan strategy)</t>
        </is>
      </c>
      <c r="T131" s="50" t="inlineStr">
        <is>
          <t>https://en.unesco.org/artificial-intelligence/observatory/policies?country=KZ; https://www.unesco.org/ethics-ai/en/global-hub</t>
        </is>
      </c>
      <c r="U131" t="inlineStr">
        <is>
          <t>No</t>
        </is>
      </c>
      <c r="V131" s="50" t="inlineStr">
        <is>
          <t>https://unctad.org/page/data-protection-and-privacy-legislation-worldwide</t>
        </is>
      </c>
      <c r="W131" t="inlineStr">
        <is>
          <t>Yes (SIMs tied to biometric ID)</t>
        </is>
      </c>
      <c r="X131" s="50" t="inlineStr">
        <is>
          <t>https://www.gsma.com/solutions-and-impact/connectivity-for-good/public-policy/mobile-policy-handbook/consumer-protection/mandatory-registration-of-prepaid-sims/; https://privacyinternational.org/learn/sim-card-registration</t>
        </is>
      </c>
      <c r="AI131">
        <f>SUM(Y131:AH131)</f>
        <v/>
      </c>
      <c r="AJ131">
        <f>100-(AI131*(AI131/20))</f>
        <v/>
      </c>
      <c r="AK131" s="24">
        <f>100-(AJ131*(AJ131/MAX(AJ118:AJ131)))</f>
        <v/>
      </c>
      <c r="AL131" t="n">
        <v>89</v>
      </c>
    </row>
    <row r="132">
      <c r="A132" t="n">
        <v>93</v>
      </c>
      <c r="B132" t="inlineStr">
        <is>
          <t>Kyrgyzstan</t>
        </is>
      </c>
      <c r="C132" t="inlineStr">
        <is>
          <t>Asia</t>
        </is>
      </c>
      <c r="D132" t="inlineStr">
        <is>
          <t>SCO</t>
        </is>
      </c>
      <c r="E132" t="inlineStr">
        <is>
          <t>In force (Law on Personal Data, 2017)</t>
        </is>
      </c>
      <c r="F132" s="50" t="inlineStr">
        <is>
          <t>https://unctad.org/page/data-protection-and-privacy-legislation-worldwide</t>
        </is>
      </c>
      <c r="G132" t="inlineStr">
        <is>
          <t>Weak (regulator under government)</t>
        </is>
      </c>
      <c r="H132" s="50" t="inlineStr">
        <is>
          <t>https://unctad.org/page/data-protection-and-privacy-legislation-worldwide</t>
        </is>
      </c>
      <c r="I132" t="inlineStr">
        <is>
          <t>Partial (general protections)</t>
        </is>
      </c>
      <c r="J132" s="50" t="inlineStr">
        <is>
          <t>https://unctad.org/page/data-protection-and-privacy-legislation-worldwide; https://www.unicef.org/kyrgyzstan/</t>
        </is>
      </c>
      <c r="K132" t="inlineStr">
        <is>
          <t>No</t>
        </is>
      </c>
      <c r="L132" s="50" t="inlineStr">
        <is>
          <t>https://www.unicef.org/kyrgyzstan/</t>
        </is>
      </c>
      <c r="M132" t="inlineStr">
        <is>
          <t>No</t>
        </is>
      </c>
      <c r="N132" s="50" t="inlineStr">
        <is>
          <t>https://unctad.org/page/data-protection-and-privacy-legislation-worldwide</t>
        </is>
      </c>
      <c r="O132" t="inlineStr">
        <is>
          <t>Legal (decriminalised 1998; no partnerships)</t>
        </is>
      </c>
      <c r="P132" s="50" t="inlineStr">
        <is>
          <t>https://www.humandignitytrust.org/country-profile/kyrgyzstan/; https://ilga.org/ilga-world-maps/</t>
        </is>
      </c>
      <c r="Q132" t="inlineStr">
        <is>
          <t>Proposed/Unclear (anti-propaganda bills tabled)</t>
        </is>
      </c>
      <c r="R132" s="50" t="inlineStr">
        <is>
          <t>https://ilga.org/ilga-world-maps/</t>
        </is>
      </c>
      <c r="S132" t="inlineStr">
        <is>
          <t>Draft/Early (considered in digital agenda)</t>
        </is>
      </c>
      <c r="T132" s="50" t="inlineStr">
        <is>
          <t>https://en.unesco.org/artificial-intelligence/observatory/policies?country=KG; https://www.unesco.org/ethics-ai/en/global-hub</t>
        </is>
      </c>
      <c r="U132" t="inlineStr">
        <is>
          <t>No</t>
        </is>
      </c>
      <c r="V132" s="50" t="inlineStr">
        <is>
          <t>https://unctad.org/page/data-protection-and-privacy-legislation-worldwide</t>
        </is>
      </c>
      <c r="W132" t="inlineStr">
        <is>
          <t>Yes (SIM registration linked to ID)</t>
        </is>
      </c>
      <c r="X132" s="50" t="inlineStr">
        <is>
          <t>https://www.gsma.com/solutions-and-impact/connectivity-for-good/public-policy/mobile-policy-handbook/consumer-protection/mandatory-registration-of-prepaid-sims/</t>
        </is>
      </c>
      <c r="AI132">
        <f>SUM(Y132:AH132)</f>
        <v/>
      </c>
      <c r="AJ132">
        <f>100-(AI132*(AI132/20))</f>
        <v/>
      </c>
      <c r="AK132" s="24">
        <f>100-(AJ132*(AJ132/MAX(AJ118:AJ132)))</f>
        <v/>
      </c>
      <c r="AL132" t="n">
        <v>93</v>
      </c>
    </row>
    <row r="133">
      <c r="A133" t="n">
        <v>115</v>
      </c>
      <c r="B133" t="inlineStr">
        <is>
          <t>Mongolia</t>
        </is>
      </c>
      <c r="C133" t="inlineStr">
        <is>
          <t>Asia</t>
        </is>
      </c>
      <c r="D133" t="inlineStr">
        <is>
          <t>SCO</t>
        </is>
      </c>
      <c r="E133" t="inlineStr">
        <is>
          <t>In force (Law on Protection of Personal Data, 2021)</t>
        </is>
      </c>
      <c r="F133" s="50" t="inlineStr">
        <is>
          <t>https://unctad.org/page/data-protection-and-privacy-legislation-worldwide</t>
        </is>
      </c>
      <c r="G133" t="inlineStr">
        <is>
          <t>Moderate (new authority; limited independence)</t>
        </is>
      </c>
      <c r="H133" s="50" t="inlineStr">
        <is>
          <t>https://unctad.org/page/data-protection-and-privacy-legislation-worldwide</t>
        </is>
      </c>
      <c r="I133" t="inlineStr">
        <is>
          <t>Partial</t>
        </is>
      </c>
      <c r="J133" s="50" t="inlineStr">
        <is>
          <t>https://unctad.org/page/data-protection-and-privacy-legislation-worldwide; https://www.unicef.org/mongolia/</t>
        </is>
      </c>
      <c r="K133" t="inlineStr">
        <is>
          <t>No</t>
        </is>
      </c>
      <c r="L133" s="50" t="inlineStr">
        <is>
          <t>https://www.unicef.org/mongolia/</t>
        </is>
      </c>
      <c r="M133" t="inlineStr">
        <is>
          <t>No</t>
        </is>
      </c>
      <c r="N133" s="50" t="inlineStr">
        <is>
          <t>https://unctad.org/page/data-protection-and-privacy-legislation-worldwide</t>
        </is>
      </c>
      <c r="O133" t="inlineStr">
        <is>
          <t>Legal (decriminalised 2002; no recognition)</t>
        </is>
      </c>
      <c r="P133" s="50" t="inlineStr">
        <is>
          <t>https://www.humandignitytrust.org/country-profile/mongolia/; https://ilga.org/ilga-world-maps/</t>
        </is>
      </c>
      <c r="Q133" t="inlineStr">
        <is>
          <t>No</t>
        </is>
      </c>
      <c r="R133" s="50" t="inlineStr">
        <is>
          <t>https://ilga.org/ilga-world-maps/</t>
        </is>
      </c>
      <c r="S133" t="inlineStr">
        <is>
          <t>Draft/Early (Vision 2050; ICT strategies)</t>
        </is>
      </c>
      <c r="T133" s="50" t="inlineStr">
        <is>
          <t>https://en.unesco.org/artificial-intelligence/observatory/policies?country=MN; https://www.unesco.org/ethics-ai/en/global-hub</t>
        </is>
      </c>
      <c r="U133" t="inlineStr">
        <is>
          <t>No</t>
        </is>
      </c>
      <c r="V133" s="50" t="inlineStr">
        <is>
          <t>https://unctad.org/page/data-protection-and-privacy-legislation-worldwide</t>
        </is>
      </c>
      <c r="W133" t="inlineStr">
        <is>
          <t>Yes (SIM tied to ID)</t>
        </is>
      </c>
      <c r="X133" s="50" t="inlineStr">
        <is>
          <t>https://www.gsma.com/solutions-and-impact/connectivity-for-good/public-policy/mobile-policy-handbook/consumer-protection/mandatory-registration-of-prepaid-sims/</t>
        </is>
      </c>
      <c r="AI133">
        <f>SUM(Y133:AH133)</f>
        <v/>
      </c>
      <c r="AJ133">
        <f>100-(AI133*(AI133/20))</f>
        <v/>
      </c>
      <c r="AK133" s="24">
        <f>100-(AJ133*(AJ133/MAX(AJ118:AJ133)))</f>
        <v/>
      </c>
      <c r="AL133" t="n">
        <v>115</v>
      </c>
    </row>
    <row r="134">
      <c r="A134" t="n">
        <v>172</v>
      </c>
      <c r="B134" t="inlineStr">
        <is>
          <t>Tajikistan</t>
        </is>
      </c>
      <c r="C134" t="inlineStr">
        <is>
          <t>Asia</t>
        </is>
      </c>
      <c r="D134" t="inlineStr">
        <is>
          <t>SCO</t>
        </is>
      </c>
      <c r="E134" t="inlineStr">
        <is>
          <t>Draft only</t>
        </is>
      </c>
      <c r="F134" s="50" t="inlineStr">
        <is>
          <t>https://unctad.org/page/data-protection-and-privacy-legislation-worldwide</t>
        </is>
      </c>
      <c r="G134" t="inlineStr">
        <is>
          <t>None</t>
        </is>
      </c>
      <c r="H134" s="50" t="inlineStr">
        <is>
          <t>https://unctad.org/page/data-protection-and-privacy-legislation-worldwide</t>
        </is>
      </c>
      <c r="I134" t="inlineStr">
        <is>
          <t>No</t>
        </is>
      </c>
      <c r="J134" s="50" t="inlineStr">
        <is>
          <t>https://www.unicef.org/tajikistan/</t>
        </is>
      </c>
      <c r="K134" t="inlineStr">
        <is>
          <t>No</t>
        </is>
      </c>
      <c r="L134" s="50" t="inlineStr">
        <is>
          <t>https://www.unicef.org/tajikistan/</t>
        </is>
      </c>
      <c r="M134" t="inlineStr">
        <is>
          <t>No</t>
        </is>
      </c>
      <c r="N134" s="50" t="inlineStr">
        <is>
          <t>https://unctad.org/page/data-protection-and-privacy-legislation-worldwide</t>
        </is>
      </c>
      <c r="O134" t="inlineStr">
        <is>
          <t>Legal — decriminalised 1998, but discrimination persists</t>
        </is>
      </c>
      <c r="P134" s="50" t="inlineStr">
        <is>
          <t>https://www.humandignitytrust.org/country-profile/tajikistan/; https://ilga.org/ilga-world-maps/</t>
        </is>
      </c>
      <c r="Q134" t="inlineStr">
        <is>
          <t>Proposed — reports of propaganda restrictions</t>
        </is>
      </c>
      <c r="R134" s="50" t="inlineStr">
        <is>
          <t>https://ilga.org/ilga-world-maps/</t>
        </is>
      </c>
      <c r="S134" t="inlineStr">
        <is>
          <t>None</t>
        </is>
      </c>
      <c r="T134" s="50" t="inlineStr">
        <is>
          <t>https://en.unesco.org/artificial-intelligence/observatory/policies?country=TJ; https://www.unesco.org/ethics-ai/en/global-hub</t>
        </is>
      </c>
      <c r="U134" t="inlineStr">
        <is>
          <t>No</t>
        </is>
      </c>
      <c r="V134" s="50" t="inlineStr">
        <is>
          <t>https://unctad.org/page/data-protection-and-privacy-legislation-worldwide</t>
        </is>
      </c>
      <c r="W134" t="inlineStr">
        <is>
          <t>Yes — biometric SIM registration mandatory</t>
        </is>
      </c>
      <c r="X134" s="50" t="inlineStr">
        <is>
          <t>https://www.gsma.com/solutions-and-impact/connectivity-for-good/public-policy/mobile-policy-handbook/consumer-protection/mandatory-registration-of-prepaid-sims/; https://privacyinternational.org/learn/sim-card-registration</t>
        </is>
      </c>
      <c r="AI134">
        <f>SUM(Y134:AH134)</f>
        <v/>
      </c>
      <c r="AJ134">
        <f>100-(AI134*(AI134/20))</f>
        <v/>
      </c>
      <c r="AK134" s="24">
        <f>100-(AJ134*(AJ134/MAX(AJ119:AJ134)))</f>
        <v/>
      </c>
      <c r="AL134" t="n">
        <v>172</v>
      </c>
    </row>
    <row r="135">
      <c r="A135" t="n">
        <v>181</v>
      </c>
      <c r="B135" t="inlineStr">
        <is>
          <t>Turkmenistan</t>
        </is>
      </c>
      <c r="C135" t="inlineStr">
        <is>
          <t>Asia</t>
        </is>
      </c>
      <c r="D135" t="inlineStr">
        <is>
          <t>SCO</t>
        </is>
      </c>
      <c r="E135" t="inlineStr">
        <is>
          <t>None</t>
        </is>
      </c>
      <c r="F135" s="50" t="inlineStr">
        <is>
          <t>https://unctad.org/page/data-protection-and-privacy-legislation-worldwide</t>
        </is>
      </c>
      <c r="G135" t="inlineStr">
        <is>
          <t>None</t>
        </is>
      </c>
      <c r="H135" s="50" t="inlineStr">
        <is>
          <t>https://unctad.org/page/data-protection-and-privacy-legislation-worldwide</t>
        </is>
      </c>
      <c r="I135" t="inlineStr">
        <is>
          <t>No</t>
        </is>
      </c>
      <c r="J135" s="50" t="inlineStr">
        <is>
          <t>https://www.unicef.org/turkmenistan/</t>
        </is>
      </c>
      <c r="K135" t="inlineStr">
        <is>
          <t>No</t>
        </is>
      </c>
      <c r="L135" s="50" t="inlineStr">
        <is>
          <t>https://www.unicef.org/turkmenistan/</t>
        </is>
      </c>
      <c r="M135" t="inlineStr">
        <is>
          <t>No</t>
        </is>
      </c>
      <c r="N135" s="50" t="inlineStr">
        <is>
          <t>https://unctad.org/page/data-protection-and-privacy-legislation-worldwide</t>
        </is>
      </c>
      <c r="O135" t="inlineStr">
        <is>
          <t>Criminalised</t>
        </is>
      </c>
      <c r="P135" s="50" t="inlineStr">
        <is>
          <t>https://www.humandignitytrust.org/country-profile/turkmenistan/; https://ilga.org/ilga-world-maps/</t>
        </is>
      </c>
      <c r="Q135" t="inlineStr">
        <is>
          <t>Yes</t>
        </is>
      </c>
      <c r="R135" s="50" t="inlineStr">
        <is>
          <t>https://ilga.org/ilga-world-maps/</t>
        </is>
      </c>
      <c r="S135" t="inlineStr">
        <is>
          <t>None</t>
        </is>
      </c>
      <c r="T135" s="50" t="inlineStr">
        <is>
          <t>https://en.unesco.org/artificial-intelligence/observatory/policies?country=TM; https://www.unesco.org/ethics-ai/en/global-hub</t>
        </is>
      </c>
      <c r="U135" t="inlineStr">
        <is>
          <t>No</t>
        </is>
      </c>
      <c r="V135" s="50" t="inlineStr">
        <is>
          <t>https://unctad.org/page/data-protection-and-privacy-legislation-worldwide</t>
        </is>
      </c>
      <c r="W135" t="inlineStr">
        <is>
          <t>Yes</t>
        </is>
      </c>
      <c r="X135" s="50" t="inlineStr">
        <is>
          <t>https://www.gsma.com/solutions-and-impact/connectivity-for-good/public-policy/mobile-policy-handbook/consumer-protection/mandatory-registration-of-prepaid-sims/</t>
        </is>
      </c>
      <c r="AI135">
        <f>SUM(Y135:AH135)</f>
        <v/>
      </c>
      <c r="AJ135">
        <f>100-(AI135*(AI135/20))</f>
        <v/>
      </c>
      <c r="AK135" s="24">
        <f>100-(AJ135*(AJ135/MAX(AJ120:AJ135)))</f>
        <v/>
      </c>
      <c r="AL135" t="n">
        <v>181</v>
      </c>
    </row>
    <row r="136">
      <c r="A136" t="n">
        <v>189</v>
      </c>
      <c r="B136" t="inlineStr">
        <is>
          <t>Uzbekistan</t>
        </is>
      </c>
      <c r="C136" t="inlineStr">
        <is>
          <t>Asia</t>
        </is>
      </c>
      <c r="D136" t="inlineStr">
        <is>
          <t>SCO</t>
        </is>
      </c>
      <c r="E136" t="inlineStr">
        <is>
          <t>In force — Law on Personal Data 2019</t>
        </is>
      </c>
      <c r="F136" s="50" t="inlineStr">
        <is>
          <t>https://unctad.org/page/data-protection-and-privacy-legislation-worldwide</t>
        </is>
      </c>
      <c r="G136" t="inlineStr">
        <is>
          <t>Weak</t>
        </is>
      </c>
      <c r="H136" s="50" t="inlineStr">
        <is>
          <t>https://unctad.org/page/data-protection-and-privacy-legislation-worldwide</t>
        </is>
      </c>
      <c r="I136" t="inlineStr">
        <is>
          <t>No</t>
        </is>
      </c>
      <c r="J136" s="50" t="inlineStr">
        <is>
          <t>https://www.unicef.org/uzbekistan/</t>
        </is>
      </c>
      <c r="K136" t="inlineStr">
        <is>
          <t>No</t>
        </is>
      </c>
      <c r="L136" s="50" t="inlineStr">
        <is>
          <t>https://www.unicef.org/uzbekistan/</t>
        </is>
      </c>
      <c r="M136" t="inlineStr">
        <is>
          <t>No</t>
        </is>
      </c>
      <c r="N136" s="50" t="inlineStr">
        <is>
          <t>https://unctad.org/page/data-protection-and-privacy-legislation-worldwide</t>
        </is>
      </c>
      <c r="O136" t="inlineStr">
        <is>
          <t>Criminalised</t>
        </is>
      </c>
      <c r="P136" s="50" t="inlineStr">
        <is>
          <t>https://www.humandignitytrust.org/country-profile/uzbekistan/; https://ilga.org/ilga-world-maps/</t>
        </is>
      </c>
      <c r="Q136" t="inlineStr">
        <is>
          <t>Yes</t>
        </is>
      </c>
      <c r="R136" s="50" t="inlineStr">
        <is>
          <t>https://ilga.org/ilga-world-maps/</t>
        </is>
      </c>
      <c r="S136" t="inlineStr">
        <is>
          <t>Draft/Early — Digital Uzbekistan 2030</t>
        </is>
      </c>
      <c r="T136" s="50" t="inlineStr">
        <is>
          <t>https://en.unesco.org/artificial-intelligence/observatory/policies?country=UZ; https://www.unesco.org/ethics-ai/en/global-hub</t>
        </is>
      </c>
      <c r="U136" t="inlineStr">
        <is>
          <t>No</t>
        </is>
      </c>
      <c r="V136" s="50" t="inlineStr">
        <is>
          <t>https://unctad.org/page/data-protection-and-privacy-legislation-worldwide</t>
        </is>
      </c>
      <c r="W136" t="inlineStr">
        <is>
          <t>Yes</t>
        </is>
      </c>
      <c r="X136" s="50" t="inlineStr">
        <is>
          <t>https://www.gsma.com/solutions-and-impact/connectivity-for-good/public-policy/mobile-policy-handbook/consumer-protection/mandatory-registration-of-prepaid-sims/</t>
        </is>
      </c>
      <c r="AI136">
        <f>SUM(Y136:AH136)</f>
        <v/>
      </c>
      <c r="AJ136">
        <f>100-(AI136*(AI136/20))</f>
        <v/>
      </c>
      <c r="AK136" s="24">
        <f>100-(AJ136*(AJ136/MAX(AJ129:AJ136)))</f>
        <v/>
      </c>
      <c r="AL136" t="n">
        <v>189</v>
      </c>
    </row>
    <row r="137">
      <c r="A137" t="n">
        <v>17</v>
      </c>
      <c r="B137" t="inlineStr">
        <is>
          <t>Belarus</t>
        </is>
      </c>
      <c r="C137" t="inlineStr">
        <is>
          <t>Europe</t>
        </is>
      </c>
      <c r="D137" t="inlineStr">
        <is>
          <t>CIS</t>
        </is>
      </c>
      <c r="E137" t="inlineStr">
        <is>
          <t>In force (Law on Personal Data Protection 2021)</t>
        </is>
      </c>
      <c r="F137" s="50" t="inlineStr">
        <is>
          <t>https://unctad.org/page/data-protection-and-privacy-legislation-worldwide</t>
        </is>
      </c>
      <c r="G137" t="inlineStr">
        <is>
          <t>Weak (supervisory authority under executive)</t>
        </is>
      </c>
      <c r="H137" s="50" t="inlineStr">
        <is>
          <t>https://unctad.org/page/data-protection-and-privacy-legislation-worldwide</t>
        </is>
      </c>
      <c r="I137" t="inlineStr">
        <is>
          <t>Partial (Child Rights Code; no COP strategy)</t>
        </is>
      </c>
      <c r="J137" s="50" t="inlineStr">
        <is>
          <t>https://unctad.org/page/data-protection-and-privacy-legislation-worldwide; https://www.unicef.org/belarus/</t>
        </is>
      </c>
      <c r="K137" t="inlineStr">
        <is>
          <t>No</t>
        </is>
      </c>
      <c r="L137" s="50" t="inlineStr">
        <is>
          <t>https://www.unicef.org/belarus/</t>
        </is>
      </c>
      <c r="M137" t="inlineStr">
        <is>
          <t>No (orientation not listed)</t>
        </is>
      </c>
      <c r="N137" s="50" t="inlineStr">
        <is>
          <t>https://unctad.org/page/data-protection-and-privacy-legislation-worldwide</t>
        </is>
      </c>
      <c r="O137" t="inlineStr">
        <is>
          <t>Criminalised (no recognition, state repression)</t>
        </is>
      </c>
      <c r="P137" s="50" t="inlineStr">
        <is>
          <t>https://www.humandignitytrust.org/country-profile/belarus/; https://ilga.org/ilga-world-maps/</t>
        </is>
      </c>
      <c r="Q137" t="inlineStr">
        <is>
          <t>Yes (laws against LGBT propaganda)</t>
        </is>
      </c>
      <c r="R137" s="50" t="inlineStr">
        <is>
          <t>https://ilga.org/ilga-world-maps/</t>
        </is>
      </c>
      <c r="S137" t="inlineStr">
        <is>
          <t>Draft/Early (AI included in Digital Economy initiatives; no dedicated strategy)</t>
        </is>
      </c>
      <c r="T137" s="50" t="inlineStr">
        <is>
          <t>https://en.unesco.org/artificial-intelligence/observatory/policies?country=BY; https://www.unesco.org/ethics-ai/en/global-hub</t>
        </is>
      </c>
      <c r="U137" t="inlineStr">
        <is>
          <t>No</t>
        </is>
      </c>
      <c r="V137" s="50" t="inlineStr">
        <is>
          <t>https://unctad.org/page/data-protection-and-privacy-legislation-worldwide</t>
        </is>
      </c>
      <c r="W137" t="inlineStr">
        <is>
          <t>Yes (SIM registration tied to national ID; biometric KYC expanding)</t>
        </is>
      </c>
      <c r="X137" s="50" t="inlineStr">
        <is>
          <t>https://www.gsma.com/solutions-and-impact/connectivity-for-good/public-policy/mobile-policy-handbook/consumer-protection/mandatory-registration-of-prepaid-sims/; https://privacyinternational.org/learn/sim-card-registration</t>
        </is>
      </c>
      <c r="AI137">
        <f>SUM(Y137:AH137)</f>
        <v/>
      </c>
      <c r="AJ137">
        <f>100-(AI137*(AI137/20))</f>
        <v/>
      </c>
      <c r="AK137" s="24">
        <f>100-(AJ137*(AJ137/MAX(AJ122:AJ137)))</f>
        <v/>
      </c>
      <c r="AL137" t="n">
        <v>17</v>
      </c>
    </row>
    <row r="138">
      <c r="A138" t="n">
        <v>144</v>
      </c>
      <c r="B138" t="inlineStr">
        <is>
          <t>Russian Federation</t>
        </is>
      </c>
      <c r="C138" t="inlineStr">
        <is>
          <t>Europe</t>
        </is>
      </c>
      <c r="D138" t="inlineStr">
        <is>
          <t>CIS</t>
        </is>
      </c>
      <c r="E138" t="inlineStr">
        <is>
          <t>In force — Federal Law 152-FZ (2006)</t>
        </is>
      </c>
      <c r="F138" s="50" t="inlineStr">
        <is>
          <t>https://unctad.org/page/data-protection-and-privacy-legislation-worldwide</t>
        </is>
      </c>
      <c r="G138" t="inlineStr">
        <is>
          <t>Weak — Roskomnadzor under executive</t>
        </is>
      </c>
      <c r="H138" s="50" t="inlineStr">
        <is>
          <t>https://unctad.org/page/data-protection-and-privacy-legislation-worldwide</t>
        </is>
      </c>
      <c r="I138" t="inlineStr">
        <is>
          <t>No</t>
        </is>
      </c>
      <c r="J138" s="50" t="inlineStr">
        <is>
          <t>https://www.unicef.org/russian-federation/</t>
        </is>
      </c>
      <c r="K138" t="inlineStr">
        <is>
          <t>No</t>
        </is>
      </c>
      <c r="L138" s="50" t="inlineStr">
        <is>
          <t>https://www.unicef.org/russian-federation/</t>
        </is>
      </c>
      <c r="M138" t="inlineStr">
        <is>
          <t>No</t>
        </is>
      </c>
      <c r="N138" s="50" t="inlineStr">
        <is>
          <t>https://unctad.org/page/data-protection-and-privacy-legislation-worldwide</t>
        </is>
      </c>
      <c r="O138" t="inlineStr">
        <is>
          <t>Criminalised — anti-'propaganda' law (2022)</t>
        </is>
      </c>
      <c r="P138" s="50" t="inlineStr">
        <is>
          <t>https://www.humandignitytrust.org/country-profile/russian-federation/; https://ilga.org/ilga-world-maps/</t>
        </is>
      </c>
      <c r="Q138" t="inlineStr">
        <is>
          <t>Yes</t>
        </is>
      </c>
      <c r="R138" s="50" t="inlineStr">
        <is>
          <t>https://ilga.org/ilga-world-maps/</t>
        </is>
      </c>
      <c r="S138" t="inlineStr">
        <is>
          <t>Adopted — AI National Strategy 2019</t>
        </is>
      </c>
      <c r="T138" s="50" t="inlineStr">
        <is>
          <t>https://en.unesco.org/artificial-intelligence/observatory/policies?country=RU; https://www.unesco.org/ethics-ai/en/global-hub</t>
        </is>
      </c>
      <c r="U138" t="inlineStr">
        <is>
          <t>No</t>
        </is>
      </c>
      <c r="V138" s="50" t="inlineStr">
        <is>
          <t>https://unctad.org/page/data-protection-and-privacy-legislation-worldwide</t>
        </is>
      </c>
      <c r="W138" t="inlineStr">
        <is>
          <t>Yes</t>
        </is>
      </c>
      <c r="X138" s="50" t="inlineStr">
        <is>
          <t>https://www.gsma.com/solutions-and-impact/connectivity-for-good/public-policy/mobile-policy-handbook/consumer-protection/mandatory-registration-of-prepaid-sims/</t>
        </is>
      </c>
      <c r="AI138">
        <f>SUM(Y138:AH138)</f>
        <v/>
      </c>
      <c r="AJ138">
        <f>100-(AI138*(AI138/20))</f>
        <v/>
      </c>
      <c r="AK138" s="24">
        <f>100-(AJ138*(AJ138/MAX(AJ123:AJ138)))</f>
        <v/>
      </c>
      <c r="AL138" t="n">
        <v>144</v>
      </c>
    </row>
    <row r="139">
      <c r="A139" s="43" t="n">
        <v>3</v>
      </c>
      <c r="B139" s="43" t="inlineStr">
        <is>
          <t>Albania</t>
        </is>
      </c>
      <c r="C139" s="43" t="inlineStr">
        <is>
          <t>Europe</t>
        </is>
      </c>
      <c r="D139" s="43" t="inlineStr">
        <is>
          <t>Council of Europe</t>
        </is>
      </c>
      <c r="E139" s="43" t="inlineStr">
        <is>
          <t>In force – Law No. 9887/2008 on Protection of Personal Data (amended 2014), GDPR-style</t>
        </is>
      </c>
      <c r="F139" s="44" t="inlineStr">
        <is>
          <t>https://idp.al/wp-content/uploads/2018/11/Law_9887_2008_EN.pdf; https://www.dataguidance.com/notes/albania-data-protection-overview</t>
        </is>
      </c>
      <c r="G139" s="43" t="inlineStr">
        <is>
          <t>Independent DPA – Commissioner for Right to Information &amp; Protection of Personal Data (Law No. 9887/2008)</t>
        </is>
      </c>
      <c r="H139" s="44" t="inlineStr">
        <is>
          <t>https://idp.al/en/; https://www.dataguidance.com/notes/albania-data-protection-overview</t>
        </is>
      </c>
      <c r="I139" s="43" t="inlineStr">
        <is>
          <t>Partial – General DP law covers children; no child online safety law</t>
        </is>
      </c>
      <c r="J139" s="44" t="inlineStr">
        <is>
          <t>https://idp.al/wp-content/uploads/2018/11/Law_9887_2008_EN.pdf</t>
        </is>
      </c>
      <c r="K139" s="43" t="inlineStr">
        <is>
          <t>No – No explicit child online protection law; general cybercrime &amp; DP law apply</t>
        </is>
      </c>
      <c r="L139" s="44" t="inlineStr">
        <is>
          <t>https://www.unicef.org/albania/media/1871/file/Child%20protection%20system%20in%20Albania.pdf</t>
        </is>
      </c>
      <c r="M139" s="43" t="inlineStr">
        <is>
          <t>Yes – SOGI listed as special category in Law No. 9887/2008, Art.6</t>
        </is>
      </c>
      <c r="N139" s="44" t="inlineStr">
        <is>
          <t>https://idp.al/wp-content/uploads/2018/11/Law_9887_2008_EN.pdf (Art. 6)</t>
        </is>
      </c>
      <c r="O139" s="43" t="inlineStr">
        <is>
          <t>Legal – Same-sex relations legal since 1995; anti-discrimination law since 2010 (No. 10221/2010)</t>
        </is>
      </c>
      <c r="P139" s="44" t="inlineStr">
        <is>
          <t>https://www.humandignitytrust.org/country-profile/albania/; https://www.ilga-europe.org/resources/news/latest-news/albania-new-anti-discrimination-law</t>
        </is>
      </c>
      <c r="Q139" s="43" t="inlineStr">
        <is>
          <t>No – No law restricting LGBTQ+ expression (2024)</t>
        </is>
      </c>
      <c r="R139" s="44" t="inlineStr">
        <is>
          <t>https://www.ilga-europe.org/resources/news/latest-news/albania-new-anti-discrimination-law</t>
        </is>
      </c>
      <c r="S139" s="43" t="inlineStr">
        <is>
          <t>Partial – Digital Agenda 2022–2026 covers AI, no standalone AI strategy</t>
        </is>
      </c>
      <c r="T139" s="44" t="inlineStr">
        <is>
          <t>https://www.digitalagenda.al/wp-content/uploads/2022/03/Digital-Agenda-Strategy-2022-2026-EN.pdf</t>
        </is>
      </c>
      <c r="U139" s="43" t="inlineStr">
        <is>
          <t>No legal requirement – DPIA not specifically required for AI (2024)</t>
        </is>
      </c>
      <c r="V139" s="44" t="inlineStr">
        <is>
          <t>https://idp.al/wp-content/uploads/2018/11/Law_9887_2008_EN.pdf; https://www.dataguidance.com/notes/albania-data-protection-overview</t>
        </is>
      </c>
      <c r="W139" s="43" t="inlineStr">
        <is>
          <t>ID mandatory – SIM registration requires national ID, not biometric (GSMA 2023)</t>
        </is>
      </c>
      <c r="X139" s="44" t="inlineStr">
        <is>
          <t>https://www.gsma.com/mobilefordevelopment/resources/mandatory-sim-registration-in-albania/</t>
        </is>
      </c>
      <c r="AI139">
        <f>SUM(Y139:AH139)</f>
        <v/>
      </c>
      <c r="AJ139">
        <f>100-(AI139*(AI139/20))</f>
        <v/>
      </c>
      <c r="AK139" s="24">
        <f>MAX(AJ138:AJ302)-(AJ139*(AJ139/MAX(AJ138:AJ302)))</f>
        <v/>
      </c>
      <c r="AL139" t="n">
        <v>3</v>
      </c>
    </row>
    <row r="140">
      <c r="A140" s="43" t="n">
        <v>5</v>
      </c>
      <c r="B140" s="43" t="inlineStr">
        <is>
          <t>Andorra</t>
        </is>
      </c>
      <c r="C140" s="43" t="inlineStr">
        <is>
          <t>Europe</t>
        </is>
      </c>
      <c r="D140" s="43" t="inlineStr">
        <is>
          <t>Council of Europe</t>
        </is>
      </c>
      <c r="E140" s="43" t="inlineStr">
        <is>
          <t>In force – Qualified Law 29/2021 on Personal Data Protection (GDPR-aligned)</t>
        </is>
      </c>
      <c r="F140" s="44" t="inlineStr">
        <is>
          <t>https://apda.ad/wp-content/uploads/2021/12/LQPD-EN.pdf; https://www.dataguidance.com/notes/andorra-data-protection-overview</t>
        </is>
      </c>
      <c r="G140" s="43" t="inlineStr">
        <is>
          <t>Independent DPA – Andorran Data Protection Agency (APDA, Law 29/2021)</t>
        </is>
      </c>
      <c r="H140" s="44" t="inlineStr">
        <is>
          <t>https://apda.ad/; https://www.dataguidance.com/notes/andorra-data-protection-overview</t>
        </is>
      </c>
      <c r="I140" s="43" t="inlineStr">
        <is>
          <t>Partial – General DP law covers children; no dedicated child online safety law</t>
        </is>
      </c>
      <c r="J140" s="44" t="inlineStr">
        <is>
          <t>https://apda.ad/wp-content/uploads/2021/12/LQPD-EN.pdf</t>
        </is>
      </c>
      <c r="K140" s="43" t="inlineStr">
        <is>
          <t>No – No explicit child online protection law; general cybercrime &amp; DP law apply</t>
        </is>
      </c>
      <c r="L140" s="44" t="inlineStr">
        <is>
          <t>https://www.unicef.org/andorra/en/protection; https://apda.ad/wp-content/uploads/2021/12/LQPD-EN.pdf</t>
        </is>
      </c>
      <c r="M140" s="43" t="inlineStr">
        <is>
          <t>Yes – SOGI recognized as special category in Law 29/2021, Art.9</t>
        </is>
      </c>
      <c r="N140" s="44" t="inlineStr">
        <is>
          <t>https://apda.ad/wp-content/uploads/2021/12/LQPD-EN.pdf (Art. 9)</t>
        </is>
      </c>
      <c r="O140" s="43" t="inlineStr">
        <is>
          <t>Legal – Same-sex marriage legal since 2023; anti-discrimination protections in force</t>
        </is>
      </c>
      <c r="P140" s="44" t="inlineStr">
        <is>
          <t>https://www.humandignitytrust.org/country-profile/andorra/; https://www.reuters.com/world/europe/andorra-approves-same-sex-marriage-law-2022-07-22/</t>
        </is>
      </c>
      <c r="Q140" s="43" t="inlineStr">
        <is>
          <t>No – No laws restricting LGBTQ+ “promotion/propaganda” (2024)</t>
        </is>
      </c>
      <c r="R140" s="44" t="inlineStr">
        <is>
          <t>https://ilga.org/maps-sexual-orientation-laws</t>
        </is>
      </c>
      <c r="S140" s="43" t="inlineStr">
        <is>
          <t>Partial – Digital Transformation Strategy (2021–2023) includes AI, no standalone AI strategy</t>
        </is>
      </c>
      <c r="T140" s="44" t="inlineStr">
        <is>
          <t>https://www.govern.ad/comunicats/item/12363-andorra-presenta-la-seva-estrategia-nacional-de-transformacio-digital</t>
        </is>
      </c>
      <c r="U140" s="43" t="inlineStr">
        <is>
          <t>Yes – DPIA required for high-risk processing under Law 29/2021, not AI-specific</t>
        </is>
      </c>
      <c r="V140" s="44" t="inlineStr">
        <is>
          <t>https://apda.ad/wp-content/uploads/2021/12/LQPD-EN.pdf</t>
        </is>
      </c>
      <c r="W140" s="43" t="inlineStr">
        <is>
          <t>ID mandatory – SIM registration requires national ID, not biometric (GSMA 2023)</t>
        </is>
      </c>
      <c r="X140" s="44" t="inlineStr">
        <is>
          <t>https://www.gsma.com/mobilefordevelopment/resources/mandatory-sim-registration-in-andorra/</t>
        </is>
      </c>
      <c r="AI140">
        <f>SUM(Y140:AH140)</f>
        <v/>
      </c>
      <c r="AJ140">
        <f>100-(AI140*(AI140/20))</f>
        <v/>
      </c>
      <c r="AK140" s="24">
        <f>MAX(AJ137:AJ301)-(AJ140*(AJ140/MAX(AJ137:AJ301)))</f>
        <v/>
      </c>
      <c r="AL140" t="n">
        <v>5</v>
      </c>
    </row>
    <row r="141">
      <c r="A141" s="43" t="n">
        <v>23</v>
      </c>
      <c r="B141" s="43" t="inlineStr">
        <is>
          <t>Bosnia and Herzegovina</t>
        </is>
      </c>
      <c r="C141" s="43" t="inlineStr">
        <is>
          <t>Europe</t>
        </is>
      </c>
      <c r="D141" s="43" t="inlineStr">
        <is>
          <t>Council of Europe</t>
        </is>
      </c>
      <c r="E141" s="43" t="inlineStr">
        <is>
          <t>In force (Law on Protection of Personal Data 2006; EU alignment ongoing)</t>
        </is>
      </c>
      <c r="F141" s="44" t="inlineStr">
        <is>
          <t>https://unctad.org/page/data-protection-and-privacy-legislation-worldwide</t>
        </is>
      </c>
      <c r="G141" s="43" t="inlineStr">
        <is>
          <t>Moderate (Personal Data Protection Agency of Bosnia and Herzegovina)</t>
        </is>
      </c>
      <c r="H141" s="44" t="inlineStr">
        <is>
          <t>https://unctad.org/page/data-protection-and-privacy-legislation-worldwide</t>
        </is>
      </c>
      <c r="I141" s="43" t="inlineStr">
        <is>
          <t>Partial (child protection laws; no national COP strategy)</t>
        </is>
      </c>
      <c r="J141" s="44" t="inlineStr">
        <is>
          <t>https://unctad.org/page/data-protection-and-privacy-legislation-worldwide; https://www.unicef.org/bosnia-and-herzegovina/</t>
        </is>
      </c>
      <c r="K141" s="43" t="inlineStr">
        <is>
          <t>Partial (regional COP cooperation with EU/UNICEF)</t>
        </is>
      </c>
      <c r="L141" s="44" t="inlineStr">
        <is>
          <t>https://www.unicef.org/bosnia-and-herzegovina/</t>
        </is>
      </c>
      <c r="M141" s="43" t="inlineStr">
        <is>
          <t>No (orientation not explicit in sensitive categories)</t>
        </is>
      </c>
      <c r="N141" s="44" t="inlineStr">
        <is>
          <t>https://unctad.org/page/data-protection-and-privacy-legislation-worldwide</t>
        </is>
      </c>
      <c r="O141" s="43" t="inlineStr">
        <is>
          <t>Legal (no criminalisation; no marriage equality)</t>
        </is>
      </c>
      <c r="P141" s="44" t="inlineStr">
        <is>
          <t>https://www.humandignitytrust.org/country-profile/bosnia-and-herzegovina/; https://ilga.org/ilga-world-maps/</t>
        </is>
      </c>
      <c r="Q141" s="43" t="inlineStr">
        <is>
          <t>No/Annulled</t>
        </is>
      </c>
      <c r="R141" s="44" t="inlineStr">
        <is>
          <t>https://ilga.org/ilga-world-maps/</t>
        </is>
      </c>
      <c r="S141" s="43" t="inlineStr">
        <is>
          <t>Draft/Early (AI Strategy development aligned with EU AI Act, draft 2023)</t>
        </is>
      </c>
      <c r="T141" s="44" t="inlineStr">
        <is>
          <t>https://en.unesco.org/artificial-intelligence/observatory/policies?country=BA; https://www.unesco.org/ethics-ai/en/global-hub</t>
        </is>
      </c>
      <c r="U141" s="43" t="inlineStr">
        <is>
          <t>No (DPIA not mandated)</t>
        </is>
      </c>
      <c r="V141" s="44" t="inlineStr">
        <is>
          <t>https://unctad.org/page/data-protection-and-privacy-legislation-worldwide</t>
        </is>
      </c>
      <c r="W141" s="43" t="inlineStr">
        <is>
          <t>Yes (SIM card registration linked to ID, biometric expansion in progress)</t>
        </is>
      </c>
      <c r="X141" s="44" t="inlineStr">
        <is>
          <t>https://www.gsma.com/solutions-and-impact/connectivity-for-good/public-policy/mobile-policy-handbook/consumer-protection/mandatory-registration-of-prepaid-sims/; https://privacyinternational.org/learn/sim-card-registration</t>
        </is>
      </c>
      <c r="AI141">
        <f>SUM(Y141:AH141)</f>
        <v/>
      </c>
      <c r="AJ141">
        <f>100-(AI141*(AI141/20))</f>
        <v/>
      </c>
      <c r="AK141" s="24">
        <f>100-(AJ141*(AJ141/MAX(AJ126:AJ141)))</f>
        <v/>
      </c>
      <c r="AL141" t="n">
        <v>23</v>
      </c>
    </row>
    <row r="142">
      <c r="A142" s="43" t="n">
        <v>78</v>
      </c>
      <c r="B142" s="43" t="inlineStr">
        <is>
          <t>Iceland</t>
        </is>
      </c>
      <c r="C142" s="43" t="inlineStr">
        <is>
          <t>Europe</t>
        </is>
      </c>
      <c r="D142" s="43" t="inlineStr">
        <is>
          <t>Council of Europe</t>
        </is>
      </c>
      <c r="E142" s="43" t="inlineStr">
        <is>
          <t>In force (GDPR + Act No. 90/2018)</t>
        </is>
      </c>
      <c r="F142" s="44" t="inlineStr">
        <is>
          <t>https://unctad.org/page/data-protection-and-privacy-legislation-worldwide</t>
        </is>
      </c>
      <c r="G142" s="43" t="inlineStr">
        <is>
          <t>Strong/Independent (Persónuvernd)</t>
        </is>
      </c>
      <c r="H142" s="44" t="inlineStr">
        <is>
          <t>https://unctad.org/page/data-protection-and-privacy-legislation-worldwide</t>
        </is>
      </c>
      <c r="I142" s="43" t="inlineStr">
        <is>
          <t>Yes (GDPR COP + national child safety initiatives)</t>
        </is>
      </c>
      <c r="J142" s="44" t="inlineStr">
        <is>
          <t>https://unctad.org/page/data-protection-and-privacy-legislation-worldwide; https://www.unicef.org/iceland/</t>
        </is>
      </c>
      <c r="K142" s="43" t="inlineStr">
        <is>
          <t>Yes (EU Safer Internet Centre + national measures)</t>
        </is>
      </c>
      <c r="L142" s="44" t="inlineStr">
        <is>
          <t>https://www.unicef.org/iceland/</t>
        </is>
      </c>
      <c r="M142" s="43" t="inlineStr">
        <is>
          <t>Yes (GDPR)</t>
        </is>
      </c>
      <c r="N142" s="44" t="inlineStr">
        <is>
          <t>https://unctad.org/page/data-protection-and-privacy-legislation-worldwide</t>
        </is>
      </c>
      <c r="O142" s="43" t="inlineStr">
        <is>
          <t>Equality/Marriage (since 2010)</t>
        </is>
      </c>
      <c r="P142" s="44" t="inlineStr">
        <is>
          <t>https://www.humandignitytrust.org/country-profile/iceland/; https://ilga.org/ilga-world-maps/</t>
        </is>
      </c>
      <c r="Q142" s="43" t="inlineStr">
        <is>
          <t>No</t>
        </is>
      </c>
      <c r="R142" s="44" t="inlineStr">
        <is>
          <t>https://ilga.org/ilga-world-maps/</t>
        </is>
      </c>
      <c r="S142" s="43" t="inlineStr">
        <is>
          <t>Adopted (AI Strategy 2020; EU alignment)</t>
        </is>
      </c>
      <c r="T142" s="44" t="inlineStr">
        <is>
          <t>https://en.unesco.org/artificial-intelligence/observatory/policies?country=IS; https://www.unesco.org/ethics-ai/en/global-hub</t>
        </is>
      </c>
      <c r="U142" s="43" t="inlineStr">
        <is>
          <t>Yes</t>
        </is>
      </c>
      <c r="V142" s="44" t="inlineStr">
        <is>
          <t>https://unctad.org/page/data-protection-and-privacy-legislation-worldwide</t>
        </is>
      </c>
      <c r="W142" s="43" t="inlineStr">
        <is>
          <t>No (ID required; no biometrics)</t>
        </is>
      </c>
      <c r="X142" s="44" t="inlineStr">
        <is>
          <t>https://www.gsma.com/solutions-and-impact/connectivity-for-good/public-policy/mobile-policy-handbook/consumer-protection/mandatory-registration-of-prepaid-sims/; https://privacyinternational.org/learn/sim-card-registration</t>
        </is>
      </c>
      <c r="AI142">
        <f>SUM(Y142:AH142)</f>
        <v/>
      </c>
      <c r="AJ142">
        <f>100-(AI142*(AI142/20))</f>
        <v/>
      </c>
      <c r="AK142" s="24">
        <f>100-(AJ142*(AJ142/MAX(AJ127:AJ142)))</f>
        <v/>
      </c>
      <c r="AL142" t="n">
        <v>78</v>
      </c>
    </row>
    <row r="143">
      <c r="A143" s="43" t="n">
        <v>100</v>
      </c>
      <c r="B143" s="43" t="inlineStr">
        <is>
          <t>Liechtenstein</t>
        </is>
      </c>
      <c r="C143" s="43" t="inlineStr">
        <is>
          <t>Europe</t>
        </is>
      </c>
      <c r="D143" s="43" t="inlineStr">
        <is>
          <t>Council of Europe</t>
        </is>
      </c>
      <c r="E143" s="43" t="inlineStr">
        <is>
          <t>In force (GDPR implemented)</t>
        </is>
      </c>
      <c r="F143" s="44" t="inlineStr">
        <is>
          <t>https://unctad.org/page/data-protection-and-privacy-legislation-worldwide</t>
        </is>
      </c>
      <c r="G143" s="43" t="inlineStr">
        <is>
          <t>Strong/Independent (Data Protection Office)</t>
        </is>
      </c>
      <c r="H143" s="44" t="inlineStr">
        <is>
          <t>https://unctad.org/page/data-protection-and-privacy-legislation-worldwide</t>
        </is>
      </c>
      <c r="I143" s="43" t="inlineStr">
        <is>
          <t>Yes (GDPR COP provisions)</t>
        </is>
      </c>
      <c r="J143" s="44" t="inlineStr">
        <is>
          <t>https://unctad.org/page/data-protection-and-privacy-legislation-worldwide; https://www.unicef.org/liechtenstein/</t>
        </is>
      </c>
      <c r="K143" s="43" t="inlineStr">
        <is>
          <t>Yes (EU Safer Internet participation)</t>
        </is>
      </c>
      <c r="L143" s="44" t="inlineStr">
        <is>
          <t>https://www.unicef.org/liechtenstein/</t>
        </is>
      </c>
      <c r="M143" s="43" t="inlineStr">
        <is>
          <t>Yes</t>
        </is>
      </c>
      <c r="N143" s="44" t="inlineStr">
        <is>
          <t>https://unctad.org/page/data-protection-and-privacy-legislation-worldwide</t>
        </is>
      </c>
      <c r="O143" s="43" t="inlineStr">
        <is>
          <t>Equality/Marriage (since 2011)</t>
        </is>
      </c>
      <c r="P143" s="44" t="inlineStr">
        <is>
          <t>https://www.humandignitytrust.org/country-profile/liechtenstein/; https://ilga.org/ilga-world-maps/</t>
        </is>
      </c>
      <c r="Q143" s="43" t="inlineStr">
        <is>
          <t>No</t>
        </is>
      </c>
      <c r="R143" s="44" t="inlineStr">
        <is>
          <t>https://ilga.org/ilga-world-maps/</t>
        </is>
      </c>
      <c r="S143" s="43" t="inlineStr">
        <is>
          <t>Adopted (cooperation with Switzerland; EU/EFTA alignment)</t>
        </is>
      </c>
      <c r="T143" s="44" t="inlineStr">
        <is>
          <t>https://en.unesco.org/artificial-intelligence/observatory/policies?country=LI; https://www.unesco.org/ethics-ai/en/global-hub</t>
        </is>
      </c>
      <c r="U143" s="43" t="inlineStr">
        <is>
          <t>Yes</t>
        </is>
      </c>
      <c r="V143" s="44" t="inlineStr">
        <is>
          <t>https://unctad.org/page/data-protection-and-privacy-legislation-worldwide</t>
        </is>
      </c>
      <c r="W143" s="43" t="inlineStr">
        <is>
          <t>No (SIM requires ID; no biometrics)</t>
        </is>
      </c>
      <c r="X143" s="44" t="inlineStr">
        <is>
          <t>https://www.gsma.com/solutions-and-impact/connectivity-for-good/public-policy/mobile-policy-handbook/consumer-protection/mandatory-registration-of-prepaid-sims/; https://privacyinternational.org/learn/sim-card-registration</t>
        </is>
      </c>
      <c r="AI143">
        <f>SUM(Y143:AH143)</f>
        <v/>
      </c>
      <c r="AJ143">
        <f>100-(AI143*(AI143/20))</f>
        <v/>
      </c>
      <c r="AK143" s="24">
        <f>100-(AJ143*(AJ143/MAX(AJ128:AJ143)))</f>
        <v/>
      </c>
      <c r="AL143" t="n">
        <v>100</v>
      </c>
    </row>
    <row r="144">
      <c r="A144" s="43" t="n">
        <v>114</v>
      </c>
      <c r="B144" s="43" t="inlineStr">
        <is>
          <t>Monaco</t>
        </is>
      </c>
      <c r="C144" s="43" t="inlineStr">
        <is>
          <t>Europe</t>
        </is>
      </c>
      <c r="D144" s="43" t="inlineStr">
        <is>
          <t>Council of Europe</t>
        </is>
      </c>
      <c r="E144" s="43" t="inlineStr">
        <is>
          <t>In force (GDPR-aligned)</t>
        </is>
      </c>
      <c r="F144" s="44" t="inlineStr">
        <is>
          <t>https://unctad.org/page/data-protection-and-privacy-legislation-worldwide</t>
        </is>
      </c>
      <c r="G144" s="43" t="inlineStr">
        <is>
          <t>Strong/Independent (CCIN)</t>
        </is>
      </c>
      <c r="H144" s="44" t="inlineStr">
        <is>
          <t>https://unctad.org/page/data-protection-and-privacy-legislation-worldwide</t>
        </is>
      </c>
      <c r="I144" s="43" t="inlineStr">
        <is>
          <t>Yes</t>
        </is>
      </c>
      <c r="J144" s="44" t="inlineStr">
        <is>
          <t>https://unctad.org/page/data-protection-and-privacy-legislation-worldwide; https://www.unicef.org/monaco/</t>
        </is>
      </c>
      <c r="K144" s="43" t="inlineStr">
        <is>
          <t>Yes</t>
        </is>
      </c>
      <c r="L144" s="44" t="inlineStr">
        <is>
          <t>https://www.unicef.org/monaco/</t>
        </is>
      </c>
      <c r="M144" s="43" t="inlineStr">
        <is>
          <t>Yes</t>
        </is>
      </c>
      <c r="N144" s="44" t="inlineStr">
        <is>
          <t>https://unctad.org/page/data-protection-and-privacy-legislation-worldwide</t>
        </is>
      </c>
      <c r="O144" s="43" t="inlineStr">
        <is>
          <t>Equality/Marriage (since 2019)</t>
        </is>
      </c>
      <c r="P144" s="44" t="inlineStr">
        <is>
          <t>https://www.humandignitytrust.org/country-profile/monaco/; https://ilga.org/ilga-world-maps/</t>
        </is>
      </c>
      <c r="Q144" s="43" t="inlineStr">
        <is>
          <t>No</t>
        </is>
      </c>
      <c r="R144" s="44" t="inlineStr">
        <is>
          <t>https://ilga.org/ilga-world-maps/</t>
        </is>
      </c>
      <c r="S144" s="43" t="inlineStr">
        <is>
          <t>Adopted (Digital Strategy 2019)</t>
        </is>
      </c>
      <c r="T144" s="44" t="inlineStr">
        <is>
          <t>https://en.unesco.org/artificial-intelligence/observatory/policies?country=MC; https://www.unesco.org/ethics-ai/en/global-hub</t>
        </is>
      </c>
      <c r="U144" s="43" t="inlineStr">
        <is>
          <t>Yes</t>
        </is>
      </c>
      <c r="V144" s="44" t="inlineStr">
        <is>
          <t>https://unctad.org/page/data-protection-and-privacy-legislation-worldwide</t>
        </is>
      </c>
      <c r="W144" s="43" t="inlineStr">
        <is>
          <t>No</t>
        </is>
      </c>
      <c r="X144" s="44" t="inlineStr">
        <is>
          <t>https://www.gsma.com/solutions-and-impact/connectivity-for-good/public-policy/mobile-policy-handbook/consumer-protection/mandatory-registration-of-prepaid-sims/</t>
        </is>
      </c>
      <c r="AI144">
        <f>SUM(Y144:AH144)</f>
        <v/>
      </c>
      <c r="AJ144">
        <f>100-(AI144*(AI144/20))</f>
        <v/>
      </c>
      <c r="AK144" s="24">
        <f>100-(AJ144*(AJ144/MAX(AJ129:AJ144)))</f>
        <v/>
      </c>
      <c r="AL144" t="n">
        <v>114</v>
      </c>
    </row>
    <row r="145">
      <c r="A145" s="43" t="n">
        <v>116</v>
      </c>
      <c r="B145" s="43" t="inlineStr">
        <is>
          <t>Montenegro</t>
        </is>
      </c>
      <c r="C145" s="43" t="inlineStr">
        <is>
          <t>Europe</t>
        </is>
      </c>
      <c r="D145" s="43" t="inlineStr">
        <is>
          <t>Council of Europe</t>
        </is>
      </c>
      <c r="E145" s="43" t="inlineStr">
        <is>
          <t>In force (GDPR-aligned Law on Personal Data Protection, 2018)</t>
        </is>
      </c>
      <c r="F145" s="44" t="inlineStr">
        <is>
          <t>https://unctad.org/page/data-protection-and-privacy-legislation-worldwide</t>
        </is>
      </c>
      <c r="G145" s="43" t="inlineStr">
        <is>
          <t>Strong (Agency for PDP and Free Access to Information)</t>
        </is>
      </c>
      <c r="H145" s="44" t="inlineStr">
        <is>
          <t>https://unctad.org/page/data-protection-and-privacy-legislation-worldwide</t>
        </is>
      </c>
      <c r="I145" s="43" t="inlineStr">
        <is>
          <t>Yes</t>
        </is>
      </c>
      <c r="J145" s="44" t="inlineStr">
        <is>
          <t>https://unctad.org/page/data-protection-and-privacy-legislation-worldwide; https://www.unicef.org/montenegro/</t>
        </is>
      </c>
      <c r="K145" s="43" t="inlineStr">
        <is>
          <t>Yes (Safer Internet initiatives)</t>
        </is>
      </c>
      <c r="L145" s="44" t="inlineStr">
        <is>
          <t>https://www.unicef.org/montenegro/</t>
        </is>
      </c>
      <c r="M145" s="43" t="inlineStr">
        <is>
          <t>Yes</t>
        </is>
      </c>
      <c r="N145" s="44" t="inlineStr">
        <is>
          <t>https://unctad.org/page/data-protection-and-privacy-legislation-worldwide</t>
        </is>
      </c>
      <c r="O145" s="43" t="inlineStr">
        <is>
          <t>Legal (partnerships recognised 2020; no marriage)</t>
        </is>
      </c>
      <c r="P145" s="44" t="inlineStr">
        <is>
          <t>https://www.humandignitytrust.org/country-profile/montenegro/; https://ilga.org/ilga-world-maps/</t>
        </is>
      </c>
      <c r="Q145" s="43" t="inlineStr">
        <is>
          <t>No</t>
        </is>
      </c>
      <c r="R145" s="44" t="inlineStr">
        <is>
          <t>https://ilga.org/ilga-world-maps/</t>
        </is>
      </c>
      <c r="S145" s="43" t="inlineStr">
        <is>
          <t>Draft/Early (aligned with EU AI Act; candidate reforms)</t>
        </is>
      </c>
      <c r="T145" s="44" t="inlineStr">
        <is>
          <t>https://en.unesco.org/artificial-intelligence/observatory/policies?country=ME; https://www.unesco.org/ethics-ai/en/global-hub</t>
        </is>
      </c>
      <c r="U145" s="43" t="inlineStr">
        <is>
          <t>Yes</t>
        </is>
      </c>
      <c r="V145" s="44" t="inlineStr">
        <is>
          <t>https://unctad.org/page/data-protection-and-privacy-legislation-worldwide</t>
        </is>
      </c>
      <c r="W145" s="43" t="inlineStr">
        <is>
          <t>No</t>
        </is>
      </c>
      <c r="X145" s="44" t="inlineStr">
        <is>
          <t>https://www.gsma.com/solutions-and-impact/connectivity-for-good/public-policy/mobile-policy-handbook/consumer-protection/mandatory-registration-of-prepaid-sims/</t>
        </is>
      </c>
      <c r="AI145">
        <f>SUM(Y145:AH145)</f>
        <v/>
      </c>
      <c r="AJ145">
        <f>100-(AI145*(AI145/20))</f>
        <v/>
      </c>
      <c r="AK145" s="24">
        <f>100-(AJ145*(AJ145/MAX(AJ130:AJ145)))</f>
        <v/>
      </c>
      <c r="AL145" t="n">
        <v>116</v>
      </c>
    </row>
    <row r="146">
      <c r="A146" s="43" t="n">
        <v>128</v>
      </c>
      <c r="B146" s="43" t="inlineStr">
        <is>
          <t>North Macedonia</t>
        </is>
      </c>
      <c r="C146" s="43" t="inlineStr">
        <is>
          <t>Europe</t>
        </is>
      </c>
      <c r="D146" s="43" t="inlineStr">
        <is>
          <t>Council of Europe</t>
        </is>
      </c>
      <c r="E146" s="43" t="inlineStr">
        <is>
          <t>In force — GDPR-aligned (2020)</t>
        </is>
      </c>
      <c r="F146" s="44" t="inlineStr">
        <is>
          <t>https://unctad.org/page/data-protection-and-privacy-legislation-worldwide</t>
        </is>
      </c>
      <c r="G146" s="43" t="inlineStr">
        <is>
          <t>Strong — Agency for PDP</t>
        </is>
      </c>
      <c r="H146" s="44" t="inlineStr">
        <is>
          <t>https://unctad.org/page/data-protection-and-privacy-legislation-worldwide</t>
        </is>
      </c>
      <c r="I146" s="43" t="inlineStr">
        <is>
          <t>Yes</t>
        </is>
      </c>
      <c r="J146" s="44" t="inlineStr">
        <is>
          <t>https://unctad.org/page/data-protection-and-privacy-legislation-worldwide; https://www.unicef.org/north-macedonia/</t>
        </is>
      </c>
      <c r="K146" s="43" t="inlineStr">
        <is>
          <t>Yes — Safer Internet Centre</t>
        </is>
      </c>
      <c r="L146" s="44" t="inlineStr">
        <is>
          <t>https://www.unicef.org/north-macedonia/</t>
        </is>
      </c>
      <c r="M146" s="43" t="inlineStr">
        <is>
          <t>Yes</t>
        </is>
      </c>
      <c r="N146" s="44" t="inlineStr">
        <is>
          <t>https://unctad.org/page/data-protection-and-privacy-legislation-worldwide</t>
        </is>
      </c>
      <c r="O146" s="43" t="inlineStr">
        <is>
          <t>Legal — partnerships pending, no marriage</t>
        </is>
      </c>
      <c r="P146" s="44" t="inlineStr">
        <is>
          <t>https://www.humandignitytrust.org/country-profile/north-macedonia/; https://ilga.org/ilga-world-maps/</t>
        </is>
      </c>
      <c r="Q146" s="43" t="inlineStr">
        <is>
          <t>No</t>
        </is>
      </c>
      <c r="R146" s="44" t="inlineStr">
        <is>
          <t>https://ilga.org/ilga-world-maps/</t>
        </is>
      </c>
      <c r="S146" s="43" t="inlineStr">
        <is>
          <t>Draft/Early — National AI Strategy 2021</t>
        </is>
      </c>
      <c r="T146" s="44" t="inlineStr">
        <is>
          <t>https://en.unesco.org/artificial-intelligence/observatory/policies?country=MK; https://www.unesco.org/ethics-ai/en/global-hub</t>
        </is>
      </c>
      <c r="U146" s="43" t="inlineStr">
        <is>
          <t>Yes</t>
        </is>
      </c>
      <c r="V146" s="44" t="inlineStr">
        <is>
          <t>https://unctad.org/page/data-protection-and-privacy-legislation-worldwide</t>
        </is>
      </c>
      <c r="W146" s="43" t="inlineStr">
        <is>
          <t>No</t>
        </is>
      </c>
      <c r="X146" s="44" t="inlineStr">
        <is>
          <t>https://www.gsma.com/solutions-and-impact/connectivity-for-good/public-policy/mobile-policy-handbook/consumer-protection/mandatory-registration-of-prepaid-sims/</t>
        </is>
      </c>
      <c r="AI146">
        <f>SUM(Y146:AH146)</f>
        <v/>
      </c>
      <c r="AJ146">
        <f>100-(AI146*(AI146/20))</f>
        <v/>
      </c>
      <c r="AK146" s="24">
        <f>100-(AJ146*(AJ146/MAX(AJ131:AJ146)))</f>
        <v/>
      </c>
      <c r="AL146" t="n">
        <v>128</v>
      </c>
    </row>
    <row r="147">
      <c r="A147" s="43" t="n">
        <v>129</v>
      </c>
      <c r="B147" s="43" t="inlineStr">
        <is>
          <t>Norway</t>
        </is>
      </c>
      <c r="C147" s="43" t="inlineStr">
        <is>
          <t>Europe</t>
        </is>
      </c>
      <c r="D147" s="43" t="inlineStr">
        <is>
          <t>Council of Europe</t>
        </is>
      </c>
      <c r="E147" s="43" t="inlineStr">
        <is>
          <t>In force — GDPR + national law</t>
        </is>
      </c>
      <c r="F147" s="44" t="inlineStr">
        <is>
          <t>https://unctad.org/page/data-protection-and-privacy-legislation-worldwide</t>
        </is>
      </c>
      <c r="G147" s="43" t="inlineStr">
        <is>
          <t>Strong — Datatilsynet</t>
        </is>
      </c>
      <c r="H147" s="44" t="inlineStr">
        <is>
          <t>https://unctad.org/page/data-protection-and-privacy-legislation-worldwide</t>
        </is>
      </c>
      <c r="I147" s="43" t="inlineStr">
        <is>
          <t>Yes</t>
        </is>
      </c>
      <c r="J147" s="44" t="inlineStr">
        <is>
          <t>https://unctad.org/page/data-protection-and-privacy-legislation-worldwide; https://www.unicef.org/norway/</t>
        </is>
      </c>
      <c r="K147" s="43" t="inlineStr">
        <is>
          <t>Yes</t>
        </is>
      </c>
      <c r="L147" s="44" t="inlineStr">
        <is>
          <t>https://www.unicef.org/norway/</t>
        </is>
      </c>
      <c r="M147" s="43" t="inlineStr">
        <is>
          <t>Yes</t>
        </is>
      </c>
      <c r="N147" s="44" t="inlineStr">
        <is>
          <t>https://unctad.org/page/data-protection-and-privacy-legislation-worldwide</t>
        </is>
      </c>
      <c r="O147" s="43" t="inlineStr">
        <is>
          <t>Equality/Marriage — full equality</t>
        </is>
      </c>
      <c r="P147" s="44" t="inlineStr">
        <is>
          <t>https://www.humandignitytrust.org/country-profile/norway/; https://ilga.org/ilga-world-maps/</t>
        </is>
      </c>
      <c r="Q147" s="43" t="inlineStr">
        <is>
          <t>No</t>
        </is>
      </c>
      <c r="R147" s="44" t="inlineStr">
        <is>
          <t>https://ilga.org/ilga-world-maps/</t>
        </is>
      </c>
      <c r="S147" s="43" t="inlineStr">
        <is>
          <t>Adopted — National AI Strategy (2020)</t>
        </is>
      </c>
      <c r="T147" s="44" t="inlineStr">
        <is>
          <t>https://en.unesco.org/artificial-intelligence/observatory/policies?country=NO; https://www.unesco.org/ethics-ai/en/global-hub</t>
        </is>
      </c>
      <c r="U147" s="43" t="inlineStr">
        <is>
          <t>Yes</t>
        </is>
      </c>
      <c r="V147" s="44" t="inlineStr">
        <is>
          <t>https://unctad.org/page/data-protection-and-privacy-legislation-worldwide</t>
        </is>
      </c>
      <c r="W147" s="43" t="inlineStr">
        <is>
          <t>No</t>
        </is>
      </c>
      <c r="X147" s="44" t="inlineStr">
        <is>
          <t>https://www.gsma.com/solutions-and-impact/connectivity-for-good/public-policy/mobile-policy-handbook/consumer-protection/mandatory-registration-of-prepaid-sims/</t>
        </is>
      </c>
      <c r="AI147">
        <f>SUM(Y147:AH147)</f>
        <v/>
      </c>
      <c r="AJ147">
        <f>100-(AI147*(AI147/20))</f>
        <v/>
      </c>
      <c r="AK147" s="24">
        <f>100-(AJ147*(AJ147/MAX(AJ132:AJ147)))</f>
        <v/>
      </c>
      <c r="AL147" t="n">
        <v>129</v>
      </c>
    </row>
    <row r="148">
      <c r="A148" s="43" t="n">
        <v>142</v>
      </c>
      <c r="B148" s="43" t="inlineStr">
        <is>
          <t>Republic of Moldova</t>
        </is>
      </c>
      <c r="C148" s="43" t="inlineStr">
        <is>
          <t>Europe</t>
        </is>
      </c>
      <c r="D148" s="43" t="inlineStr">
        <is>
          <t>Council of Europe</t>
        </is>
      </c>
      <c r="E148" s="43" t="inlineStr">
        <is>
          <t>In force — Law 133/2011</t>
        </is>
      </c>
      <c r="F148" s="44" t="inlineStr">
        <is>
          <t>https://unctad.org/page/data-protection-and-privacy-legislation-worldwide</t>
        </is>
      </c>
      <c r="G148" s="43" t="inlineStr">
        <is>
          <t>Moderate — NCPDP under Parliament</t>
        </is>
      </c>
      <c r="H148" s="44" t="inlineStr">
        <is>
          <t>https://unctad.org/page/data-protection-and-privacy-legislation-worldwide</t>
        </is>
      </c>
      <c r="I148" s="43" t="inlineStr">
        <is>
          <t>Partial</t>
        </is>
      </c>
      <c r="J148" s="44" t="inlineStr">
        <is>
          <t>https://unctad.org/page/data-protection-and-privacy-legislation-worldwide; https://www.unicef.org/republic-of-moldova/</t>
        </is>
      </c>
      <c r="K148" s="43" t="inlineStr">
        <is>
          <t>Partial</t>
        </is>
      </c>
      <c r="L148" s="44" t="inlineStr">
        <is>
          <t>https://www.unicef.org/republic-of-moldova/</t>
        </is>
      </c>
      <c r="M148" s="43" t="inlineStr">
        <is>
          <t>Yes</t>
        </is>
      </c>
      <c r="N148" s="44" t="inlineStr">
        <is>
          <t>https://unctad.org/page/data-protection-and-privacy-legislation-worldwide</t>
        </is>
      </c>
      <c r="O148" s="43" t="inlineStr">
        <is>
          <t>Legal — no recognition</t>
        </is>
      </c>
      <c r="P148" s="44" t="inlineStr">
        <is>
          <t>https://www.humandignitytrust.org/country-profile/republic-of-moldova/; https://ilga.org/ilga-world-maps/</t>
        </is>
      </c>
      <c r="Q148" s="43" t="inlineStr">
        <is>
          <t>Yes — propaganda bans</t>
        </is>
      </c>
      <c r="R148" s="44" t="inlineStr">
        <is>
          <t>https://ilga.org/ilga-world-maps/</t>
        </is>
      </c>
      <c r="S148" s="43" t="inlineStr">
        <is>
          <t>Draft/Early — Digital Moldova 2020</t>
        </is>
      </c>
      <c r="T148" s="44" t="inlineStr">
        <is>
          <t>https://en.unesco.org/artificial-intelligence/observatory/policies?country=MD; https://www.unesco.org/ethics-ai/en/global-hub</t>
        </is>
      </c>
      <c r="U148" s="43" t="inlineStr">
        <is>
          <t>No</t>
        </is>
      </c>
      <c r="V148" s="44" t="inlineStr">
        <is>
          <t>https://unctad.org/page/data-protection-and-privacy-legislation-worldwide</t>
        </is>
      </c>
      <c r="W148" s="43" t="inlineStr">
        <is>
          <t>Yes</t>
        </is>
      </c>
      <c r="X148" s="44" t="inlineStr">
        <is>
          <t>https://www.gsma.com/solutions-and-impact/connectivity-for-good/public-policy/mobile-policy-handbook/consumer-protection/mandatory-registration-of-prepaid-sims/</t>
        </is>
      </c>
      <c r="AI148">
        <f>SUM(Y148:AH148)</f>
        <v/>
      </c>
      <c r="AJ148">
        <f>100-(AI148*(AI148/20))</f>
        <v/>
      </c>
      <c r="AK148" s="24">
        <f>100-(AJ148*(AJ148/MAX(AJ133:AJ148)))</f>
        <v/>
      </c>
      <c r="AL148" t="n">
        <v>142</v>
      </c>
    </row>
    <row r="149">
      <c r="A149" s="43" t="n">
        <v>150</v>
      </c>
      <c r="B149" s="43" t="inlineStr">
        <is>
          <t>San Marino</t>
        </is>
      </c>
      <c r="C149" s="43" t="inlineStr">
        <is>
          <t>Europe</t>
        </is>
      </c>
      <c r="D149" s="43" t="inlineStr">
        <is>
          <t>Council of Europe</t>
        </is>
      </c>
      <c r="E149" s="43" t="inlineStr">
        <is>
          <t>In force — GDPR-aligned law</t>
        </is>
      </c>
      <c r="F149" s="44" t="inlineStr">
        <is>
          <t>https://unctad.org/page/data-protection-and-privacy-legislation-worldwide</t>
        </is>
      </c>
      <c r="G149" s="43" t="inlineStr">
        <is>
          <t>Strong</t>
        </is>
      </c>
      <c r="H149" s="44" t="inlineStr">
        <is>
          <t>https://unctad.org/page/data-protection-and-privacy-legislation-worldwide</t>
        </is>
      </c>
      <c r="I149" s="43" t="inlineStr">
        <is>
          <t>Yes</t>
        </is>
      </c>
      <c r="J149" s="44" t="inlineStr">
        <is>
          <t>https://unctad.org/page/data-protection-and-privacy-legislation-worldwide; https://www.unicef.org/san-marino/</t>
        </is>
      </c>
      <c r="K149" s="43" t="inlineStr">
        <is>
          <t>Yes — EU Safer Internet</t>
        </is>
      </c>
      <c r="L149" s="44" t="inlineStr">
        <is>
          <t>https://www.unicef.org/san-marino/</t>
        </is>
      </c>
      <c r="M149" s="43" t="inlineStr">
        <is>
          <t>Yes</t>
        </is>
      </c>
      <c r="N149" s="44" t="inlineStr">
        <is>
          <t>https://unctad.org/page/data-protection-and-privacy-legislation-worldwide</t>
        </is>
      </c>
      <c r="O149" s="43" t="inlineStr">
        <is>
          <t>Equality — civil unions (2016), marriage recognition (2019)</t>
        </is>
      </c>
      <c r="P149" s="44" t="inlineStr">
        <is>
          <t>https://www.humandignitytrust.org/country-profile/san-marino/; https://ilga.org/ilga-world-maps/</t>
        </is>
      </c>
      <c r="Q149" s="43" t="inlineStr">
        <is>
          <t>No</t>
        </is>
      </c>
      <c r="R149" s="44" t="inlineStr">
        <is>
          <t>https://ilga.org/ilga-world-maps/</t>
        </is>
      </c>
      <c r="S149" s="43" t="inlineStr">
        <is>
          <t>Draft/Early — aligned with EU strategies</t>
        </is>
      </c>
      <c r="T149" s="44" t="inlineStr">
        <is>
          <t>https://en.unesco.org/artificial-intelligence/observatory/policies?country=SM; https://www.unesco.org/ethics-ai/en/global-hub</t>
        </is>
      </c>
      <c r="U149" s="43" t="inlineStr">
        <is>
          <t>Yes</t>
        </is>
      </c>
      <c r="V149" s="44" t="inlineStr">
        <is>
          <t>https://unctad.org/page/data-protection-and-privacy-legislation-worldwide</t>
        </is>
      </c>
      <c r="W149" s="43" t="inlineStr">
        <is>
          <t>No</t>
        </is>
      </c>
      <c r="X149" s="44" t="inlineStr">
        <is>
          <t>https://www.gsma.com/solutions-and-impact/connectivity-for-good/public-policy/mobile-policy-handbook/consumer-protection/mandatory-registration-of-prepaid-sims/</t>
        </is>
      </c>
      <c r="AI149">
        <f>SUM(Y149:AH149)</f>
        <v/>
      </c>
      <c r="AJ149">
        <f>100-(AI149*(AI149/20))</f>
        <v/>
      </c>
      <c r="AK149" s="24">
        <f>100-(AJ149*(AJ149/MAX(AJ134:AJ149)))</f>
        <v/>
      </c>
      <c r="AL149" t="n">
        <v>150</v>
      </c>
    </row>
    <row r="150">
      <c r="A150" s="43" t="n">
        <v>154</v>
      </c>
      <c r="B150" s="43" t="inlineStr">
        <is>
          <t>Serbia</t>
        </is>
      </c>
      <c r="C150" s="43" t="inlineStr">
        <is>
          <t>Europe</t>
        </is>
      </c>
      <c r="D150" s="43" t="inlineStr">
        <is>
          <t>Council of Europe</t>
        </is>
      </c>
      <c r="E150" s="43" t="inlineStr">
        <is>
          <t>In force — Law on Personal Data Protection (2018, GDPR-aligned)</t>
        </is>
      </c>
      <c r="F150" s="44" t="inlineStr">
        <is>
          <t>https://unctad.org/page/data-protection-and-privacy-legislation-worldwide</t>
        </is>
      </c>
      <c r="G150" s="43" t="inlineStr">
        <is>
          <t>Strong — Commissioner for Information of Public Importance and PDP</t>
        </is>
      </c>
      <c r="H150" s="44" t="inlineStr">
        <is>
          <t>https://unctad.org/page/data-protection-and-privacy-legislation-worldwide</t>
        </is>
      </c>
      <c r="I150" s="43" t="inlineStr">
        <is>
          <t>Yes</t>
        </is>
      </c>
      <c r="J150" s="44" t="inlineStr">
        <is>
          <t>https://unctad.org/page/data-protection-and-privacy-legislation-worldwide; https://www.unicef.org/serbia/</t>
        </is>
      </c>
      <c r="K150" s="43" t="inlineStr">
        <is>
          <t>Yes — EU Safer Internet program</t>
        </is>
      </c>
      <c r="L150" s="44" t="inlineStr">
        <is>
          <t>https://www.unicef.org/serbia/</t>
        </is>
      </c>
      <c r="M150" s="43" t="inlineStr">
        <is>
          <t>Yes</t>
        </is>
      </c>
      <c r="N150" s="44" t="inlineStr">
        <is>
          <t>https://unctad.org/page/data-protection-and-privacy-legislation-worldwide</t>
        </is>
      </c>
      <c r="O150" s="43" t="inlineStr">
        <is>
          <t>Legal — partnerships pending, no marriage</t>
        </is>
      </c>
      <c r="P150" s="44" t="inlineStr">
        <is>
          <t>https://www.humandignitytrust.org/country-profile/serbia/; https://ilga.org/ilga-world-maps/</t>
        </is>
      </c>
      <c r="Q150" s="43" t="inlineStr">
        <is>
          <t>No</t>
        </is>
      </c>
      <c r="R150" s="44" t="inlineStr">
        <is>
          <t>https://ilga.org/ilga-world-maps/</t>
        </is>
      </c>
      <c r="S150" s="43" t="inlineStr">
        <is>
          <t>Adopted — AI Development Strategy 2020–2025</t>
        </is>
      </c>
      <c r="T150" s="44" t="inlineStr">
        <is>
          <t>https://en.unesco.org/artificial-intelligence/observatory/policies?country=RS; https://www.unesco.org/ethics-ai/en/global-hub</t>
        </is>
      </c>
      <c r="U150" s="43" t="inlineStr">
        <is>
          <t>Yes</t>
        </is>
      </c>
      <c r="V150" s="44" t="inlineStr">
        <is>
          <t>https://unctad.org/page/data-protection-and-privacy-legislation-worldwide</t>
        </is>
      </c>
      <c r="W150" s="43" t="inlineStr">
        <is>
          <t>No</t>
        </is>
      </c>
      <c r="X150" s="44" t="inlineStr">
        <is>
          <t>https://www.gsma.com/solutions-and-impact/connectivity-for-good/public-policy/mobile-policy-handbook/consumer-protection/mandatory-registration-of-prepaid-sims/</t>
        </is>
      </c>
      <c r="AI150">
        <f>SUM(Y150:AH150)</f>
        <v/>
      </c>
      <c r="AJ150">
        <f>100-(AI150*(AI150/20))</f>
        <v/>
      </c>
      <c r="AK150" s="24">
        <f>100-(AJ150*(AJ150/MAX(AJ135:AJ150)))</f>
        <v/>
      </c>
      <c r="AL150" t="n">
        <v>154</v>
      </c>
    </row>
    <row r="151">
      <c r="A151" s="43" t="n">
        <v>170</v>
      </c>
      <c r="B151" s="43" t="inlineStr">
        <is>
          <t>Switzerland</t>
        </is>
      </c>
      <c r="C151" s="43" t="inlineStr">
        <is>
          <t>Europe</t>
        </is>
      </c>
      <c r="D151" s="43" t="inlineStr">
        <is>
          <t>Council of Europe</t>
        </is>
      </c>
      <c r="E151" s="43" t="inlineStr">
        <is>
          <t>In force — Federal Data Protection Act (rev. 2023)</t>
        </is>
      </c>
      <c r="F151" s="44" t="inlineStr">
        <is>
          <t>https://unctad.org/page/data-protection-and-privacy-legislation-worldwide</t>
        </is>
      </c>
      <c r="G151" s="43" t="inlineStr">
        <is>
          <t>Strong — FDPIC</t>
        </is>
      </c>
      <c r="H151" s="44" t="inlineStr">
        <is>
          <t>https://unctad.org/page/data-protection-and-privacy-legislation-worldwide</t>
        </is>
      </c>
      <c r="I151" s="43" t="inlineStr">
        <is>
          <t>Yes</t>
        </is>
      </c>
      <c r="J151" s="44" t="inlineStr">
        <is>
          <t>https://unctad.org/page/data-protection-and-privacy-legislation-worldwide; https://www.unicef.org/switzerland/</t>
        </is>
      </c>
      <c r="K151" s="43" t="inlineStr">
        <is>
          <t>Yes</t>
        </is>
      </c>
      <c r="L151" s="44" t="inlineStr">
        <is>
          <t>https://www.unicef.org/switzerland/</t>
        </is>
      </c>
      <c r="M151" s="43" t="inlineStr">
        <is>
          <t>Yes</t>
        </is>
      </c>
      <c r="N151" s="44" t="inlineStr">
        <is>
          <t>https://unctad.org/page/data-protection-and-privacy-legislation-worldwide</t>
        </is>
      </c>
      <c r="O151" s="43" t="inlineStr">
        <is>
          <t>Equality/Marriage — marriage equality since 2022</t>
        </is>
      </c>
      <c r="P151" s="44" t="inlineStr">
        <is>
          <t>https://www.humandignitytrust.org/country-profile/switzerland/; https://ilga.org/ilga-world-maps/</t>
        </is>
      </c>
      <c r="Q151" s="43" t="inlineStr">
        <is>
          <t>No</t>
        </is>
      </c>
      <c r="R151" s="44" t="inlineStr">
        <is>
          <t>https://ilga.org/ilga-world-maps/</t>
        </is>
      </c>
      <c r="S151" s="43" t="inlineStr">
        <is>
          <t>Adopted — Swiss Digital Strategy with AI focus (2020)</t>
        </is>
      </c>
      <c r="T151" s="44" t="inlineStr">
        <is>
          <t>https://en.unesco.org/artificial-intelligence/observatory/policies?country=CH; https://www.unesco.org/ethics-ai/en/global-hub</t>
        </is>
      </c>
      <c r="U151" s="43" t="inlineStr">
        <is>
          <t>Yes</t>
        </is>
      </c>
      <c r="V151" s="44" t="inlineStr">
        <is>
          <t>https://unctad.org/page/data-protection-and-privacy-legislation-worldwide</t>
        </is>
      </c>
      <c r="W151" s="43" t="inlineStr">
        <is>
          <t>No</t>
        </is>
      </c>
      <c r="X151" s="44" t="inlineStr">
        <is>
          <t>https://www.gsma.com/solutions-and-impact/connectivity-for-good/public-policy/mobile-policy-handbook/consumer-protection/mandatory-registration-of-prepaid-sims/</t>
        </is>
      </c>
      <c r="AI151">
        <f>SUM(Y151:AH151)</f>
        <v/>
      </c>
      <c r="AJ151">
        <f>100-(AI151*(AI151/20))</f>
        <v/>
      </c>
      <c r="AK151" s="24">
        <f>100-(AJ151*(AJ151/MAX(AJ136:AJ151)))</f>
        <v/>
      </c>
      <c r="AL151" t="n">
        <v>170</v>
      </c>
    </row>
    <row r="152">
      <c r="A152" s="43" t="n">
        <v>180</v>
      </c>
      <c r="B152" s="43" t="inlineStr">
        <is>
          <t>Türkiye</t>
        </is>
      </c>
      <c r="C152" s="43" t="inlineStr">
        <is>
          <t>Europe</t>
        </is>
      </c>
      <c r="D152" s="43" t="inlineStr">
        <is>
          <t>Council of Europe</t>
        </is>
      </c>
      <c r="E152" s="43" t="inlineStr">
        <is>
          <t>In force — Law No. 6698 on the Protection of Personal Data (2016)</t>
        </is>
      </c>
      <c r="F152" s="44" t="inlineStr">
        <is>
          <t>https://unctad.org/page/data-protection-and-privacy-legislation-worldwide</t>
        </is>
      </c>
      <c r="G152" s="43" t="inlineStr">
        <is>
          <t>Moderate — KVKK under Parliament</t>
        </is>
      </c>
      <c r="H152" s="44" t="inlineStr">
        <is>
          <t>https://unctad.org/page/data-protection-and-privacy-legislation-worldwide</t>
        </is>
      </c>
      <c r="I152" s="43" t="inlineStr">
        <is>
          <t>Partial</t>
        </is>
      </c>
      <c r="J152" s="44" t="inlineStr">
        <is>
          <t>https://unctad.org/page/data-protection-and-privacy-legislation-worldwide; https://www.unicef.org/turkiye/</t>
        </is>
      </c>
      <c r="K152" s="43" t="inlineStr">
        <is>
          <t>Partial</t>
        </is>
      </c>
      <c r="L152" s="44" t="inlineStr">
        <is>
          <t>https://www.unicef.org/turkiye/</t>
        </is>
      </c>
      <c r="M152" s="43" t="inlineStr">
        <is>
          <t>No</t>
        </is>
      </c>
      <c r="N152" s="44" t="inlineStr">
        <is>
          <t>https://unctad.org/page/data-protection-and-privacy-legislation-worldwide</t>
        </is>
      </c>
      <c r="O152" s="43" t="inlineStr">
        <is>
          <t>Legal — no criminalisation, but no recognition</t>
        </is>
      </c>
      <c r="P152" s="44" t="inlineStr">
        <is>
          <t>https://www.humandignitytrust.org/country-profile/turkiye/; https://ilga.org/ilga-world-maps/</t>
        </is>
      </c>
      <c r="Q152" s="43" t="inlineStr">
        <is>
          <t>Yes — bans on LGBTQ “propaganda” events</t>
        </is>
      </c>
      <c r="R152" s="44" t="inlineStr">
        <is>
          <t>https://ilga.org/ilga-world-maps/</t>
        </is>
      </c>
      <c r="S152" s="43" t="inlineStr">
        <is>
          <t>Adopted — National AI Strategy 2021–2025</t>
        </is>
      </c>
      <c r="T152" s="44" t="inlineStr">
        <is>
          <t>https://www.unesco.org/ethics-ai/en/global-hub</t>
        </is>
      </c>
      <c r="U152" s="43" t="inlineStr">
        <is>
          <t>No</t>
        </is>
      </c>
      <c r="V152" s="44" t="inlineStr">
        <is>
          <t>https://unctad.org/page/data-protection-and-privacy-legislation-worldwide</t>
        </is>
      </c>
      <c r="W152" s="43" t="inlineStr">
        <is>
          <t>Yes — SIMs linked to ID</t>
        </is>
      </c>
      <c r="X152" s="44" t="inlineStr">
        <is>
          <t>https://www.gsma.com/solutions-and-impact/connectivity-for-good/public-policy/mobile-policy-handbook/consumer-protection/mandatory-registration-of-prepaid-sims/</t>
        </is>
      </c>
      <c r="AI152">
        <f>SUM(Y152:AH152)</f>
        <v/>
      </c>
      <c r="AJ152">
        <f>100-(AI152*(AI152/20))</f>
        <v/>
      </c>
      <c r="AK152" s="24">
        <f>100-(AJ152*(AJ152/MAX(AJ137:AJ152)))</f>
        <v/>
      </c>
      <c r="AL152" t="n">
        <v>180</v>
      </c>
    </row>
    <row r="153">
      <c r="A153" s="43" t="n">
        <v>184</v>
      </c>
      <c r="B153" s="43" t="inlineStr">
        <is>
          <t>Ukraine</t>
        </is>
      </c>
      <c r="C153" s="43" t="inlineStr">
        <is>
          <t>Europe</t>
        </is>
      </c>
      <c r="D153" s="43" t="inlineStr">
        <is>
          <t>Council of Europe</t>
        </is>
      </c>
      <c r="E153" s="43" t="inlineStr">
        <is>
          <t>In force — Law on Personal Data Protection 2010 (GDPR harmonisation ongoing)</t>
        </is>
      </c>
      <c r="F153" s="44" t="inlineStr">
        <is>
          <t>https://unctad.org/page/data-protection-and-privacy-legislation-worldwide</t>
        </is>
      </c>
      <c r="G153" s="43" t="inlineStr">
        <is>
          <t>Moderate — Ombudsman’s Office</t>
        </is>
      </c>
      <c r="H153" s="44" t="inlineStr">
        <is>
          <t>https://unctad.org/page/data-protection-and-privacy-legislation-worldwide</t>
        </is>
      </c>
      <c r="I153" s="43" t="inlineStr">
        <is>
          <t>Partial</t>
        </is>
      </c>
      <c r="J153" s="44" t="inlineStr">
        <is>
          <t>https://unctad.org/page/data-protection-and-privacy-legislation-worldwide; https://www.unicef.org/ukraine/</t>
        </is>
      </c>
      <c r="K153" s="43" t="inlineStr">
        <is>
          <t>Partial — Safer Internet programs</t>
        </is>
      </c>
      <c r="L153" s="44" t="inlineStr">
        <is>
          <t>https://www.unicef.org/ukraine/</t>
        </is>
      </c>
      <c r="M153" s="43" t="inlineStr">
        <is>
          <t>No explicit recognition</t>
        </is>
      </c>
      <c r="N153" s="44" t="inlineStr">
        <is>
          <t>https://unctad.org/page/data-protection-and-privacy-legislation-worldwide</t>
        </is>
      </c>
      <c r="O153" s="43" t="inlineStr">
        <is>
          <t>Legal — no criminalisation, civil union bill pending</t>
        </is>
      </c>
      <c r="P153" s="44" t="inlineStr">
        <is>
          <t>https://www.humandignitytrust.org/country-profile/ukraine/; https://ilga.org/ilga-world-maps/</t>
        </is>
      </c>
      <c r="Q153" s="43" t="inlineStr">
        <is>
          <t>No</t>
        </is>
      </c>
      <c r="R153" s="44" t="inlineStr">
        <is>
          <t>https://ilga.org/ilga-world-maps/</t>
        </is>
      </c>
      <c r="S153" s="43" t="inlineStr">
        <is>
          <t>Adopted — AI Development Concept 2020–2030</t>
        </is>
      </c>
      <c r="T153" s="44" t="inlineStr">
        <is>
          <t>https://en.unesco.org/artificial-intelligence/observatory/policies?country=UA; https://www.unesco.org/ethics-ai/en/global-hub</t>
        </is>
      </c>
      <c r="U153" s="43" t="inlineStr">
        <is>
          <t>No</t>
        </is>
      </c>
      <c r="V153" s="44" t="inlineStr">
        <is>
          <t>https://unctad.org/page/data-protection-and-privacy-legislation-worldwide</t>
        </is>
      </c>
      <c r="W153" s="43" t="inlineStr">
        <is>
          <t>No</t>
        </is>
      </c>
      <c r="X153" s="44" t="inlineStr">
        <is>
          <t>https://www.gsma.com/solutions-and-impact/connectivity-for-good/public-policy/mobile-policy-handbook/consumer-protection/mandatory-registration-of-prepaid-sims/</t>
        </is>
      </c>
      <c r="AI153">
        <f>SUM(Y153:AH153)</f>
        <v/>
      </c>
      <c r="AJ153">
        <f>100-(AI153*(AI153/20))</f>
        <v/>
      </c>
      <c r="AK153" s="24">
        <f>100-(AJ153*(AJ153/MAX(AJ141:AJ153)))</f>
        <v/>
      </c>
      <c r="AL153" t="n">
        <v>184</v>
      </c>
    </row>
    <row r="154">
      <c r="A154" s="33" t="n">
        <v>11</v>
      </c>
      <c r="B154" s="33" t="inlineStr">
        <is>
          <t>Austria</t>
        </is>
      </c>
      <c r="C154" s="33" t="inlineStr">
        <is>
          <t>Europe</t>
        </is>
      </c>
      <c r="D154" s="33" t="inlineStr">
        <is>
          <t>EU</t>
        </is>
      </c>
      <c r="E154" s="33" t="inlineStr">
        <is>
          <t>In force (DSG 2000; GDPR-based)</t>
        </is>
      </c>
      <c r="F154" s="34" t="inlineStr">
        <is>
          <t>https://unctad.org/page/data-protection-and-privacy-legislation-worldwide</t>
        </is>
      </c>
      <c r="G154" s="33" t="inlineStr">
        <is>
          <t>Strong/Independent (DSB)</t>
        </is>
      </c>
      <c r="H154" s="34" t="inlineStr">
        <is>
          <t>https://unctad.org/page/data-protection-and-privacy-legislation-worldwide</t>
        </is>
      </c>
      <c r="I154" s="33" t="inlineStr">
        <is>
          <t>Yes (child consent + EU COP initiatives)</t>
        </is>
      </c>
      <c r="J154" s="34" t="inlineStr">
        <is>
          <t>https://unctad.org/page/data-protection-and-privacy-legislation-worldwide; https://www.unicef.org/austria/</t>
        </is>
      </c>
      <c r="K154" s="33" t="inlineStr">
        <is>
          <t>Partial (child protection integrated in digital strategy)</t>
        </is>
      </c>
      <c r="L154" s="34" t="inlineStr">
        <is>
          <t>https://www.unicef.org/austria/</t>
        </is>
      </c>
      <c r="M154" s="33" t="inlineStr">
        <is>
          <t>Yes (GDPR scope)</t>
        </is>
      </c>
      <c r="N154" s="34" t="inlineStr">
        <is>
          <t>https://unctad.org/page/data-protection-and-privacy-legislation-worldwide</t>
        </is>
      </c>
      <c r="O154" s="33" t="inlineStr">
        <is>
          <t>Equality/Marriage (2019 Constitutional Court ruling)</t>
        </is>
      </c>
      <c r="P154" s="34" t="inlineStr">
        <is>
          <t>https://www.humandignitytrust.org/country-profile/austria/; https://ilga.org/ilga-world-maps/</t>
        </is>
      </c>
      <c r="Q154" s="33" t="inlineStr">
        <is>
          <t>No/Annulled</t>
        </is>
      </c>
      <c r="R154" s="34" t="inlineStr">
        <is>
          <t>https://ilga.org/ilga-world-maps/</t>
        </is>
      </c>
      <c r="S154" s="33" t="inlineStr">
        <is>
          <t>Adopted (Austrian AI Strategy 2021; aligned with EU AI Act developments)</t>
        </is>
      </c>
      <c r="T154" s="34" t="inlineStr">
        <is>
          <t>https://en.unesco.org/artificial-intelligence/observatory/policies?country=AT; https://www.unesco.org/ethics-ai/en/global-hub</t>
        </is>
      </c>
      <c r="U154" s="33" t="inlineStr">
        <is>
          <t>Yes (GDPR Art. 35 DPIA)</t>
        </is>
      </c>
      <c r="V154" s="34" t="inlineStr">
        <is>
          <t>https://gdpr-info.eu/art-35-gdpr/</t>
        </is>
      </c>
      <c r="W154" s="33" t="inlineStr">
        <is>
          <t>No (ID required, no biometrics)</t>
        </is>
      </c>
      <c r="X154" s="34" t="inlineStr">
        <is>
          <t>https://www.gsma.com/solutions-and-impact/connectivity-for-good/public-policy/mobile-policy-handbook/consumer-protection/mandatory-registration-of-prepaid-sims/; https://privacyinternational.org/learn/sim-card-registration</t>
        </is>
      </c>
      <c r="AI154">
        <f>SUM(Y154:AH154)</f>
        <v/>
      </c>
      <c r="AJ154">
        <f>100-(AI154*(AI154/20))</f>
        <v/>
      </c>
      <c r="AK154" s="24">
        <f>100-(AJ154*(AJ154/MAX(AJ145:AJ154)))</f>
        <v/>
      </c>
      <c r="AL154" t="n">
        <v>11</v>
      </c>
    </row>
    <row r="155">
      <c r="A155" s="33" t="n">
        <v>18</v>
      </c>
      <c r="B155" s="33" t="inlineStr">
        <is>
          <t>Belgium</t>
        </is>
      </c>
      <c r="C155" s="33" t="inlineStr">
        <is>
          <t>Europe</t>
        </is>
      </c>
      <c r="D155" s="33" t="inlineStr">
        <is>
          <t>EU</t>
        </is>
      </c>
      <c r="E155" s="33" t="inlineStr">
        <is>
          <t>In force (GDPR; Belgian Data Protection Act 2018)</t>
        </is>
      </c>
      <c r="F155" s="34" t="inlineStr">
        <is>
          <t>https://unctad.org/page/data-protection-and-privacy-legislation-worldwide</t>
        </is>
      </c>
      <c r="G155" s="33" t="inlineStr">
        <is>
          <t>Strong/Independent (APD/GBA)</t>
        </is>
      </c>
      <c r="H155" s="34" t="inlineStr">
        <is>
          <t>https://unctad.org/page/data-protection-and-privacy-legislation-worldwide</t>
        </is>
      </c>
      <c r="I155" s="33" t="inlineStr">
        <is>
          <t>Yes (GDPR + COP initiatives with EU/UNICEF)</t>
        </is>
      </c>
      <c r="J155" s="34" t="inlineStr">
        <is>
          <t>https://unctad.org/page/data-protection-and-privacy-legislation-worldwide; https://www.unicef.org/belgium/</t>
        </is>
      </c>
      <c r="K155" s="33" t="inlineStr">
        <is>
          <t>Partial (national COP actions under EU programs)</t>
        </is>
      </c>
      <c r="L155" s="34" t="inlineStr">
        <is>
          <t>https://www.unicef.org/belgium/</t>
        </is>
      </c>
      <c r="M155" s="33" t="inlineStr">
        <is>
          <t>Yes (GDPR scope)</t>
        </is>
      </c>
      <c r="N155" s="34" t="inlineStr">
        <is>
          <t>https://unctad.org/page/data-protection-and-privacy-legislation-worldwide</t>
        </is>
      </c>
      <c r="O155" s="33" t="inlineStr">
        <is>
          <t>Equality/Marriage (legal since 2003)</t>
        </is>
      </c>
      <c r="P155" s="34" t="inlineStr">
        <is>
          <t>https://www.humandignitytrust.org/country-profile/belgium/; https://ilga.org/ilga-world-maps/</t>
        </is>
      </c>
      <c r="Q155" s="33" t="inlineStr">
        <is>
          <t>No/Annulled</t>
        </is>
      </c>
      <c r="R155" s="34" t="inlineStr">
        <is>
          <t>https://ilga.org/ilga-world-maps/</t>
        </is>
      </c>
      <c r="S155" s="33" t="inlineStr">
        <is>
          <t>Adopted (AI4Belgium Strategy 2019; EU AI Act alignment)</t>
        </is>
      </c>
      <c r="T155" s="34" t="inlineStr">
        <is>
          <t>https://en.unesco.org/artificial-intelligence/observatory/policies?country=BE; https://www.unesco.org/ethics-ai/en/global-hub</t>
        </is>
      </c>
      <c r="U155" s="33" t="inlineStr">
        <is>
          <t>Yes (GDPR Art. 35 DPIA)</t>
        </is>
      </c>
      <c r="V155" s="34" t="inlineStr">
        <is>
          <t>https://gdpr-info.eu/art-35-gdpr/</t>
        </is>
      </c>
      <c r="W155" s="33" t="inlineStr">
        <is>
          <t>No (ID required; no biometrics)</t>
        </is>
      </c>
      <c r="X155" s="34" t="inlineStr">
        <is>
          <t>https://www.gsma.com/solutions-and-impact/connectivity-for-good/public-policy/mobile-policy-handbook/consumer-protection/mandatory-registration-of-prepaid-sims/; https://privacyinternational.org/learn/sim-card-registration</t>
        </is>
      </c>
      <c r="AI155">
        <f>SUM(Y155:AH155)</f>
        <v/>
      </c>
      <c r="AJ155">
        <f>100-(AI155*(AI155/20))</f>
        <v/>
      </c>
      <c r="AK155" s="24">
        <f>100-(AJ155*(AJ155/MAX(AJ140:AJ155)))</f>
        <v/>
      </c>
      <c r="AL155" t="n">
        <v>18</v>
      </c>
    </row>
    <row r="156">
      <c r="A156" s="33" t="n">
        <v>27</v>
      </c>
      <c r="B156" s="33" t="inlineStr">
        <is>
          <t>Bulgaria</t>
        </is>
      </c>
      <c r="C156" s="33" t="inlineStr">
        <is>
          <t>Europe</t>
        </is>
      </c>
      <c r="D156" s="33" t="inlineStr">
        <is>
          <t>EU</t>
        </is>
      </c>
      <c r="E156" s="33" t="inlineStr">
        <is>
          <t>In force (GDPR + Bulgarian PDPA 2002, amended 2018)</t>
        </is>
      </c>
      <c r="F156" s="34" t="inlineStr">
        <is>
          <t>https://unctad.org/page/data-protection-and-privacy-legislation-worldwide</t>
        </is>
      </c>
      <c r="G156" s="33" t="inlineStr">
        <is>
          <t>Strong/Independent (CPDP)</t>
        </is>
      </c>
      <c r="H156" s="34" t="inlineStr">
        <is>
          <t>https://unctad.org/page/data-protection-and-privacy-legislation-worldwide</t>
        </is>
      </c>
      <c r="I156" s="33" t="inlineStr">
        <is>
          <t>Yes (GDPR Art. 8 consent age 14; EU COP initiatives)</t>
        </is>
      </c>
      <c r="J156" s="34" t="inlineStr">
        <is>
          <t>https://unctad.org/page/data-protection-and-privacy-legislation-worldwide; https://www.unicef.org/bulgaria/</t>
        </is>
      </c>
      <c r="K156" s="33" t="inlineStr">
        <is>
          <t>Partial (EU/UNICEF COP projects; no national strategy)</t>
        </is>
      </c>
      <c r="L156" s="34" t="inlineStr">
        <is>
          <t>https://www.unicef.org/bulgaria/</t>
        </is>
      </c>
      <c r="M156" s="33" t="inlineStr">
        <is>
          <t>Yes (GDPR scope)</t>
        </is>
      </c>
      <c r="N156" s="34" t="inlineStr">
        <is>
          <t>https://unctad.org/page/data-protection-and-privacy-legislation-worldwide</t>
        </is>
      </c>
      <c r="O156" s="33" t="inlineStr">
        <is>
          <t>Legal (no criminalisation; no marriage equality, civil unions not recognised)</t>
        </is>
      </c>
      <c r="P156" s="34" t="inlineStr">
        <is>
          <t>https://www.humandignitytrust.org/country-profile/bulgaria/; https://ilga.org/ilga-world-maps/</t>
        </is>
      </c>
      <c r="Q156" s="33" t="inlineStr">
        <is>
          <t>No/Annulled</t>
        </is>
      </c>
      <c r="R156" s="34" t="inlineStr">
        <is>
          <t>https://ilga.org/ilga-world-maps/</t>
        </is>
      </c>
      <c r="S156" s="33" t="inlineStr">
        <is>
          <t>Adopted (National AI Development Concept 2020; EU AI Act alignment)</t>
        </is>
      </c>
      <c r="T156" s="34" t="inlineStr">
        <is>
          <t>https://en.unesco.org/artificial-intelligence/observatory/policies?country=BG; https://www.unesco.org/ethics-ai/en/global-hub</t>
        </is>
      </c>
      <c r="U156" s="33" t="inlineStr">
        <is>
          <t>Yes (GDPR Art. 35 DPIA)</t>
        </is>
      </c>
      <c r="V156" s="34" t="inlineStr">
        <is>
          <t>https://gdpr-info.eu/art-35-gdpr/</t>
        </is>
      </c>
      <c r="W156" s="33" t="inlineStr">
        <is>
          <t>No (ID required; no biometrics)</t>
        </is>
      </c>
      <c r="X156" s="34" t="inlineStr">
        <is>
          <t>https://www.gsma.com/solutions-and-impact/connectivity-for-good/public-policy/mobile-policy-handbook/consumer-protection/mandatory-registration-of-prepaid-sims/; https://privacyinternational.org/learn/sim-card-registration</t>
        </is>
      </c>
      <c r="AI156">
        <f>SUM(Y156:AH156)</f>
        <v/>
      </c>
      <c r="AJ156">
        <f>100-(AI156*(AI156/20))</f>
        <v/>
      </c>
      <c r="AK156" s="24">
        <f>100-(AJ156*(AJ156/MAX(AJ141:AJ156)))</f>
        <v/>
      </c>
      <c r="AL156" t="n">
        <v>27</v>
      </c>
    </row>
    <row r="157">
      <c r="A157" s="33" t="n">
        <v>42</v>
      </c>
      <c r="B157" s="33" t="inlineStr">
        <is>
          <t>Croatia</t>
        </is>
      </c>
      <c r="C157" s="33" t="inlineStr">
        <is>
          <t>Europe</t>
        </is>
      </c>
      <c r="D157" s="33" t="inlineStr">
        <is>
          <t>EU</t>
        </is>
      </c>
      <c r="E157" s="33" t="inlineStr">
        <is>
          <t>In force (GDPR; Croatian Act on Implementation of GDPR 2018)</t>
        </is>
      </c>
      <c r="F157" s="34" t="inlineStr">
        <is>
          <t>https://unctad.org/page/data-protection-and-privacy-legislation-worldwide</t>
        </is>
      </c>
      <c r="G157" s="33" t="inlineStr">
        <is>
          <t>Strong/Independent (Croatian Personal Data Protection Agency - AZOP)</t>
        </is>
      </c>
      <c r="H157" s="34" t="inlineStr">
        <is>
          <t>https://unctad.org/page/data-protection-and-privacy-legislation-worldwide</t>
        </is>
      </c>
      <c r="I157" s="33" t="inlineStr">
        <is>
          <t>Yes (EU COP frameworks; national Safer Internet Centre)</t>
        </is>
      </c>
      <c r="J157" s="34" t="inlineStr">
        <is>
          <t>https://unctad.org/page/data-protection-and-privacy-legislation-worldwide; https://www.unicef.org/croatia/</t>
        </is>
      </c>
      <c r="K157" s="33" t="inlineStr">
        <is>
          <t>Yes (Safer Internet Centre, EU/UNICEF COP initiatives)</t>
        </is>
      </c>
      <c r="L157" s="34" t="inlineStr">
        <is>
          <t>https://www.unicef.org/croatia/</t>
        </is>
      </c>
      <c r="M157" s="33" t="inlineStr">
        <is>
          <t>Yes (GDPR scope)</t>
        </is>
      </c>
      <c r="N157" s="34" t="inlineStr">
        <is>
          <t>https://unctad.org/page/data-protection-and-privacy-legislation-worldwide</t>
        </is>
      </c>
      <c r="O157" s="33" t="inlineStr">
        <is>
          <t>Legal (registered partnerships since 2014; marriage not open)</t>
        </is>
      </c>
      <c r="P157" s="34" t="inlineStr">
        <is>
          <t>https://www.humandignitytrust.org/country-profile/croatia/; https://ilga.org/ilga-world-maps/</t>
        </is>
      </c>
      <c r="Q157" s="33" t="inlineStr">
        <is>
          <t>No/Annulled</t>
        </is>
      </c>
      <c r="R157" s="34" t="inlineStr">
        <is>
          <t>https://ilga.org/ilga-world-maps/</t>
        </is>
      </c>
      <c r="S157" s="33" t="inlineStr">
        <is>
          <t>Adopted (National AI Strategy 2021–2025; aligned with EU AI Act)</t>
        </is>
      </c>
      <c r="T157" s="34" t="inlineStr">
        <is>
          <t>https://en.unesco.org/artificial-intelligence/observatory/policies?country=HR; https://www.unesco.org/ethics-ai/en/global-hub</t>
        </is>
      </c>
      <c r="U157" s="33" t="inlineStr">
        <is>
          <t>Yes (GDPR Art. 35 DPIA requirement)</t>
        </is>
      </c>
      <c r="V157" s="34" t="inlineStr">
        <is>
          <t>https://gdpr-info.eu/art-35-gdpr/</t>
        </is>
      </c>
      <c r="W157" s="33" t="inlineStr">
        <is>
          <t>No (ID required, no biometrics)</t>
        </is>
      </c>
      <c r="X157" s="34" t="inlineStr">
        <is>
          <t>https://www.gsma.com/solutions-and-impact/connectivity-for-good/public-policy/mobile-policy-handbook/consumer-protection/mandatory-registration-of-prepaid-sims/; https://privacyinternational.org/learn/sim-card-registration</t>
        </is>
      </c>
      <c r="AI157">
        <f>SUM(Y157:AH157)</f>
        <v/>
      </c>
      <c r="AJ157">
        <f>100-(AI157*(AI157/20))</f>
        <v/>
      </c>
      <c r="AK157" s="24">
        <f>100-(AJ157*(AJ157/MAX(AJ142:AJ157)))</f>
        <v/>
      </c>
      <c r="AL157" t="n">
        <v>42</v>
      </c>
    </row>
    <row r="158">
      <c r="A158" s="33" t="n">
        <v>44</v>
      </c>
      <c r="B158" s="33" t="inlineStr">
        <is>
          <t>Cyprus</t>
        </is>
      </c>
      <c r="C158" s="33" t="inlineStr">
        <is>
          <t>Europe</t>
        </is>
      </c>
      <c r="D158" s="33" t="inlineStr">
        <is>
          <t>EU</t>
        </is>
      </c>
      <c r="E158" s="33" t="inlineStr">
        <is>
          <t>In force (GDPR; Cyprus Law 125(I)/2018 on Implementation)</t>
        </is>
      </c>
      <c r="F158" s="34" t="inlineStr">
        <is>
          <t>https://unctad.org/page/data-protection-and-privacy-legislation-worldwide</t>
        </is>
      </c>
      <c r="G158" s="33" t="inlineStr">
        <is>
          <t>Strong/Independent (Office of the Commissioner for Personal Data Protection)</t>
        </is>
      </c>
      <c r="H158" s="34" t="inlineStr">
        <is>
          <t>https://unctad.org/page/data-protection-and-privacy-legislation-worldwide</t>
        </is>
      </c>
      <c r="I158" s="33" t="inlineStr">
        <is>
          <t>Yes (COP initiatives via national Safer Internet Centre)</t>
        </is>
      </c>
      <c r="J158" s="34" t="inlineStr">
        <is>
          <t>https://unctad.org/page/data-protection-and-privacy-legislation-worldwide; https://www.unicef.org/cyprus/</t>
        </is>
      </c>
      <c r="K158" s="33" t="inlineStr">
        <is>
          <t>Yes (EU/UNICEF COP programs)</t>
        </is>
      </c>
      <c r="L158" s="34" t="inlineStr">
        <is>
          <t>https://www.unicef.org/cyprus/</t>
        </is>
      </c>
      <c r="M158" s="33" t="inlineStr">
        <is>
          <t>Yes (GDPR scope)</t>
        </is>
      </c>
      <c r="N158" s="34" t="inlineStr">
        <is>
          <t>https://unctad.org/page/data-protection-and-privacy-legislation-worldwide</t>
        </is>
      </c>
      <c r="O158" s="33" t="inlineStr">
        <is>
          <t>Legal (same-sex civil unions since 2015; marriage not open)</t>
        </is>
      </c>
      <c r="P158" s="34" t="inlineStr">
        <is>
          <t>https://www.humandignitytrust.org/country-profile/cyprus/; https://ilga.org/ilga-world-maps/</t>
        </is>
      </c>
      <c r="Q158" s="33" t="inlineStr">
        <is>
          <t>No/Annulled</t>
        </is>
      </c>
      <c r="R158" s="34" t="inlineStr">
        <is>
          <t>https://ilga.org/ilga-world-maps/</t>
        </is>
      </c>
      <c r="S158" s="33" t="inlineStr">
        <is>
          <t>Adopted (National AI Strategy 2020; aligned with EU AI Act)</t>
        </is>
      </c>
      <c r="T158" s="34" t="inlineStr">
        <is>
          <t>https://en.unesco.org/artificial-intelligence/observatory/policies?country=CY; https://www.unesco.org/ethics-ai/en/global-hub</t>
        </is>
      </c>
      <c r="U158" s="33" t="inlineStr">
        <is>
          <t>Yes (GDPR Art. 35 DPIA requirement)</t>
        </is>
      </c>
      <c r="V158" s="34" t="inlineStr">
        <is>
          <t>https://gdpr-info.eu/art-35-gdpr/</t>
        </is>
      </c>
      <c r="W158" s="33" t="inlineStr">
        <is>
          <t>No (ID required, no biometrics)</t>
        </is>
      </c>
      <c r="X158" s="34" t="inlineStr">
        <is>
          <t>https://www.gsma.com/solutions-and-impact/connectivity-for-good/public-policy/mobile-policy-handbook/consumer-protection/mandatory-registration-of-prepaid-sims/; https://privacyinternational.org/learn/sim-card-registration</t>
        </is>
      </c>
      <c r="AI158">
        <f>SUM(Y158:AH158)</f>
        <v/>
      </c>
      <c r="AJ158">
        <f>100-(AI158*(AI158/20))</f>
        <v/>
      </c>
      <c r="AK158" s="24">
        <f>100-(AJ158*(AJ158/MAX(AJ143:AJ158)))</f>
        <v/>
      </c>
      <c r="AL158" t="n">
        <v>44</v>
      </c>
    </row>
    <row r="159">
      <c r="A159" s="33" t="n">
        <v>45</v>
      </c>
      <c r="B159" s="33" t="inlineStr">
        <is>
          <t>Czechia</t>
        </is>
      </c>
      <c r="C159" s="33" t="inlineStr">
        <is>
          <t>Europe</t>
        </is>
      </c>
      <c r="D159" s="33" t="inlineStr">
        <is>
          <t>EU</t>
        </is>
      </c>
      <c r="E159" s="33" t="inlineStr">
        <is>
          <t>In force (GDPR; Act No. 110/2019 on Personal Data Processing)</t>
        </is>
      </c>
      <c r="F159" s="34" t="inlineStr">
        <is>
          <t>https://unctad.org/page/data-protection-and-privacy-legislation-worldwide</t>
        </is>
      </c>
      <c r="G159" s="33" t="inlineStr">
        <is>
          <t>Strong/Independent (Office for Personal Data Protection - UOOU)</t>
        </is>
      </c>
      <c r="H159" s="34" t="inlineStr">
        <is>
          <t>https://unctad.org/page/data-protection-and-privacy-legislation-worldwide</t>
        </is>
      </c>
      <c r="I159" s="33" t="inlineStr">
        <is>
          <t>Yes (COP protections, Safer Internet Centre, GDPR-based)</t>
        </is>
      </c>
      <c r="J159" s="34" t="inlineStr">
        <is>
          <t>https://unctad.org/page/data-protection-and-privacy-legislation-worldwide; https://www.unicef.org/czechia/</t>
        </is>
      </c>
      <c r="K159" s="33" t="inlineStr">
        <is>
          <t>Yes (EU Safer Internet Centre + UNICEF)</t>
        </is>
      </c>
      <c r="L159" s="34" t="inlineStr">
        <is>
          <t>https://www.unicef.org/czechia/</t>
        </is>
      </c>
      <c r="M159" s="33" t="inlineStr">
        <is>
          <t>Yes (GDPR scope)</t>
        </is>
      </c>
      <c r="N159" s="34" t="inlineStr">
        <is>
          <t>https://unctad.org/page/data-protection-and-privacy-legislation-worldwide</t>
        </is>
      </c>
      <c r="O159" s="33" t="inlineStr">
        <is>
          <t>Legal (registered partnerships; marriage not open)</t>
        </is>
      </c>
      <c r="P159" s="34" t="inlineStr">
        <is>
          <t>https://www.humandignitytrust.org/country-profile/czechia/; https://ilga.org/ilga-world-maps/</t>
        </is>
      </c>
      <c r="Q159" s="33" t="inlineStr">
        <is>
          <t>No/Annulled</t>
        </is>
      </c>
      <c r="R159" s="34" t="inlineStr">
        <is>
          <t>https://ilga.org/ilga-world-maps/</t>
        </is>
      </c>
      <c r="S159" s="33" t="inlineStr">
        <is>
          <t>Adopted (National AI Strategy 2019; aligned with EU AI Act)</t>
        </is>
      </c>
      <c r="T159" s="34" t="inlineStr">
        <is>
          <t>https://en.unesco.org/artificial-intelligence/observatory/policies?country=CZ; https://www.unesco.org/ethics-ai/en/global-hub</t>
        </is>
      </c>
      <c r="U159" s="33" t="inlineStr">
        <is>
          <t>Yes (GDPR Art. 35 DPIA requirement)</t>
        </is>
      </c>
      <c r="V159" s="34" t="inlineStr">
        <is>
          <t>https://gdpr-info.eu/art-35-gdpr/</t>
        </is>
      </c>
      <c r="W159" s="33" t="inlineStr">
        <is>
          <t>No (ID required, no biometrics)</t>
        </is>
      </c>
      <c r="X159" s="34" t="inlineStr">
        <is>
          <t>https://www.gsma.com/solutions-and-impact/connectivity-for-good/public-policy/mobile-policy-handbook/consumer-protection/mandatory-registration-of-prepaid-sims/; https://privacyinternational.org/learn/sim-card-registration</t>
        </is>
      </c>
      <c r="AI159">
        <f>SUM(Y159:AH159)</f>
        <v/>
      </c>
      <c r="AJ159">
        <f>100-(AI159*(AI159/20))</f>
        <v/>
      </c>
      <c r="AK159" s="24">
        <f>100-(AJ159*(AJ159/MAX(AJ144:AJ159)))</f>
        <v/>
      </c>
      <c r="AL159" t="n">
        <v>45</v>
      </c>
    </row>
    <row r="160">
      <c r="A160" s="33" t="n">
        <v>49</v>
      </c>
      <c r="B160" s="33" t="inlineStr">
        <is>
          <t>Denmark</t>
        </is>
      </c>
      <c r="C160" s="33" t="inlineStr">
        <is>
          <t>Europe</t>
        </is>
      </c>
      <c r="D160" s="33" t="inlineStr">
        <is>
          <t>EU</t>
        </is>
      </c>
      <c r="E160" s="33" t="inlineStr">
        <is>
          <t>In force (GDPR; Data Protection Act 2018)</t>
        </is>
      </c>
      <c r="F160" s="34" t="inlineStr">
        <is>
          <t>https://unctad.org/page/data-protection-and-privacy-legislation-worldwide</t>
        </is>
      </c>
      <c r="G160" s="33" t="inlineStr">
        <is>
          <t>Strong/Independent</t>
        </is>
      </c>
      <c r="H160" s="34" t="inlineStr">
        <is>
          <t>https://unctad.org/page/data-protection-and-privacy-legislation-worldwide</t>
        </is>
      </c>
      <c r="I160" s="33" t="inlineStr">
        <is>
          <t>Yes (GDPR COP + national programmes)</t>
        </is>
      </c>
      <c r="J160" s="34" t="inlineStr">
        <is>
          <t>https://unctad.org/page/data-protection-and-privacy-legislation-worldwide; https://www.unicef.org/denmark/</t>
        </is>
      </c>
      <c r="K160" s="33" t="inlineStr">
        <is>
          <t>Yes (EU Safer Internet + national initiatives)</t>
        </is>
      </c>
      <c r="L160" s="34" t="inlineStr">
        <is>
          <t>https://www.unicef.org/denmark/</t>
        </is>
      </c>
      <c r="M160" s="33" t="inlineStr">
        <is>
          <t>Yes (GDPR)</t>
        </is>
      </c>
      <c r="N160" s="34" t="inlineStr">
        <is>
          <t>https://unctad.org/page/data-protection-and-privacy-legislation-worldwide</t>
        </is>
      </c>
      <c r="O160" s="33" t="inlineStr">
        <is>
          <t>Equality/Marriage</t>
        </is>
      </c>
      <c r="P160" s="34" t="inlineStr">
        <is>
          <t>https://www.humandignitytrust.org/country-profile/denmark/; https://ilga.org/ilga-world-maps/</t>
        </is>
      </c>
      <c r="Q160" s="33" t="inlineStr">
        <is>
          <t>No/Annulled</t>
        </is>
      </c>
      <c r="R160" s="34" t="inlineStr">
        <is>
          <t>https://ilga.org/ilga-world-maps/</t>
        </is>
      </c>
      <c r="S160" s="33" t="inlineStr">
        <is>
          <t>Adopted (National AI Strategy 2019; EU AI Act alignment)</t>
        </is>
      </c>
      <c r="T160" s="34" t="inlineStr">
        <is>
          <t>https://en.unesco.org/artificial-intelligence/observatory/policies?country=DK; https://www.unesco.org/ethics-ai/en/global-hub</t>
        </is>
      </c>
      <c r="U160" s="33" t="inlineStr">
        <is>
          <t>Yes (GDPR Art. 35)</t>
        </is>
      </c>
      <c r="V160" s="34" t="inlineStr">
        <is>
          <t>https://gdpr-info.eu/art-35-gdpr/</t>
        </is>
      </c>
      <c r="W160" s="33" t="inlineStr">
        <is>
          <t>No (ID required, no biometrics)</t>
        </is>
      </c>
      <c r="X160" s="34" t="inlineStr">
        <is>
          <t>https://www.gsma.com/solutions-and-impact/connectivity-for-good/public-policy/mobile-policy-handbook/consumer-protection/mandatory-registration-of-prepaid-sims/; https://privacyinternational.org/learn/sim-card-registration</t>
        </is>
      </c>
      <c r="AI160">
        <f>SUM(Y160:AH160)</f>
        <v/>
      </c>
      <c r="AJ160">
        <f>100-(AI160*(AI160/20))</f>
        <v/>
      </c>
      <c r="AK160" s="24">
        <f>100-(AJ160*(AJ160/MAX(AJ145:AJ160)))</f>
        <v/>
      </c>
      <c r="AL160" t="n">
        <v>49</v>
      </c>
    </row>
    <row r="161">
      <c r="A161" s="33" t="n">
        <v>58</v>
      </c>
      <c r="B161" s="33" t="inlineStr">
        <is>
          <t>Estonia</t>
        </is>
      </c>
      <c r="C161" s="33" t="inlineStr">
        <is>
          <t>Europe</t>
        </is>
      </c>
      <c r="D161" s="33" t="inlineStr">
        <is>
          <t>EU</t>
        </is>
      </c>
      <c r="E161" s="33" t="inlineStr">
        <is>
          <t>In force (GDPR + Estonia Data Protection Act)</t>
        </is>
      </c>
      <c r="F161" s="34" t="inlineStr">
        <is>
          <t>https://unctad.org/page/data-protection-and-privacy-legislation-worldwide</t>
        </is>
      </c>
      <c r="G161" s="33" t="inlineStr">
        <is>
          <t>Strong/Independent (Data Protection Inspectorate)</t>
        </is>
      </c>
      <c r="H161" s="34" t="inlineStr">
        <is>
          <t>https://unctad.org/page/data-protection-and-privacy-legislation-worldwide</t>
        </is>
      </c>
      <c r="I161" s="33" t="inlineStr">
        <is>
          <t>Yes (GDPR COP rules + national programmes)</t>
        </is>
      </c>
      <c r="J161" s="34" t="inlineStr">
        <is>
          <t>https://unctad.org/page/data-protection-and-privacy-legislation-worldwide; https://www.unicef.org/estonia/</t>
        </is>
      </c>
      <c r="K161" s="33" t="inlineStr">
        <is>
          <t>Yes (EU Safer Internet + national initiatives)</t>
        </is>
      </c>
      <c r="L161" s="34" t="inlineStr">
        <is>
          <t>https://www.unicef.org/estonia/</t>
        </is>
      </c>
      <c r="M161" s="33" t="inlineStr">
        <is>
          <t>Yes (covered under GDPR)</t>
        </is>
      </c>
      <c r="N161" s="34" t="inlineStr">
        <is>
          <t>https://unctad.org/page/data-protection-and-privacy-legislation-worldwide</t>
        </is>
      </c>
      <c r="O161" s="33" t="inlineStr">
        <is>
          <t>Equality/Marriage (effective 2024)</t>
        </is>
      </c>
      <c r="P161" s="34" t="inlineStr">
        <is>
          <t>https://www.humandignitytrust.org/country-profile/estonia/; https://ilga.org/ilga-world-maps/</t>
        </is>
      </c>
      <c r="Q161" s="33" t="inlineStr">
        <is>
          <t>No</t>
        </is>
      </c>
      <c r="R161" s="34" t="inlineStr">
        <is>
          <t>https://ilga.org/ilga-world-maps/</t>
        </is>
      </c>
      <c r="S161" s="33" t="inlineStr">
        <is>
          <t>Adopted (AI Strategy 'Kratts', aligned with EU AI Act)</t>
        </is>
      </c>
      <c r="T161" s="34" t="inlineStr">
        <is>
          <t>https://en.unesco.org/artificial-intelligence/observatory/policies?country=EE; https://www.unesco.org/ethics-ai/en/global-hub</t>
        </is>
      </c>
      <c r="U161" s="33" t="inlineStr">
        <is>
          <t>Yes (GDPR Art. 35)</t>
        </is>
      </c>
      <c r="V161" s="34" t="inlineStr">
        <is>
          <t>https://gdpr-info.eu/art-35-gdpr/</t>
        </is>
      </c>
      <c r="W161" s="33" t="inlineStr">
        <is>
          <t>No (SIM registration required; no biometrics)</t>
        </is>
      </c>
      <c r="X161" s="34" t="inlineStr">
        <is>
          <t>https://www.gsma.com/solutions-and-impact/connectivity-for-good/public-policy/mobile-policy-handbook/consumer-protection/mandatory-registration-of-prepaid-sims/; https://privacyinternational.org/learn/sim-card-registration</t>
        </is>
      </c>
      <c r="AI161">
        <f>SUM(Y161:AH161)</f>
        <v/>
      </c>
      <c r="AJ161">
        <f>100-(AI161*(AI161/20))</f>
        <v/>
      </c>
      <c r="AK161" s="24">
        <f>100-(AJ161*(AJ161/MAX(AJ146:AJ161)))</f>
        <v/>
      </c>
      <c r="AL161" t="n">
        <v>58</v>
      </c>
    </row>
    <row r="162">
      <c r="A162" s="33" t="n">
        <v>62</v>
      </c>
      <c r="B162" s="33" t="inlineStr">
        <is>
          <t>Finland</t>
        </is>
      </c>
      <c r="C162" s="33" t="inlineStr">
        <is>
          <t>Europe</t>
        </is>
      </c>
      <c r="D162" s="33" t="inlineStr">
        <is>
          <t>EU</t>
        </is>
      </c>
      <c r="E162" s="33" t="inlineStr">
        <is>
          <t>In force (GDPR + Finnish Data Protection Act)</t>
        </is>
      </c>
      <c r="F162" s="34" t="inlineStr">
        <is>
          <t>https://unctad.org/page/data-protection-and-privacy-legislation-worldwide</t>
        </is>
      </c>
      <c r="G162" s="33" t="inlineStr">
        <is>
          <t>Strong/Independent (Office of Data Protection Ombudsman)</t>
        </is>
      </c>
      <c r="H162" s="34" t="inlineStr">
        <is>
          <t>https://unctad.org/page/data-protection-and-privacy-legislation-worldwide</t>
        </is>
      </c>
      <c r="I162" s="33" t="inlineStr">
        <is>
          <t>Yes (GDPR + Safer Internet Centre)</t>
        </is>
      </c>
      <c r="J162" s="34" t="inlineStr">
        <is>
          <t>https://unctad.org/page/data-protection-and-privacy-legislation-worldwide; https://www.unicef.org/finland/</t>
        </is>
      </c>
      <c r="K162" s="33" t="inlineStr">
        <is>
          <t>Yes (national COP programmes + EU initiatives)</t>
        </is>
      </c>
      <c r="L162" s="34" t="inlineStr">
        <is>
          <t>https://www.unicef.org/finland/</t>
        </is>
      </c>
      <c r="M162" s="33" t="inlineStr">
        <is>
          <t>Yes</t>
        </is>
      </c>
      <c r="N162" s="34" t="inlineStr">
        <is>
          <t>https://unctad.org/page/data-protection-and-privacy-legislation-worldwide</t>
        </is>
      </c>
      <c r="O162" s="33" t="inlineStr">
        <is>
          <t>Equality/Marriage</t>
        </is>
      </c>
      <c r="P162" s="34" t="inlineStr">
        <is>
          <t>https://www.humandignitytrust.org/country-profile/finland/; https://ilga.org/ilga-world-maps/</t>
        </is>
      </c>
      <c r="Q162" s="33" t="inlineStr">
        <is>
          <t>No</t>
        </is>
      </c>
      <c r="R162" s="34" t="inlineStr">
        <is>
          <t>https://ilga.org/ilga-world-maps/</t>
        </is>
      </c>
      <c r="S162" s="33" t="inlineStr">
        <is>
          <t>Adopted (AuroraAI Strategy, 2017+)</t>
        </is>
      </c>
      <c r="T162" s="34" t="inlineStr">
        <is>
          <t>https://en.unesco.org/artificial-intelligence/observatory/policies?country=FI; https://www.unesco.org/ethics-ai/en/global-hub</t>
        </is>
      </c>
      <c r="U162" s="33" t="inlineStr">
        <is>
          <t>Yes (GDPR Art. 35)</t>
        </is>
      </c>
      <c r="V162" s="34" t="inlineStr">
        <is>
          <t>https://gdpr-info.eu/art-35-gdpr/</t>
        </is>
      </c>
      <c r="W162" s="33" t="inlineStr">
        <is>
          <t>No (ID required; no biometrics)</t>
        </is>
      </c>
      <c r="X162" s="34" t="inlineStr">
        <is>
          <t>https://www.gsma.com/solutions-and-impact/connectivity-for-good/public-policy/mobile-policy-handbook/consumer-protection/mandatory-registration-of-prepaid-sims/; https://privacyinternational.org/learn/sim-card-registration</t>
        </is>
      </c>
      <c r="AI162">
        <f>SUM(Y162:AH162)</f>
        <v/>
      </c>
      <c r="AJ162">
        <f>100-(AI162*(AI162/20))</f>
        <v/>
      </c>
      <c r="AK162" s="24">
        <f>100-(AJ162*(AJ162/MAX(AJ147:AJ162)))</f>
        <v/>
      </c>
      <c r="AL162" t="n">
        <v>62</v>
      </c>
    </row>
    <row r="163">
      <c r="A163" s="33" t="n">
        <v>63</v>
      </c>
      <c r="B163" s="33" t="inlineStr">
        <is>
          <t>France</t>
        </is>
      </c>
      <c r="C163" s="33" t="inlineStr">
        <is>
          <t>Europe</t>
        </is>
      </c>
      <c r="D163" s="33" t="inlineStr">
        <is>
          <t>EU</t>
        </is>
      </c>
      <c r="E163" s="33" t="inlineStr">
        <is>
          <t>In force (GDPR + Loi Informatique et Libertés, amended 2018)</t>
        </is>
      </c>
      <c r="F163" s="34" t="inlineStr">
        <is>
          <t>https://unctad.org/page/data-protection-and-privacy-legislation-worldwide</t>
        </is>
      </c>
      <c r="G163" s="33" t="inlineStr">
        <is>
          <t>Strong/Independent (CNIL)</t>
        </is>
      </c>
      <c r="H163" s="34" t="inlineStr">
        <is>
          <t>https://unctad.org/page/data-protection-and-privacy-legislation-worldwide</t>
        </is>
      </c>
      <c r="I163" s="33" t="inlineStr">
        <is>
          <t>Yes (GDPR + national COP protections)</t>
        </is>
      </c>
      <c r="J163" s="34" t="inlineStr">
        <is>
          <t>https://unctad.org/page/data-protection-and-privacy-legislation-worldwide; https://www.unicef.org/france/</t>
        </is>
      </c>
      <c r="K163" s="33" t="inlineStr">
        <is>
          <t>Yes (national COP strategy + EU Safer Internet Centre)</t>
        </is>
      </c>
      <c r="L163" s="34" t="inlineStr">
        <is>
          <t>https://www.unicef.org/france/</t>
        </is>
      </c>
      <c r="M163" s="33" t="inlineStr">
        <is>
          <t>Yes (GDPR)</t>
        </is>
      </c>
      <c r="N163" s="34" t="inlineStr">
        <is>
          <t>https://unctad.org/page/data-protection-and-privacy-legislation-worldwide</t>
        </is>
      </c>
      <c r="O163" s="33" t="inlineStr">
        <is>
          <t>Equality/Marriage (since 2013)</t>
        </is>
      </c>
      <c r="P163" s="34" t="inlineStr">
        <is>
          <t>https://www.humandignitytrust.org/country-profile/france/; https://ilga.org/ilga-world-maps/</t>
        </is>
      </c>
      <c r="Q163" s="33" t="inlineStr">
        <is>
          <t>No</t>
        </is>
      </c>
      <c r="R163" s="34" t="inlineStr">
        <is>
          <t>https://ilga.org/ilga-world-maps/</t>
        </is>
      </c>
      <c r="S163" s="33" t="inlineStr">
        <is>
          <t>Adopted (France IA 2018, updated 2021; EU AI Act alignment)</t>
        </is>
      </c>
      <c r="T163" s="34" t="inlineStr">
        <is>
          <t>https://en.unesco.org/artificial-intelligence/observatory/policies?country=FR; https://www.unesco.org/ethics-ai/en/global-hub</t>
        </is>
      </c>
      <c r="U163" s="33" t="inlineStr">
        <is>
          <t>Yes (GDPR Art. 35)</t>
        </is>
      </c>
      <c r="V163" s="34" t="inlineStr">
        <is>
          <t>https://gdpr-info.eu/art-35-gdpr/</t>
        </is>
      </c>
      <c r="W163" s="33" t="inlineStr">
        <is>
          <t>No (ID required, no biometrics)</t>
        </is>
      </c>
      <c r="X163" s="34" t="inlineStr">
        <is>
          <t>https://www.gsma.com/solutions-and-impact/connectivity-for-good/public-policy/mobile-policy-handbook/consumer-protection/mandatory-registration-of-prepaid-sims/; https://privacyinternational.org/learn/sim-card-registration</t>
        </is>
      </c>
      <c r="AI163">
        <f>SUM(Y163:AH163)</f>
        <v/>
      </c>
      <c r="AJ163">
        <f>100-(AI163*(AI163/20))</f>
        <v/>
      </c>
      <c r="AK163" s="24">
        <f>100-(AJ163*(AJ163/MAX(AJ148:AJ163)))</f>
        <v/>
      </c>
      <c r="AL163" t="n">
        <v>63</v>
      </c>
    </row>
    <row r="164">
      <c r="A164" s="33" t="n">
        <v>67</v>
      </c>
      <c r="B164" s="33" t="inlineStr">
        <is>
          <t>Germany</t>
        </is>
      </c>
      <c r="C164" s="33" t="inlineStr">
        <is>
          <t>Europe</t>
        </is>
      </c>
      <c r="D164" s="33" t="inlineStr">
        <is>
          <t>EU</t>
        </is>
      </c>
      <c r="E164" s="33" t="inlineStr">
        <is>
          <t>In force (GDPR + Bundesdatenschutzgesetz, BDSG)</t>
        </is>
      </c>
      <c r="F164" s="34" t="inlineStr">
        <is>
          <t>https://unctad.org/page/data-protection-and-privacy-legislation-worldwide</t>
        </is>
      </c>
      <c r="G164" s="33" t="inlineStr">
        <is>
          <t>Strong/Independent (Federal Commissioner BfDI + state DPAs)</t>
        </is>
      </c>
      <c r="H164" s="34" t="inlineStr">
        <is>
          <t>https://unctad.org/page/data-protection-and-privacy-legislation-worldwide</t>
        </is>
      </c>
      <c r="I164" s="33" t="inlineStr">
        <is>
          <t>Yes (GDPR + national child digital rights frameworks)</t>
        </is>
      </c>
      <c r="J164" s="34" t="inlineStr">
        <is>
          <t>https://unctad.org/page/data-protection-and-privacy-legislation-worldwide; https://www.unicef.org/germany/</t>
        </is>
      </c>
      <c r="K164" s="33" t="inlineStr">
        <is>
          <t>Yes (national COP initiatives + EU Safer Internet Centre)</t>
        </is>
      </c>
      <c r="L164" s="34" t="inlineStr">
        <is>
          <t>https://www.unicef.org/germany/</t>
        </is>
      </c>
      <c r="M164" s="33" t="inlineStr">
        <is>
          <t>Yes</t>
        </is>
      </c>
      <c r="N164" s="34" t="inlineStr">
        <is>
          <t>https://unctad.org/page/data-protection-and-privacy-legislation-worldwide</t>
        </is>
      </c>
      <c r="O164" s="33" t="inlineStr">
        <is>
          <t>Equality/Marriage (since 2017)</t>
        </is>
      </c>
      <c r="P164" s="34" t="inlineStr">
        <is>
          <t>https://www.humandignitytrust.org/country-profile/germany/; https://ilga.org/ilga-world-maps/</t>
        </is>
      </c>
      <c r="Q164" s="33" t="inlineStr">
        <is>
          <t>No</t>
        </is>
      </c>
      <c r="R164" s="34" t="inlineStr">
        <is>
          <t>https://ilga.org/ilga-world-maps/</t>
        </is>
      </c>
      <c r="S164" s="33" t="inlineStr">
        <is>
          <t>Adopted (National AI Strategy 2018, updated 2020; EU AI Act alignment)</t>
        </is>
      </c>
      <c r="T164" s="34" t="inlineStr">
        <is>
          <t>https://en.unesco.org/artificial-intelligence/observatory/policies?country=DE; https://www.unesco.org/ethics-ai/en/global-hub</t>
        </is>
      </c>
      <c r="U164" s="33" t="inlineStr">
        <is>
          <t>Yes (GDPR Art. 35)</t>
        </is>
      </c>
      <c r="V164" s="34" t="inlineStr">
        <is>
          <t>https://gdpr-info.eu/art-35-gdpr/</t>
        </is>
      </c>
      <c r="W164" s="33" t="inlineStr">
        <is>
          <t>No (ID required, no biometrics)</t>
        </is>
      </c>
      <c r="X164" s="34" t="inlineStr">
        <is>
          <t>https://www.gsma.com/solutions-and-impact/connectivity-for-good/public-policy/mobile-policy-handbook/consumer-protection/mandatory-registration-of-prepaid-sims/; https://privacyinternational.org/learn/sim-card-registration</t>
        </is>
      </c>
      <c r="AI164">
        <f>SUM(Y164:AH164)</f>
        <v/>
      </c>
      <c r="AJ164">
        <f>100-(AI164*(AI164/20))</f>
        <v/>
      </c>
      <c r="AK164" s="24">
        <f>100-(AJ164*(AJ164/MAX(AJ149:AJ164)))</f>
        <v/>
      </c>
      <c r="AL164" t="n">
        <v>67</v>
      </c>
    </row>
    <row r="165">
      <c r="A165" s="33" t="n">
        <v>69</v>
      </c>
      <c r="B165" s="33" t="inlineStr">
        <is>
          <t>Greece</t>
        </is>
      </c>
      <c r="C165" s="33" t="inlineStr">
        <is>
          <t>Europe</t>
        </is>
      </c>
      <c r="D165" s="33" t="inlineStr">
        <is>
          <t>EU</t>
        </is>
      </c>
      <c r="E165" s="33" t="inlineStr">
        <is>
          <t>In force (GDPR + Law 4624/2019)</t>
        </is>
      </c>
      <c r="F165" s="34" t="inlineStr">
        <is>
          <t>https://unctad.org/page/data-protection-and-privacy-legislation-worldwide</t>
        </is>
      </c>
      <c r="G165" s="33" t="inlineStr">
        <is>
          <t>Strong/Independent (Hellenic Data Protection Authority)</t>
        </is>
      </c>
      <c r="H165" s="34" t="inlineStr">
        <is>
          <t>https://unctad.org/page/data-protection-and-privacy-legislation-worldwide</t>
        </is>
      </c>
      <c r="I165" s="33" t="inlineStr">
        <is>
          <t>Yes (GDPR COP + national protections)</t>
        </is>
      </c>
      <c r="J165" s="34" t="inlineStr">
        <is>
          <t>https://unctad.org/page/data-protection-and-privacy-legislation-worldwide; https://www.unicef.org/greece/</t>
        </is>
      </c>
      <c r="K165" s="33" t="inlineStr">
        <is>
          <t>Yes (EU Safer Internet Centre + national COP initiatives)</t>
        </is>
      </c>
      <c r="L165" s="34" t="inlineStr">
        <is>
          <t>https://www.unicef.org/greece/</t>
        </is>
      </c>
      <c r="M165" s="33" t="inlineStr">
        <is>
          <t>Yes (GDPR)</t>
        </is>
      </c>
      <c r="N165" s="34" t="inlineStr">
        <is>
          <t>https://unctad.org/page/data-protection-and-privacy-legislation-worldwide</t>
        </is>
      </c>
      <c r="O165" s="33" t="inlineStr">
        <is>
          <t>Equality/Marriage (civil unions 2015; marriage equality 2024)</t>
        </is>
      </c>
      <c r="P165" s="34" t="inlineStr">
        <is>
          <t>https://www.humandignitytrust.org/country-profile/greece/; https://ilga.org/ilga-world-maps/</t>
        </is>
      </c>
      <c r="Q165" s="33" t="inlineStr">
        <is>
          <t>No</t>
        </is>
      </c>
      <c r="R165" s="34" t="inlineStr">
        <is>
          <t>https://ilga.org/ilga-world-maps/</t>
        </is>
      </c>
      <c r="S165" s="33" t="inlineStr">
        <is>
          <t>Adopted (National AI Strategy, 2021; EU AI Act alignment)</t>
        </is>
      </c>
      <c r="T165" s="34" t="inlineStr">
        <is>
          <t>https://en.unesco.org/artificial-intelligence/observatory/policies?country=GR; https://www.unesco.org/ethics-ai/en/global-hub</t>
        </is>
      </c>
      <c r="U165" s="33" t="inlineStr">
        <is>
          <t>Yes</t>
        </is>
      </c>
      <c r="V165" s="34" t="inlineStr">
        <is>
          <t>https://gdpr-info.eu/art-35-gdpr/</t>
        </is>
      </c>
      <c r="W165" s="33" t="inlineStr">
        <is>
          <t>No (SIM requires ID, no biometrics)</t>
        </is>
      </c>
      <c r="X165" s="34" t="inlineStr">
        <is>
          <t>https://www.gsma.com/solutions-and-impact/connectivity-for-good/public-policy/mobile-policy-handbook/consumer-protection/mandatory-registration-of-prepaid-sims/; https://privacyinternational.org/learn/sim-card-registration</t>
        </is>
      </c>
      <c r="AI165">
        <f>SUM(Y165:AH165)</f>
        <v/>
      </c>
      <c r="AJ165">
        <f>100-(AI165*(AI165/20))</f>
        <v/>
      </c>
      <c r="AK165" s="24">
        <f>100-(AJ165*(AJ165/MAX(AJ150:AJ165)))</f>
        <v/>
      </c>
      <c r="AL165" t="n">
        <v>69</v>
      </c>
    </row>
    <row r="166">
      <c r="A166" s="33" t="n">
        <v>77</v>
      </c>
      <c r="B166" s="33" t="inlineStr">
        <is>
          <t>Hungary</t>
        </is>
      </c>
      <c r="C166" s="33" t="inlineStr">
        <is>
          <t>Europe</t>
        </is>
      </c>
      <c r="D166" s="33" t="inlineStr">
        <is>
          <t>EU</t>
        </is>
      </c>
      <c r="E166" s="33" t="inlineStr">
        <is>
          <t>In force (GDPR + Privacy Act 2011, amended)</t>
        </is>
      </c>
      <c r="F166" s="34" t="inlineStr">
        <is>
          <t>https://unctad.org/page/data-protection-and-privacy-legislation-worldwide</t>
        </is>
      </c>
      <c r="G166" s="33" t="inlineStr">
        <is>
          <t>Strong/Independent (NAIH)</t>
        </is>
      </c>
      <c r="H166" s="34" t="inlineStr">
        <is>
          <t>https://unctad.org/page/data-protection-and-privacy-legislation-worldwide</t>
        </is>
      </c>
      <c r="I166" s="33" t="inlineStr">
        <is>
          <t>Yes (GDPR COP + national child policies)</t>
        </is>
      </c>
      <c r="J166" s="34" t="inlineStr">
        <is>
          <t>https://unctad.org/page/data-protection-and-privacy-legislation-worldwide; https://www.unicef.org/hungary/</t>
        </is>
      </c>
      <c r="K166" s="33" t="inlineStr">
        <is>
          <t>Yes (EU Safer Internet Centre + national initiatives)</t>
        </is>
      </c>
      <c r="L166" s="34" t="inlineStr">
        <is>
          <t>https://www.unicef.org/hungary/</t>
        </is>
      </c>
      <c r="M166" s="33" t="inlineStr">
        <is>
          <t>Yes (GDPR)</t>
        </is>
      </c>
      <c r="N166" s="34" t="inlineStr">
        <is>
          <t>https://unctad.org/page/data-protection-and-privacy-legislation-worldwide</t>
        </is>
      </c>
      <c r="O166" s="33" t="inlineStr">
        <is>
          <t>Legal (registered partnerships only; no marriage equality)</t>
        </is>
      </c>
      <c r="P166" s="34" t="inlineStr">
        <is>
          <t>https://www.humandignitytrust.org/country-profile/hungary/; https://ilga.org/ilga-world-maps/</t>
        </is>
      </c>
      <c r="Q166" s="33" t="inlineStr">
        <is>
          <t>Yes (2021 anti-LGBTQ propaganda law)</t>
        </is>
      </c>
      <c r="R166" s="34" t="inlineStr">
        <is>
          <t>https://ilga.org/ilga-world-maps/</t>
        </is>
      </c>
      <c r="S166" s="33" t="inlineStr">
        <is>
          <t>Adopted (National AI Strategy 2020; EU AI Act alignment)</t>
        </is>
      </c>
      <c r="T166" s="34" t="inlineStr">
        <is>
          <t>https://en.unesco.org/artificial-intelligence/observatory/policies?country=HU; https://www.unesco.org/ethics-ai/en/global-hub</t>
        </is>
      </c>
      <c r="U166" s="33" t="inlineStr">
        <is>
          <t>Yes (GDPR Art. 35)</t>
        </is>
      </c>
      <c r="V166" s="34" t="inlineStr">
        <is>
          <t>https://gdpr-info.eu/art-35-gdpr/</t>
        </is>
      </c>
      <c r="W166" s="33" t="inlineStr">
        <is>
          <t>No (ID required; no biometrics)</t>
        </is>
      </c>
      <c r="X166" s="34" t="inlineStr">
        <is>
          <t>https://www.gsma.com/solutions-and-impact/connectivity-for-good/public-policy/mobile-policy-handbook/consumer-protection/mandatory-registration-of-prepaid-sims/; https://privacyinternational.org/learn/sim-card-registration</t>
        </is>
      </c>
      <c r="AI166">
        <f>SUM(Y166:AH166)</f>
        <v/>
      </c>
      <c r="AJ166">
        <f>100-(AI166*(AI166/20))</f>
        <v/>
      </c>
      <c r="AK166" s="24">
        <f>100-(AJ166*(AJ166/MAX(AJ151:AJ166)))</f>
        <v/>
      </c>
      <c r="AL166" t="n">
        <v>77</v>
      </c>
    </row>
    <row r="167">
      <c r="A167" s="33" t="n">
        <v>83</v>
      </c>
      <c r="B167" s="33" t="inlineStr">
        <is>
          <t>Ireland</t>
        </is>
      </c>
      <c r="C167" s="33" t="inlineStr">
        <is>
          <t>Europe</t>
        </is>
      </c>
      <c r="D167" s="33" t="inlineStr">
        <is>
          <t>EU</t>
        </is>
      </c>
      <c r="E167" s="33" t="inlineStr">
        <is>
          <t>In force (GDPR + Data Protection Act, 2018)</t>
        </is>
      </c>
      <c r="F167" s="34" t="inlineStr">
        <is>
          <t>https://unctad.org/page/data-protection-and-privacy-legislation-worldwide</t>
        </is>
      </c>
      <c r="G167" s="33" t="inlineStr">
        <is>
          <t>Strong/Independent (Data Protection Commission)</t>
        </is>
      </c>
      <c r="H167" s="34" t="inlineStr">
        <is>
          <t>https://unctad.org/page/data-protection-and-privacy-legislation-worldwide</t>
        </is>
      </c>
      <c r="I167" s="33" t="inlineStr">
        <is>
          <t>Yes (GDPR COP + Digital Safety Commissioner)</t>
        </is>
      </c>
      <c r="J167" s="34" t="inlineStr">
        <is>
          <t>https://unctad.org/page/data-protection-and-privacy-legislation-worldwide; https://www.unicef.org/ireland/</t>
        </is>
      </c>
      <c r="K167" s="33" t="inlineStr">
        <is>
          <t>Yes (EU Safer Internet Centre + national initiatives)</t>
        </is>
      </c>
      <c r="L167" s="34" t="inlineStr">
        <is>
          <t>https://www.unicef.org/ireland/</t>
        </is>
      </c>
      <c r="M167" s="33" t="inlineStr">
        <is>
          <t>Yes</t>
        </is>
      </c>
      <c r="N167" s="34" t="inlineStr">
        <is>
          <t>https://unctad.org/page/data-protection-and-privacy-legislation-worldwide</t>
        </is>
      </c>
      <c r="O167" s="33" t="inlineStr">
        <is>
          <t>Equality/Marriage (since 2015)</t>
        </is>
      </c>
      <c r="P167" s="34" t="inlineStr">
        <is>
          <t>https://www.humandignitytrust.org/country-profile/ireland/; https://ilga.org/ilga-world-maps/</t>
        </is>
      </c>
      <c r="Q167" s="33" t="inlineStr">
        <is>
          <t>No</t>
        </is>
      </c>
      <c r="R167" s="34" t="inlineStr">
        <is>
          <t>https://ilga.org/ilga-world-maps/</t>
        </is>
      </c>
      <c r="S167" s="33" t="inlineStr">
        <is>
          <t>Adopted (AI – Here for Good, 2021)</t>
        </is>
      </c>
      <c r="T167" s="34" t="inlineStr">
        <is>
          <t>https://en.unesco.org/artificial-intelligence/observatory/policies?country=IE; https://www.unesco.org/ethics-ai/en/global-hub</t>
        </is>
      </c>
      <c r="U167" s="33" t="inlineStr">
        <is>
          <t>Yes</t>
        </is>
      </c>
      <c r="V167" s="34" t="inlineStr">
        <is>
          <t>https://gdpr-info.eu/art-35-gdpr/</t>
        </is>
      </c>
      <c r="W167" s="33" t="inlineStr">
        <is>
          <t>No (ID required; no biometrics)</t>
        </is>
      </c>
      <c r="X167" s="34" t="inlineStr">
        <is>
          <t>https://www.gsma.com/solutions-and-impact/connectivity-for-good/public-policy/mobile-policy-handbook/consumer-protection/mandatory-registration-of-prepaid-sims/; https://privacyinternational.org/learn/sim-card-registration</t>
        </is>
      </c>
      <c r="AI167">
        <f>SUM(Y167:AH167)</f>
        <v/>
      </c>
      <c r="AJ167">
        <f>100-(AI167*(AI167/20))</f>
        <v/>
      </c>
      <c r="AK167" s="24">
        <f>100-(AJ167*(AJ167/MAX(AJ152:AJ167)))</f>
        <v/>
      </c>
      <c r="AL167" t="n">
        <v>83</v>
      </c>
    </row>
    <row r="168">
      <c r="A168" s="33" t="n">
        <v>85</v>
      </c>
      <c r="B168" s="33" t="inlineStr">
        <is>
          <t>Italy</t>
        </is>
      </c>
      <c r="C168" s="33" t="inlineStr">
        <is>
          <t>Europe</t>
        </is>
      </c>
      <c r="D168" s="33" t="inlineStr">
        <is>
          <t>EU</t>
        </is>
      </c>
      <c r="E168" s="33" t="inlineStr">
        <is>
          <t>In force (GDPR + Data Protection Code, amended)</t>
        </is>
      </c>
      <c r="F168" s="34" t="inlineStr">
        <is>
          <t>https://unctad.org/page/data-protection-and-privacy-legislation-worldwide</t>
        </is>
      </c>
      <c r="G168" s="33" t="inlineStr">
        <is>
          <t>Strong/Independent (Garante)</t>
        </is>
      </c>
      <c r="H168" s="34" t="inlineStr">
        <is>
          <t>https://unctad.org/page/data-protection-and-privacy-legislation-worldwide</t>
        </is>
      </c>
      <c r="I168" s="33" t="inlineStr">
        <is>
          <t>Yes (GDPR + national COP frameworks)</t>
        </is>
      </c>
      <c r="J168" s="34" t="inlineStr">
        <is>
          <t>https://unctad.org/page/data-protection-and-privacy-legislation-worldwide; https://www.unicef.org/italy/</t>
        </is>
      </c>
      <c r="K168" s="33" t="inlineStr">
        <is>
          <t>Yes (EU Safer Internet Centre + national initiatives)</t>
        </is>
      </c>
      <c r="L168" s="34" t="inlineStr">
        <is>
          <t>https://www.unicef.org/italy/</t>
        </is>
      </c>
      <c r="M168" s="33" t="inlineStr">
        <is>
          <t>Yes</t>
        </is>
      </c>
      <c r="N168" s="34" t="inlineStr">
        <is>
          <t>https://unctad.org/page/data-protection-and-privacy-legislation-worldwide</t>
        </is>
      </c>
      <c r="O168" s="33" t="inlineStr">
        <is>
          <t>Legal (civil unions recognised since 2016; no marriage equality)</t>
        </is>
      </c>
      <c r="P168" s="34" t="inlineStr">
        <is>
          <t>https://www.humandignitytrust.org/country-profile/italy/; https://ilga.org/ilga-world-maps/</t>
        </is>
      </c>
      <c r="Q168" s="33" t="inlineStr">
        <is>
          <t>No</t>
        </is>
      </c>
      <c r="R168" s="34" t="inlineStr">
        <is>
          <t>https://ilga.org/ilga-world-maps/</t>
        </is>
      </c>
      <c r="S168" s="33" t="inlineStr">
        <is>
          <t>Adopted (National AI Strategy 2021; EU AI Act alignment)</t>
        </is>
      </c>
      <c r="T168" s="34" t="inlineStr">
        <is>
          <t>https://en.unesco.org/artificial-intelligence/observatory/policies?country=IT; https://www.unesco.org/ethics-ai/en/global-hub</t>
        </is>
      </c>
      <c r="U168" s="33" t="inlineStr">
        <is>
          <t>Yes</t>
        </is>
      </c>
      <c r="V168" s="34" t="inlineStr">
        <is>
          <t>https://gdpr-info.eu/art-35-gdpr/</t>
        </is>
      </c>
      <c r="W168" s="33" t="inlineStr">
        <is>
          <t>No (SIM requires ID; no biometrics)</t>
        </is>
      </c>
      <c r="X168" s="34" t="inlineStr">
        <is>
          <t>https://www.gsma.com/solutions-and-impact/connectivity-for-good/public-policy/mobile-policy-handbook/consumer-protection/mandatory-registration-of-prepaid-sims/; https://privacyinternational.org/learn/sim-card-registration</t>
        </is>
      </c>
      <c r="AI168">
        <f>SUM(Y168:AH168)</f>
        <v/>
      </c>
      <c r="AJ168">
        <f>100-(AI168*(AI168/20))</f>
        <v/>
      </c>
      <c r="AK168" s="24">
        <f>100-(AJ168*(AJ168/MAX(AJ153:AJ168)))</f>
        <v/>
      </c>
      <c r="AL168" t="n">
        <v>85</v>
      </c>
    </row>
    <row r="169">
      <c r="A169" s="33" t="n">
        <v>95</v>
      </c>
      <c r="B169" s="33" t="inlineStr">
        <is>
          <t>Latvia</t>
        </is>
      </c>
      <c r="C169" s="33" t="inlineStr">
        <is>
          <t>Europe</t>
        </is>
      </c>
      <c r="D169" s="33" t="inlineStr">
        <is>
          <t>EU</t>
        </is>
      </c>
      <c r="E169" s="33" t="inlineStr">
        <is>
          <t>In force (GDPR + national law)</t>
        </is>
      </c>
      <c r="F169" s="34" t="inlineStr">
        <is>
          <t>https://unctad.org/page/data-protection-and-privacy-legislation-worldwide</t>
        </is>
      </c>
      <c r="G169" s="33" t="inlineStr">
        <is>
          <t>Strong/Independent (Data State Inspectorate)</t>
        </is>
      </c>
      <c r="H169" s="34" t="inlineStr">
        <is>
          <t>https://unctad.org/page/data-protection-and-privacy-legislation-worldwide</t>
        </is>
      </c>
      <c r="I169" s="33" t="inlineStr">
        <is>
          <t>Yes (GDPR COP + national frameworks)</t>
        </is>
      </c>
      <c r="J169" s="34" t="inlineStr">
        <is>
          <t>https://unctad.org/page/data-protection-and-privacy-legislation-worldwide; https://www.unicef.org/latvia/</t>
        </is>
      </c>
      <c r="K169" s="33" t="inlineStr">
        <is>
          <t>Yes (EU Safer Internet Centre)</t>
        </is>
      </c>
      <c r="L169" s="34" t="inlineStr">
        <is>
          <t>https://www.unicef.org/latvia/</t>
        </is>
      </c>
      <c r="M169" s="33" t="inlineStr">
        <is>
          <t>Yes</t>
        </is>
      </c>
      <c r="N169" s="34" t="inlineStr">
        <is>
          <t>https://unctad.org/page/data-protection-and-privacy-legislation-worldwide</t>
        </is>
      </c>
      <c r="O169" s="33" t="inlineStr">
        <is>
          <t>Legal (no criminalisation; constitutional ban on marriage equality)</t>
        </is>
      </c>
      <c r="P169" s="34" t="inlineStr">
        <is>
          <t>https://www.humandignitytrust.org/country-profile/latvia/; https://ilga.org/ilga-world-maps/</t>
        </is>
      </c>
      <c r="Q169" s="33" t="inlineStr">
        <is>
          <t>No</t>
        </is>
      </c>
      <c r="R169" s="34" t="inlineStr">
        <is>
          <t>https://ilga.org/ilga-world-maps/</t>
        </is>
      </c>
      <c r="S169" s="33" t="inlineStr">
        <is>
          <t>Adopted (AI Strategy 2020; EU AI Act alignment)</t>
        </is>
      </c>
      <c r="T169" s="34" t="inlineStr">
        <is>
          <t>https://en.unesco.org/artificial-intelligence/observatory/policies?country=LV; https://www.unesco.org/ethics-ai/en/global-hub</t>
        </is>
      </c>
      <c r="U169" s="33" t="inlineStr">
        <is>
          <t>Yes</t>
        </is>
      </c>
      <c r="V169" s="34" t="inlineStr">
        <is>
          <t>https://gdpr-info.eu/art-35-gdpr/</t>
        </is>
      </c>
      <c r="W169" s="33" t="inlineStr">
        <is>
          <t>No (SIM requires ID; no biometrics)</t>
        </is>
      </c>
      <c r="X169" s="34" t="inlineStr">
        <is>
          <t>https://www.gsma.com/solutions-and-impact/connectivity-for-good/public-policy/mobile-policy-handbook/consumer-protection/mandatory-registration-of-prepaid-sims/; https://privacyinternational.org/learn/sim-card-registration</t>
        </is>
      </c>
      <c r="AI169">
        <f>SUM(Y169:AH169)</f>
        <v/>
      </c>
      <c r="AJ169">
        <f>100-(AI169*(AI169/20))</f>
        <v/>
      </c>
      <c r="AK169" s="24">
        <f>100-(AJ169*(AJ169/MAX(AJ154:AJ169)))</f>
        <v/>
      </c>
      <c r="AL169" t="n">
        <v>95</v>
      </c>
    </row>
    <row r="170">
      <c r="A170" s="33" t="n">
        <v>101</v>
      </c>
      <c r="B170" s="33" t="inlineStr">
        <is>
          <t>Lithuania</t>
        </is>
      </c>
      <c r="C170" s="33" t="inlineStr">
        <is>
          <t>Europe</t>
        </is>
      </c>
      <c r="D170" s="33" t="inlineStr">
        <is>
          <t>EU</t>
        </is>
      </c>
      <c r="E170" s="33" t="inlineStr">
        <is>
          <t>In force (GDPR + national law)</t>
        </is>
      </c>
      <c r="F170" s="34" t="inlineStr">
        <is>
          <t>https://unctad.org/page/data-protection-and-privacy-legislation-worldwide</t>
        </is>
      </c>
      <c r="G170" s="33" t="inlineStr">
        <is>
          <t>Strong/Independent (State Data Protection Inspectorate)</t>
        </is>
      </c>
      <c r="H170" s="34" t="inlineStr">
        <is>
          <t>https://unctad.org/page/data-protection-and-privacy-legislation-worldwide</t>
        </is>
      </c>
      <c r="I170" s="33" t="inlineStr">
        <is>
          <t>Yes</t>
        </is>
      </c>
      <c r="J170" s="34" t="inlineStr">
        <is>
          <t>https://unctad.org/page/data-protection-and-privacy-legislation-worldwide; https://www.unicef.org/lithuania/</t>
        </is>
      </c>
      <c r="K170" s="33" t="inlineStr">
        <is>
          <t>Yes (EU Safer Internet Centre)</t>
        </is>
      </c>
      <c r="L170" s="34" t="inlineStr">
        <is>
          <t>https://www.unicef.org/lithuania/</t>
        </is>
      </c>
      <c r="M170" s="33" t="inlineStr">
        <is>
          <t>Yes</t>
        </is>
      </c>
      <c r="N170" s="34" t="inlineStr">
        <is>
          <t>https://unctad.org/page/data-protection-and-privacy-legislation-worldwide</t>
        </is>
      </c>
      <c r="O170" s="33" t="inlineStr">
        <is>
          <t>Legal (no marriage equality; partnerships debated)</t>
        </is>
      </c>
      <c r="P170" s="34" t="inlineStr">
        <is>
          <t>https://www.humandignitytrust.org/country-profile/lithuania/; https://ilga.org/ilga-world-maps/</t>
        </is>
      </c>
      <c r="Q170" s="33" t="inlineStr">
        <is>
          <t>Proposed/Unclear (Law on Minors restricts LGBTQ content)</t>
        </is>
      </c>
      <c r="R170" s="34" t="inlineStr">
        <is>
          <t>https://ilga.org/ilga-world-maps/</t>
        </is>
      </c>
      <c r="S170" s="33" t="inlineStr">
        <is>
          <t>Adopted (AI Strategy 2019)</t>
        </is>
      </c>
      <c r="T170" s="34" t="inlineStr">
        <is>
          <t>https://en.unesco.org/artificial-intelligence/observatory/policies?country=LT; https://www.unesco.org/ethics-ai/en/global-hub</t>
        </is>
      </c>
      <c r="U170" s="33" t="inlineStr">
        <is>
          <t>Yes</t>
        </is>
      </c>
      <c r="V170" s="34" t="inlineStr">
        <is>
          <t>https://gdpr-info.eu/art-35-gdpr/</t>
        </is>
      </c>
      <c r="W170" s="33" t="inlineStr">
        <is>
          <t>No</t>
        </is>
      </c>
      <c r="X170" s="34" t="inlineStr">
        <is>
          <t>https://www.gsma.com/solutions-and-impact/connectivity-for-good/public-policy/mobile-policy-handbook/consumer-protection/mandatory-registration-of-prepaid-sims/</t>
        </is>
      </c>
      <c r="AI170">
        <f>SUM(Y170:AH170)</f>
        <v/>
      </c>
      <c r="AJ170">
        <f>100-(AI170*(AI170/20))</f>
        <v/>
      </c>
      <c r="AK170" s="24">
        <f>100-(AJ170*(AJ170/MAX(AJ155:AJ170)))</f>
        <v/>
      </c>
      <c r="AL170" t="n">
        <v>101</v>
      </c>
    </row>
    <row r="171">
      <c r="A171" s="33" t="n">
        <v>102</v>
      </c>
      <c r="B171" s="33" t="inlineStr">
        <is>
          <t>Luxembourg</t>
        </is>
      </c>
      <c r="C171" s="33" t="inlineStr">
        <is>
          <t>Europe</t>
        </is>
      </c>
      <c r="D171" s="33" t="inlineStr">
        <is>
          <t>EU</t>
        </is>
      </c>
      <c r="E171" s="33" t="inlineStr">
        <is>
          <t>In force (GDPR + national law)</t>
        </is>
      </c>
      <c r="F171" s="34" t="inlineStr">
        <is>
          <t>https://unctad.org/page/data-protection-and-privacy-legislation-worldwide</t>
        </is>
      </c>
      <c r="G171" s="33" t="inlineStr">
        <is>
          <t>Strong/Independent (CNPD)</t>
        </is>
      </c>
      <c r="H171" s="34" t="inlineStr">
        <is>
          <t>https://unctad.org/page/data-protection-and-privacy-legislation-worldwide</t>
        </is>
      </c>
      <c r="I171" s="33" t="inlineStr">
        <is>
          <t>Yes</t>
        </is>
      </c>
      <c r="J171" s="34" t="inlineStr">
        <is>
          <t>https://unctad.org/page/data-protection-and-privacy-legislation-worldwide; https://www.unicef.org/luxembourg/</t>
        </is>
      </c>
      <c r="K171" s="33" t="inlineStr">
        <is>
          <t>Yes (EU Safer Internet Centre)</t>
        </is>
      </c>
      <c r="L171" s="34" t="inlineStr">
        <is>
          <t>https://www.unicef.org/luxembourg/</t>
        </is>
      </c>
      <c r="M171" s="33" t="inlineStr">
        <is>
          <t>Yes</t>
        </is>
      </c>
      <c r="N171" s="34" t="inlineStr">
        <is>
          <t>https://unctad.org/page/data-protection-and-privacy-legislation-worldwide</t>
        </is>
      </c>
      <c r="O171" s="33" t="inlineStr">
        <is>
          <t>Equality/Marriage (since 2015)</t>
        </is>
      </c>
      <c r="P171" s="34" t="inlineStr">
        <is>
          <t>https://www.humandignitytrust.org/country-profile/luxembourg/; https://ilga.org/ilga-world-maps/</t>
        </is>
      </c>
      <c r="Q171" s="33" t="inlineStr">
        <is>
          <t>No</t>
        </is>
      </c>
      <c r="R171" s="34" t="inlineStr">
        <is>
          <t>https://ilga.org/ilga-world-maps/</t>
        </is>
      </c>
      <c r="S171" s="33" t="inlineStr">
        <is>
          <t>Adopted (AI Strategy 2019; EU AI Act alignment)</t>
        </is>
      </c>
      <c r="T171" s="34" t="inlineStr">
        <is>
          <t>https://en.unesco.org/artificial-intelligence/observatory/policies?country=LU; https://www.unesco.org/ethics-ai/en/global-hub</t>
        </is>
      </c>
      <c r="U171" s="33" t="inlineStr">
        <is>
          <t>Yes</t>
        </is>
      </c>
      <c r="V171" s="34" t="inlineStr">
        <is>
          <t>https://gdpr-info.eu/art-35-gdpr/</t>
        </is>
      </c>
      <c r="W171" s="33" t="inlineStr">
        <is>
          <t>No</t>
        </is>
      </c>
      <c r="X171" s="34" t="inlineStr">
        <is>
          <t>https://www.gsma.com/solutions-and-impact/connectivity-for-good/public-policy/mobile-policy-handbook/consumer-protection/mandatory-registration-of-prepaid-sims/</t>
        </is>
      </c>
      <c r="AI171">
        <f>SUM(Y171:AH171)</f>
        <v/>
      </c>
      <c r="AJ171">
        <f>100-(AI171*(AI171/20))</f>
        <v/>
      </c>
      <c r="AK171" s="24">
        <f>100-(AJ171*(AJ171/MAX(AJ156:AJ171)))</f>
        <v/>
      </c>
      <c r="AL171" t="n">
        <v>102</v>
      </c>
    </row>
    <row r="172">
      <c r="A172" s="33" t="n">
        <v>108</v>
      </c>
      <c r="B172" s="33" t="inlineStr">
        <is>
          <t>Malta</t>
        </is>
      </c>
      <c r="C172" s="33" t="inlineStr">
        <is>
          <t>Europe</t>
        </is>
      </c>
      <c r="D172" s="33" t="inlineStr">
        <is>
          <t>EU</t>
        </is>
      </c>
      <c r="E172" s="33" t="inlineStr">
        <is>
          <t>In force (GDPR + national law)</t>
        </is>
      </c>
      <c r="F172" s="34" t="inlineStr">
        <is>
          <t>https://unctad.org/page/data-protection-and-privacy-legislation-worldwide</t>
        </is>
      </c>
      <c r="G172" s="33" t="inlineStr">
        <is>
          <t>Strong/Independent (Information and Data Protection Commissioner)</t>
        </is>
      </c>
      <c r="H172" s="34" t="inlineStr">
        <is>
          <t>https://unctad.org/page/data-protection-and-privacy-legislation-worldwide</t>
        </is>
      </c>
      <c r="I172" s="33" t="inlineStr">
        <is>
          <t>Yes</t>
        </is>
      </c>
      <c r="J172" s="34" t="inlineStr">
        <is>
          <t>https://unctad.org/page/data-protection-and-privacy-legislation-worldwide; https://www.unicef.org/malta/</t>
        </is>
      </c>
      <c r="K172" s="33" t="inlineStr">
        <is>
          <t>Yes (EU Safer Internet Centre)</t>
        </is>
      </c>
      <c r="L172" s="34" t="inlineStr">
        <is>
          <t>https://www.unicef.org/malta/</t>
        </is>
      </c>
      <c r="M172" s="33" t="inlineStr">
        <is>
          <t>Yes</t>
        </is>
      </c>
      <c r="N172" s="34" t="inlineStr">
        <is>
          <t>https://unctad.org/page/data-protection-and-privacy-legislation-worldwide</t>
        </is>
      </c>
      <c r="O172" s="33" t="inlineStr">
        <is>
          <t>Equality/Marriage (full rights)</t>
        </is>
      </c>
      <c r="P172" s="34" t="inlineStr">
        <is>
          <t>https://www.humandignitytrust.org/country-profile/malta/; https://ilga.org/ilga-world-maps/</t>
        </is>
      </c>
      <c r="Q172" s="33" t="inlineStr">
        <is>
          <t>No</t>
        </is>
      </c>
      <c r="R172" s="34" t="inlineStr">
        <is>
          <t>https://ilga.org/ilga-world-maps/</t>
        </is>
      </c>
      <c r="S172" s="33" t="inlineStr">
        <is>
          <t>Adopted (AI in Malta Strategy, 2019)</t>
        </is>
      </c>
      <c r="T172" s="34" t="inlineStr">
        <is>
          <t>https://en.unesco.org/artificial-intelligence/observatory/policies?country=MT; https://www.unesco.org/ethics-ai/en/global-hub</t>
        </is>
      </c>
      <c r="U172" s="33" t="inlineStr">
        <is>
          <t>Yes</t>
        </is>
      </c>
      <c r="V172" s="34" t="inlineStr">
        <is>
          <t>https://gdpr-info.eu/art-35-gdpr/</t>
        </is>
      </c>
      <c r="W172" s="33" t="inlineStr">
        <is>
          <t>No (SIM requires ID; no biometrics)</t>
        </is>
      </c>
      <c r="X172" s="34" t="inlineStr">
        <is>
          <t>https://www.gsma.com/solutions-and-impact/connectivity-for-good/public-policy/mobile-policy-handbook/consumer-protection/mandatory-registration-of-prepaid-sims/; https://privacyinternational.org/learn/sim-card-registration</t>
        </is>
      </c>
      <c r="AI172">
        <f>SUM(Y172:AH172)</f>
        <v/>
      </c>
      <c r="AJ172">
        <f>100-(AI172*(AI172/20))</f>
        <v/>
      </c>
      <c r="AK172" s="24">
        <f>100-(AJ172*(AJ172/MAX(AJ157:AJ172)))</f>
        <v/>
      </c>
      <c r="AL172" t="n">
        <v>108</v>
      </c>
    </row>
    <row r="173">
      <c r="A173" s="33" t="n">
        <v>123</v>
      </c>
      <c r="B173" s="33" t="inlineStr">
        <is>
          <t>Netherlands</t>
        </is>
      </c>
      <c r="C173" s="33" t="inlineStr">
        <is>
          <t>Europe</t>
        </is>
      </c>
      <c r="D173" s="33" t="inlineStr">
        <is>
          <t>EU</t>
        </is>
      </c>
      <c r="E173" s="33" t="inlineStr">
        <is>
          <t>In force (GDPR + national law)</t>
        </is>
      </c>
      <c r="F173" s="34" t="inlineStr">
        <is>
          <t>https://unctad.org/page/data-protection-and-privacy-legislation-worldwide</t>
        </is>
      </c>
      <c r="G173" s="33" t="inlineStr">
        <is>
          <t>Strong (Dutch Data Protection Authority)</t>
        </is>
      </c>
      <c r="H173" s="34" t="inlineStr">
        <is>
          <t>https://unctad.org/page/data-protection-and-privacy-legislation-worldwide</t>
        </is>
      </c>
      <c r="I173" s="33" t="inlineStr">
        <is>
          <t>Yes</t>
        </is>
      </c>
      <c r="J173" s="34" t="inlineStr">
        <is>
          <t>https://unctad.org/page/data-protection-and-privacy-legislation-worldwide; https://www.unicef.org/netherlands/</t>
        </is>
      </c>
      <c r="K173" s="33" t="inlineStr">
        <is>
          <t>Yes (EU Safer Internet Centre)</t>
        </is>
      </c>
      <c r="L173" s="34" t="inlineStr">
        <is>
          <t>https://www.unicef.org/netherlands/</t>
        </is>
      </c>
      <c r="M173" s="33" t="inlineStr">
        <is>
          <t>Yes</t>
        </is>
      </c>
      <c r="N173" s="34" t="inlineStr">
        <is>
          <t>https://unctad.org/page/data-protection-and-privacy-legislation-worldwide</t>
        </is>
      </c>
      <c r="O173" s="33" t="inlineStr">
        <is>
          <t>Equality/Marriage (since 2001)</t>
        </is>
      </c>
      <c r="P173" s="34" t="inlineStr">
        <is>
          <t>https://www.humandignitytrust.org/country-profile/netherlands/; https://ilga.org/ilga-world-maps/</t>
        </is>
      </c>
      <c r="Q173" s="33" t="inlineStr">
        <is>
          <t>No</t>
        </is>
      </c>
      <c r="R173" s="34" t="inlineStr">
        <is>
          <t>https://ilga.org/ilga-world-maps/</t>
        </is>
      </c>
      <c r="S173" s="33" t="inlineStr">
        <is>
          <t>Adopted (Dutch AI Strategy 2019; EU AI Act alignment)</t>
        </is>
      </c>
      <c r="T173" s="34" t="inlineStr">
        <is>
          <t>https://en.unesco.org/artificial-intelligence/observatory/policies?country=NL; https://www.unesco.org/ethics-ai/en/global-hub</t>
        </is>
      </c>
      <c r="U173" s="33" t="inlineStr">
        <is>
          <t>Yes</t>
        </is>
      </c>
      <c r="V173" s="34" t="inlineStr">
        <is>
          <t>https://gdpr-info.eu/art-35-gdpr/</t>
        </is>
      </c>
      <c r="W173" s="33" t="inlineStr">
        <is>
          <t>No</t>
        </is>
      </c>
      <c r="X173" s="34" t="inlineStr">
        <is>
          <t>https://www.gsma.com/solutions-and-impact/connectivity-for-good/public-policy/mobile-policy-handbook/consumer-protection/mandatory-registration-of-prepaid-sims/</t>
        </is>
      </c>
      <c r="AI173">
        <f>SUM(Y173:AH173)</f>
        <v/>
      </c>
      <c r="AJ173">
        <f>100-(AI173*(AI173/20))</f>
        <v/>
      </c>
      <c r="AK173" s="24">
        <f>100-(AJ173*(AJ173/MAX(AJ158:AJ173)))</f>
        <v/>
      </c>
      <c r="AL173" t="n">
        <v>123</v>
      </c>
    </row>
    <row r="174">
      <c r="A174" s="33" t="n">
        <v>138</v>
      </c>
      <c r="B174" s="33" t="inlineStr">
        <is>
          <t>Poland</t>
        </is>
      </c>
      <c r="C174" s="33" t="inlineStr">
        <is>
          <t>Europe</t>
        </is>
      </c>
      <c r="D174" s="33" t="inlineStr">
        <is>
          <t>EU</t>
        </is>
      </c>
      <c r="E174" s="33" t="inlineStr">
        <is>
          <t>In force — GDPR</t>
        </is>
      </c>
      <c r="F174" s="34" t="inlineStr">
        <is>
          <t>https://unctad.org/page/data-protection-and-privacy-legislation-worldwide</t>
        </is>
      </c>
      <c r="G174" s="33" t="inlineStr">
        <is>
          <t>Strong — UODO</t>
        </is>
      </c>
      <c r="H174" s="34" t="inlineStr">
        <is>
          <t>https://unctad.org/page/data-protection-and-privacy-legislation-worldwide</t>
        </is>
      </c>
      <c r="I174" s="33" t="inlineStr">
        <is>
          <t>Yes</t>
        </is>
      </c>
      <c r="J174" s="34" t="inlineStr">
        <is>
          <t>https://unctad.org/page/data-protection-and-privacy-legislation-worldwide; https://www.unicef.org/poland/</t>
        </is>
      </c>
      <c r="K174" s="33" t="inlineStr">
        <is>
          <t>Yes — EU Safer Internet Centre</t>
        </is>
      </c>
      <c r="L174" s="34" t="inlineStr">
        <is>
          <t>https://www.unicef.org/poland/</t>
        </is>
      </c>
      <c r="M174" s="33" t="inlineStr">
        <is>
          <t>Yes</t>
        </is>
      </c>
      <c r="N174" s="34" t="inlineStr">
        <is>
          <t>https://unctad.org/page/data-protection-and-privacy-legislation-worldwide</t>
        </is>
      </c>
      <c r="O174" s="33" t="inlineStr">
        <is>
          <t>Legal — no marriage equality</t>
        </is>
      </c>
      <c r="P174" s="34" t="inlineStr">
        <is>
          <t>https://www.humandignitytrust.org/country-profile/poland/; https://ilga.org/ilga-world-maps/</t>
        </is>
      </c>
      <c r="Q174" s="33" t="inlineStr">
        <is>
          <t>Yes — “LGBT-free zones”</t>
        </is>
      </c>
      <c r="R174" s="34" t="inlineStr">
        <is>
          <t>https://ilga.org/ilga-world-maps/</t>
        </is>
      </c>
      <c r="S174" s="33" t="inlineStr">
        <is>
          <t>Adopted — National AI Policy 2020</t>
        </is>
      </c>
      <c r="T174" s="34" t="inlineStr">
        <is>
          <t>https://en.unesco.org/artificial-intelligence/observatory/policies?country=PL; https://www.unesco.org/ethics-ai/en/global-hub</t>
        </is>
      </c>
      <c r="U174" s="33" t="inlineStr">
        <is>
          <t>Yes</t>
        </is>
      </c>
      <c r="V174" s="34" t="inlineStr">
        <is>
          <t>https://gdpr-info.eu/art-35-gdpr/</t>
        </is>
      </c>
      <c r="W174" s="33" t="inlineStr">
        <is>
          <t>No</t>
        </is>
      </c>
      <c r="X174" s="34" t="inlineStr">
        <is>
          <t>https://www.gsma.com/solutions-and-impact/connectivity-for-good/public-policy/mobile-policy-handbook/consumer-protection/mandatory-registration-of-prepaid-sims/</t>
        </is>
      </c>
      <c r="AI174">
        <f>SUM(Y174:AH174)</f>
        <v/>
      </c>
      <c r="AJ174">
        <f>100-(AI174*(AI174/20))</f>
        <v/>
      </c>
      <c r="AK174" s="24">
        <f>100-(AJ174*(AJ174/MAX(AJ159:AJ174)))</f>
        <v/>
      </c>
      <c r="AL174" t="n">
        <v>138</v>
      </c>
    </row>
    <row r="175">
      <c r="A175" s="33" t="n">
        <v>139</v>
      </c>
      <c r="B175" s="33" t="inlineStr">
        <is>
          <t>Portugal</t>
        </is>
      </c>
      <c r="C175" s="33" t="inlineStr">
        <is>
          <t>Europe</t>
        </is>
      </c>
      <c r="D175" s="33" t="inlineStr">
        <is>
          <t>EU</t>
        </is>
      </c>
      <c r="E175" s="33" t="inlineStr">
        <is>
          <t>In force — GDPR</t>
        </is>
      </c>
      <c r="F175" s="34" t="inlineStr">
        <is>
          <t>https://unctad.org/page/data-protection-and-privacy-legislation-worldwide</t>
        </is>
      </c>
      <c r="G175" s="33" t="inlineStr">
        <is>
          <t>Strong — CNPD</t>
        </is>
      </c>
      <c r="H175" s="34" t="inlineStr">
        <is>
          <t>https://unctad.org/page/data-protection-and-privacy-legislation-worldwide</t>
        </is>
      </c>
      <c r="I175" s="33" t="inlineStr">
        <is>
          <t>Yes</t>
        </is>
      </c>
      <c r="J175" s="34" t="inlineStr">
        <is>
          <t>https://unctad.org/page/data-protection-and-privacy-legislation-worldwide; https://www.unicef.org/portugal/</t>
        </is>
      </c>
      <c r="K175" s="33" t="inlineStr">
        <is>
          <t>Yes — EU Safer Internet Centre</t>
        </is>
      </c>
      <c r="L175" s="34" t="inlineStr">
        <is>
          <t>https://www.unicef.org/portugal/</t>
        </is>
      </c>
      <c r="M175" s="33" t="inlineStr">
        <is>
          <t>Yes</t>
        </is>
      </c>
      <c r="N175" s="34" t="inlineStr">
        <is>
          <t>https://unctad.org/page/data-protection-and-privacy-legislation-worldwide</t>
        </is>
      </c>
      <c r="O175" s="33" t="inlineStr">
        <is>
          <t>Equality/Marriage — since 2010</t>
        </is>
      </c>
      <c r="P175" s="34" t="inlineStr">
        <is>
          <t>https://www.humandignitytrust.org/country-profile/portugal/; https://ilga.org/ilga-world-maps/</t>
        </is>
      </c>
      <c r="Q175" s="33" t="inlineStr">
        <is>
          <t>No</t>
        </is>
      </c>
      <c r="R175" s="34" t="inlineStr">
        <is>
          <t>https://ilga.org/ilga-world-maps/</t>
        </is>
      </c>
      <c r="S175" s="33" t="inlineStr">
        <is>
          <t>Adopted — National AI Strategy 2019</t>
        </is>
      </c>
      <c r="T175" s="34" t="inlineStr">
        <is>
          <t>https://en.unesco.org/artificial-intelligence/observatory/policies?country=PT; https://www.unesco.org/ethics-ai/en/global-hub</t>
        </is>
      </c>
      <c r="U175" s="33" t="inlineStr">
        <is>
          <t>Yes</t>
        </is>
      </c>
      <c r="V175" s="34" t="inlineStr">
        <is>
          <t>https://gdpr-info.eu/art-35-gdpr/</t>
        </is>
      </c>
      <c r="W175" s="33" t="inlineStr">
        <is>
          <t>No</t>
        </is>
      </c>
      <c r="X175" s="34" t="inlineStr">
        <is>
          <t>https://www.gsma.com/solutions-and-impact/connectivity-for-good/public-policy/mobile-policy-handbook/consumer-protection/mandatory-registration-of-prepaid-sims/</t>
        </is>
      </c>
      <c r="AI175">
        <f>SUM(Y175:AH175)</f>
        <v/>
      </c>
      <c r="AJ175">
        <f>100-(AI175*(AI175/20))</f>
        <v/>
      </c>
      <c r="AK175" s="24">
        <f>100-(AJ175*(AJ175/MAX(AJ160:AJ175)))</f>
        <v/>
      </c>
      <c r="AL175" t="n">
        <v>139</v>
      </c>
    </row>
    <row r="176">
      <c r="A176" s="33" t="n">
        <v>143</v>
      </c>
      <c r="B176" s="33" t="inlineStr">
        <is>
          <t>Romania</t>
        </is>
      </c>
      <c r="C176" s="33" t="inlineStr">
        <is>
          <t>Europe</t>
        </is>
      </c>
      <c r="D176" s="33" t="inlineStr">
        <is>
          <t>EU</t>
        </is>
      </c>
      <c r="E176" s="33" t="inlineStr">
        <is>
          <t>In force — GDPR</t>
        </is>
      </c>
      <c r="F176" s="34" t="inlineStr">
        <is>
          <t>https://unctad.org/page/data-protection-and-privacy-legislation-worldwide</t>
        </is>
      </c>
      <c r="G176" s="33" t="inlineStr">
        <is>
          <t>Strong — ANSPDCP</t>
        </is>
      </c>
      <c r="H176" s="34" t="inlineStr">
        <is>
          <t>https://unctad.org/page/data-protection-and-privacy-legislation-worldwide</t>
        </is>
      </c>
      <c r="I176" s="33" t="inlineStr">
        <is>
          <t>Yes</t>
        </is>
      </c>
      <c r="J176" s="34" t="inlineStr">
        <is>
          <t>https://unctad.org/page/data-protection-and-privacy-legislation-worldwide; https://www.unicef.org/romania/</t>
        </is>
      </c>
      <c r="K176" s="33" t="inlineStr">
        <is>
          <t>Yes — EU Safer Internet Centre</t>
        </is>
      </c>
      <c r="L176" s="34" t="inlineStr">
        <is>
          <t>https://www.unicef.org/romania/</t>
        </is>
      </c>
      <c r="M176" s="33" t="inlineStr">
        <is>
          <t>Yes</t>
        </is>
      </c>
      <c r="N176" s="34" t="inlineStr">
        <is>
          <t>https://unctad.org/page/data-protection-and-privacy-legislation-worldwide</t>
        </is>
      </c>
      <c r="O176" s="33" t="inlineStr">
        <is>
          <t>Legal — no marriage equality</t>
        </is>
      </c>
      <c r="P176" s="34" t="inlineStr">
        <is>
          <t>https://www.humandignitytrust.org/country-profile/romania/; https://ilga.org/ilga-world-maps/</t>
        </is>
      </c>
      <c r="Q176" s="33" t="inlineStr">
        <is>
          <t>No</t>
        </is>
      </c>
      <c r="R176" s="34" t="inlineStr">
        <is>
          <t>https://ilga.org/ilga-world-maps/</t>
        </is>
      </c>
      <c r="S176" s="33" t="inlineStr">
        <is>
          <t>Draft/Early — AI Strategy under development</t>
        </is>
      </c>
      <c r="T176" s="34" t="inlineStr">
        <is>
          <t>https://en.unesco.org/artificial-intelligence/observatory/policies?country=RO; https://www.unesco.org/ethics-ai/en/global-hub</t>
        </is>
      </c>
      <c r="U176" s="33" t="inlineStr">
        <is>
          <t>Yes</t>
        </is>
      </c>
      <c r="V176" s="34" t="inlineStr">
        <is>
          <t>https://gdpr-info.eu/art-35-gdpr/</t>
        </is>
      </c>
      <c r="W176" s="33" t="inlineStr">
        <is>
          <t>No</t>
        </is>
      </c>
      <c r="X176" s="34" t="inlineStr">
        <is>
          <t>https://www.gsma.com/solutions-and-impact/connectivity-for-good/public-policy/mobile-policy-handbook/consumer-protection/mandatory-registration-of-prepaid-sims/</t>
        </is>
      </c>
      <c r="AI176">
        <f>SUM(Y176:AH176)</f>
        <v/>
      </c>
      <c r="AJ176">
        <f>100-(AI176*(AI176/20))</f>
        <v/>
      </c>
      <c r="AK176" s="24">
        <f>100-(AJ176*(AJ176/MAX(AJ161:AJ176)))</f>
        <v/>
      </c>
      <c r="AL176" t="n">
        <v>143</v>
      </c>
    </row>
    <row r="177">
      <c r="A177" s="33" t="n">
        <v>158</v>
      </c>
      <c r="B177" s="33" t="inlineStr">
        <is>
          <t>Slovakia</t>
        </is>
      </c>
      <c r="C177" s="33" t="inlineStr">
        <is>
          <t>Europe</t>
        </is>
      </c>
      <c r="D177" s="33" t="inlineStr">
        <is>
          <t>EU</t>
        </is>
      </c>
      <c r="E177" s="33" t="inlineStr">
        <is>
          <t>In force — GDPR</t>
        </is>
      </c>
      <c r="F177" s="34" t="inlineStr">
        <is>
          <t>https://unctad.org/page/data-protection-and-privacy-legislation-worldwide</t>
        </is>
      </c>
      <c r="G177" s="33" t="inlineStr">
        <is>
          <t>Strong — Office for Personal Data Protection</t>
        </is>
      </c>
      <c r="H177" s="34" t="inlineStr">
        <is>
          <t>https://unctad.org/page/data-protection-and-privacy-legislation-worldwide</t>
        </is>
      </c>
      <c r="I177" s="33" t="inlineStr">
        <is>
          <t>Yes</t>
        </is>
      </c>
      <c r="J177" s="34" t="inlineStr">
        <is>
          <t>https://unctad.org/page/data-protection-and-privacy-legislation-worldwide; https://www.unicef.org/slovakia/</t>
        </is>
      </c>
      <c r="K177" s="33" t="inlineStr">
        <is>
          <t>Yes — EU Safer Internet</t>
        </is>
      </c>
      <c r="L177" s="34" t="inlineStr">
        <is>
          <t>https://www.unicef.org/slovakia/</t>
        </is>
      </c>
      <c r="M177" s="33" t="inlineStr">
        <is>
          <t>Yes</t>
        </is>
      </c>
      <c r="N177" s="34" t="inlineStr">
        <is>
          <t>https://unctad.org/page/data-protection-and-privacy-legislation-worldwide</t>
        </is>
      </c>
      <c r="O177" s="33" t="inlineStr">
        <is>
          <t>Legal — no marriage equality</t>
        </is>
      </c>
      <c r="P177" s="34" t="inlineStr">
        <is>
          <t>https://www.humandignitytrust.org/country-profile/slovakia/; https://ilga.org/ilga-world-maps/</t>
        </is>
      </c>
      <c r="Q177" s="33" t="inlineStr">
        <is>
          <t>No</t>
        </is>
      </c>
      <c r="R177" s="34" t="inlineStr">
        <is>
          <t>https://ilga.org/ilga-world-maps/</t>
        </is>
      </c>
      <c r="S177" s="33" t="inlineStr">
        <is>
          <t>Adopted — National AI Strategy (2019), EU AI Act alignment</t>
        </is>
      </c>
      <c r="T177" s="34" t="inlineStr">
        <is>
          <t>https://en.unesco.org/artificial-intelligence/observatory/policies?country=SK; https://www.unesco.org/ethics-ai/en/global-hub</t>
        </is>
      </c>
      <c r="U177" s="33" t="inlineStr">
        <is>
          <t>Yes</t>
        </is>
      </c>
      <c r="V177" s="34" t="inlineStr">
        <is>
          <t>https://gdpr-info.eu/art-35-gdpr/</t>
        </is>
      </c>
      <c r="W177" s="33" t="inlineStr">
        <is>
          <t>No</t>
        </is>
      </c>
      <c r="X177" s="34" t="inlineStr">
        <is>
          <t>https://www.gsma.com/solutions-and-impact/connectivity-for-good/public-policy/mobile-policy-handbook/consumer-protection/mandatory-registration-of-prepaid-sims/</t>
        </is>
      </c>
      <c r="AI177">
        <f>SUM(Y177:AH177)</f>
        <v/>
      </c>
      <c r="AJ177">
        <f>100-(AI177*(AI177/20))</f>
        <v/>
      </c>
      <c r="AK177" s="24">
        <f>100-(AJ177*(AJ177/MAX(AJ162:AJ177)))</f>
        <v/>
      </c>
      <c r="AL177" t="n">
        <v>158</v>
      </c>
    </row>
    <row r="178">
      <c r="A178" s="33" t="n">
        <v>159</v>
      </c>
      <c r="B178" s="33" t="inlineStr">
        <is>
          <t>Slovenia</t>
        </is>
      </c>
      <c r="C178" s="33" t="inlineStr">
        <is>
          <t>Europe</t>
        </is>
      </c>
      <c r="D178" s="33" t="inlineStr">
        <is>
          <t>EU</t>
        </is>
      </c>
      <c r="E178" s="33" t="inlineStr">
        <is>
          <t>In force — GDPR</t>
        </is>
      </c>
      <c r="F178" s="34" t="inlineStr">
        <is>
          <t>https://unctad.org/page/data-protection-and-privacy-legislation-worldwide</t>
        </is>
      </c>
      <c r="G178" s="33" t="inlineStr">
        <is>
          <t>Strong — IP-RS</t>
        </is>
      </c>
      <c r="H178" s="34" t="inlineStr">
        <is>
          <t>https://unctad.org/page/data-protection-and-privacy-legislation-worldwide</t>
        </is>
      </c>
      <c r="I178" s="33" t="inlineStr">
        <is>
          <t>Yes</t>
        </is>
      </c>
      <c r="J178" s="34" t="inlineStr">
        <is>
          <t>https://unctad.org/page/data-protection-and-privacy-legislation-worldwide; https://www.unicef.org/slovenia/</t>
        </is>
      </c>
      <c r="K178" s="33" t="inlineStr">
        <is>
          <t>Yes — EU Safer Internet</t>
        </is>
      </c>
      <c r="L178" s="34" t="inlineStr">
        <is>
          <t>https://www.unicef.org/slovenia/</t>
        </is>
      </c>
      <c r="M178" s="33" t="inlineStr">
        <is>
          <t>Yes</t>
        </is>
      </c>
      <c r="N178" s="34" t="inlineStr">
        <is>
          <t>https://unctad.org/page/data-protection-and-privacy-legislation-worldwide</t>
        </is>
      </c>
      <c r="O178" s="33" t="inlineStr">
        <is>
          <t>Equality/Marriage — marriage equality since 2022</t>
        </is>
      </c>
      <c r="P178" s="34" t="inlineStr">
        <is>
          <t>https://www.humandignitytrust.org/country-profile/slovenia/; https://ilga.org/ilga-world-maps/</t>
        </is>
      </c>
      <c r="Q178" s="33" t="inlineStr">
        <is>
          <t>No</t>
        </is>
      </c>
      <c r="R178" s="34" t="inlineStr">
        <is>
          <t>https://ilga.org/ilga-world-maps/</t>
        </is>
      </c>
      <c r="S178" s="33" t="inlineStr">
        <is>
          <t>Adopted — National AI Strategy (2020)</t>
        </is>
      </c>
      <c r="T178" s="34" t="inlineStr">
        <is>
          <t>https://en.unesco.org/artificial-intelligence/observatory/policies?country=SI; https://www.unesco.org/ethics-ai/en/global-hub</t>
        </is>
      </c>
      <c r="U178" s="33" t="inlineStr">
        <is>
          <t>Yes</t>
        </is>
      </c>
      <c r="V178" s="34" t="inlineStr">
        <is>
          <t>https://gdpr-info.eu/art-35-gdpr/</t>
        </is>
      </c>
      <c r="W178" s="33" t="inlineStr">
        <is>
          <t>No</t>
        </is>
      </c>
      <c r="X178" s="34" t="inlineStr">
        <is>
          <t>https://www.gsma.com/solutions-and-impact/connectivity-for-good/public-policy/mobile-policy-handbook/consumer-protection/mandatory-registration-of-prepaid-sims/</t>
        </is>
      </c>
      <c r="AI178">
        <f>SUM(Y178:AH178)</f>
        <v/>
      </c>
      <c r="AJ178">
        <f>100-(AI178*(AI178/20))</f>
        <v/>
      </c>
      <c r="AK178" s="24">
        <f>100-(AJ178*(AJ178/MAX(AJ163:AJ178)))</f>
        <v/>
      </c>
      <c r="AL178" t="n">
        <v>159</v>
      </c>
    </row>
    <row r="179">
      <c r="A179" s="33" t="n">
        <v>164</v>
      </c>
      <c r="B179" s="33" t="inlineStr">
        <is>
          <t>Spain</t>
        </is>
      </c>
      <c r="C179" s="33" t="inlineStr">
        <is>
          <t>Europe</t>
        </is>
      </c>
      <c r="D179" s="33" t="inlineStr">
        <is>
          <t>EU</t>
        </is>
      </c>
      <c r="E179" s="33" t="inlineStr">
        <is>
          <t>In force — GDPR + Organic Law 3/2018</t>
        </is>
      </c>
      <c r="F179" s="34" t="inlineStr">
        <is>
          <t>https://unctad.org/page/data-protection-and-privacy-legislation-worldwide</t>
        </is>
      </c>
      <c r="G179" s="33" t="inlineStr">
        <is>
          <t>Strong — AEPD</t>
        </is>
      </c>
      <c r="H179" s="34" t="inlineStr">
        <is>
          <t>https://unctad.org/page/data-protection-and-privacy-legislation-worldwide</t>
        </is>
      </c>
      <c r="I179" s="33" t="inlineStr">
        <is>
          <t>Yes</t>
        </is>
      </c>
      <c r="J179" s="34" t="inlineStr">
        <is>
          <t>https://unctad.org/page/data-protection-and-privacy-legislation-worldwide; https://www.unicef.org/spain/</t>
        </is>
      </c>
      <c r="K179" s="33" t="inlineStr">
        <is>
          <t>Yes — EU Safer Internet Centre</t>
        </is>
      </c>
      <c r="L179" s="34" t="inlineStr">
        <is>
          <t>https://www.unicef.org/spain/</t>
        </is>
      </c>
      <c r="M179" s="33" t="inlineStr">
        <is>
          <t>Yes</t>
        </is>
      </c>
      <c r="N179" s="34" t="inlineStr">
        <is>
          <t>https://unctad.org/page/data-protection-and-privacy-legislation-worldwide</t>
        </is>
      </c>
      <c r="O179" s="33" t="inlineStr">
        <is>
          <t>Equality/Marriage — since 2005</t>
        </is>
      </c>
      <c r="P179" s="34" t="inlineStr">
        <is>
          <t>https://www.humandignitytrust.org/country-profile/spain/; https://ilga.org/ilga-world-maps/</t>
        </is>
      </c>
      <c r="Q179" s="33" t="inlineStr">
        <is>
          <t>No</t>
        </is>
      </c>
      <c r="R179" s="34" t="inlineStr">
        <is>
          <t>https://ilga.org/ilga-world-maps/</t>
        </is>
      </c>
      <c r="S179" s="33" t="inlineStr">
        <is>
          <t>Adopted — Spain AI Strategy 2020</t>
        </is>
      </c>
      <c r="T179" s="34" t="inlineStr">
        <is>
          <t>https://en.unesco.org/artificial-intelligence/observatory/policies?country=ES; https://www.unesco.org/ethics-ai/en/global-hub</t>
        </is>
      </c>
      <c r="U179" s="33" t="inlineStr">
        <is>
          <t>Yes</t>
        </is>
      </c>
      <c r="V179" s="34" t="inlineStr">
        <is>
          <t>https://gdpr-info.eu/art-35-gdpr/</t>
        </is>
      </c>
      <c r="W179" s="33" t="inlineStr">
        <is>
          <t>No</t>
        </is>
      </c>
      <c r="X179" s="34" t="inlineStr">
        <is>
          <t>https://www.gsma.com/solutions-and-impact/connectivity-for-good/public-policy/mobile-policy-handbook/consumer-protection/mandatory-registration-of-prepaid-sims/</t>
        </is>
      </c>
      <c r="AI179">
        <f>SUM(Y179:AH179)</f>
        <v/>
      </c>
      <c r="AJ179">
        <f>100-(AI179*(AI179/20))</f>
        <v/>
      </c>
      <c r="AK179" s="24">
        <f>100-(AJ179*(AJ179/MAX(AJ164:AJ179)))</f>
        <v/>
      </c>
      <c r="AL179" t="n">
        <v>164</v>
      </c>
    </row>
    <row r="180">
      <c r="A180" s="33" t="n">
        <v>169</v>
      </c>
      <c r="B180" s="33" t="inlineStr">
        <is>
          <t>Sweden</t>
        </is>
      </c>
      <c r="C180" s="33" t="inlineStr">
        <is>
          <t>Europe</t>
        </is>
      </c>
      <c r="D180" s="33" t="inlineStr">
        <is>
          <t>EU</t>
        </is>
      </c>
      <c r="E180" s="33" t="inlineStr">
        <is>
          <t>In force — GDPR</t>
        </is>
      </c>
      <c r="F180" s="34" t="inlineStr">
        <is>
          <t>https://unctad.org/page/data-protection-and-privacy-legislation-worldwide</t>
        </is>
      </c>
      <c r="G180" s="33" t="inlineStr">
        <is>
          <t>Strong — Datainspektionen</t>
        </is>
      </c>
      <c r="H180" s="34" t="inlineStr">
        <is>
          <t>https://unctad.org/page/data-protection-and-privacy-legislation-worldwide</t>
        </is>
      </c>
      <c r="I180" s="33" t="inlineStr">
        <is>
          <t>Yes</t>
        </is>
      </c>
      <c r="J180" s="34" t="inlineStr">
        <is>
          <t>https://unctad.org/page/data-protection-and-privacy-legislation-worldwide; https://www.unicef.org/sweden/</t>
        </is>
      </c>
      <c r="K180" s="33" t="inlineStr">
        <is>
          <t>Yes — EU Safer Internet</t>
        </is>
      </c>
      <c r="L180" s="34" t="inlineStr">
        <is>
          <t>https://www.unicef.org/sweden/</t>
        </is>
      </c>
      <c r="M180" s="33" t="inlineStr">
        <is>
          <t>Yes</t>
        </is>
      </c>
      <c r="N180" s="34" t="inlineStr">
        <is>
          <t>https://unctad.org/page/data-protection-and-privacy-legislation-worldwide</t>
        </is>
      </c>
      <c r="O180" s="33" t="inlineStr">
        <is>
          <t>Equality/Marriage — since 2009</t>
        </is>
      </c>
      <c r="P180" s="34" t="inlineStr">
        <is>
          <t>https://www.humandignitytrust.org/country-profile/sweden/; https://ilga.org/ilga-world-maps/</t>
        </is>
      </c>
      <c r="Q180" s="33" t="inlineStr">
        <is>
          <t>No</t>
        </is>
      </c>
      <c r="R180" s="34" t="inlineStr">
        <is>
          <t>https://ilga.org/ilga-world-maps/</t>
        </is>
      </c>
      <c r="S180" s="33" t="inlineStr">
        <is>
          <t>Adopted — National AI Strategy 2018</t>
        </is>
      </c>
      <c r="T180" s="34" t="inlineStr">
        <is>
          <t>https://en.unesco.org/artificial-intelligence/observatory/policies?country=SE; https://www.unesco.org/ethics-ai/en/global-hub</t>
        </is>
      </c>
      <c r="U180" s="33" t="inlineStr">
        <is>
          <t>Yes</t>
        </is>
      </c>
      <c r="V180" s="34" t="inlineStr">
        <is>
          <t>https://gdpr-info.eu/art-35-gdpr/</t>
        </is>
      </c>
      <c r="W180" s="33" t="inlineStr">
        <is>
          <t>No</t>
        </is>
      </c>
      <c r="X180" s="34" t="inlineStr">
        <is>
          <t>https://www.gsma.com/solutions-and-impact/connectivity-for-good/public-policy/mobile-policy-handbook/consumer-protection/mandatory-registration-of-prepaid-sims/</t>
        </is>
      </c>
      <c r="AI180">
        <f>SUM(Y180:AH180)</f>
        <v/>
      </c>
      <c r="AJ180">
        <f>100-(AI180*(AI180/20))</f>
        <v/>
      </c>
      <c r="AK180" s="24">
        <f>100-(AJ180*(AJ180/MAX(AJ165:AJ180)))</f>
        <v/>
      </c>
      <c r="AL180" t="n">
        <v>169</v>
      </c>
    </row>
    <row r="181">
      <c r="A181" s="33" t="n">
        <v>186</v>
      </c>
      <c r="B181" s="33" t="inlineStr">
        <is>
          <t>United Kingdom of Great Britain and Northern Ireland</t>
        </is>
      </c>
      <c r="C181" s="33" t="inlineStr">
        <is>
          <t>Europe</t>
        </is>
      </c>
      <c r="D181" s="33" t="inlineStr">
        <is>
          <t>EU</t>
        </is>
      </c>
      <c r="E181" s="33" t="inlineStr">
        <is>
          <t>In force — UK GDPR + Data Protection Act 2018</t>
        </is>
      </c>
      <c r="F181" s="34" t="inlineStr">
        <is>
          <t>https://unctad.org/page/data-protection-and-privacy-legislation-worldwide</t>
        </is>
      </c>
      <c r="G181" s="33" t="inlineStr">
        <is>
          <t>Strong</t>
        </is>
      </c>
      <c r="H181" s="34" t="inlineStr">
        <is>
          <t>https://unctad.org/page/data-protection-and-privacy-legislation-worldwide</t>
        </is>
      </c>
      <c r="I181" s="33" t="inlineStr">
        <is>
          <t>Yes — Age-Appropriate Design Code (2020)</t>
        </is>
      </c>
      <c r="J181" s="34" t="inlineStr">
        <is>
          <t>https://unctad.org/page/data-protection-and-privacy-legislation-worldwide; https://www.unicef.org/united-kingdom-of-great-britain-and-northern-ireland/</t>
        </is>
      </c>
      <c r="K181" s="33" t="inlineStr">
        <is>
          <t>Yes</t>
        </is>
      </c>
      <c r="L181" s="34" t="inlineStr">
        <is>
          <t>https://www.unicef.org/united-kingdom-of-great-britain-and-northern-ireland/</t>
        </is>
      </c>
      <c r="M181" s="33" t="inlineStr">
        <is>
          <t>Yes</t>
        </is>
      </c>
      <c r="N181" s="34" t="inlineStr">
        <is>
          <t>https://unctad.org/page/data-protection-and-privacy-legislation-worldwide</t>
        </is>
      </c>
      <c r="O181" s="33" t="inlineStr">
        <is>
          <t>Equality/Marriage</t>
        </is>
      </c>
      <c r="P181" s="34" t="inlineStr">
        <is>
          <t>https://www.humandignitytrust.org/country-profile/united-kingdom-of-great-britain-and-northern-ireland/; https://ilga.org/ilga-world-maps/</t>
        </is>
      </c>
      <c r="Q181" s="33" t="inlineStr">
        <is>
          <t>No</t>
        </is>
      </c>
      <c r="R181" s="34" t="inlineStr">
        <is>
          <t>https://ilga.org/ilga-world-maps/</t>
        </is>
      </c>
      <c r="S181" s="33" t="inlineStr">
        <is>
          <t>Adopted — UK National AI Strategy 2021</t>
        </is>
      </c>
      <c r="T181" s="34" t="inlineStr">
        <is>
          <t>https://en.unesco.org/artificial-intelligence/observatory/policies?country=GB; https://www.unesco.org/ethics-ai/en/global-hub</t>
        </is>
      </c>
      <c r="U181" s="33" t="inlineStr">
        <is>
          <t>Yes</t>
        </is>
      </c>
      <c r="V181" s="34" t="inlineStr">
        <is>
          <t>https://unctad.org/page/data-protection-and-privacy-legislation-worldwide</t>
        </is>
      </c>
      <c r="W181" s="33" t="inlineStr">
        <is>
          <t>No</t>
        </is>
      </c>
      <c r="X181" s="34" t="inlineStr">
        <is>
          <t>https://www.gsma.com/solutions-and-impact/connectivity-for-good/public-policy/mobile-policy-handbook/consumer-protection/mandatory-registration-of-prepaid-sims/</t>
        </is>
      </c>
      <c r="AI181">
        <f>SUM(Y181:AH181)</f>
        <v/>
      </c>
      <c r="AJ181">
        <f>100-(AI181*(AI181/20))</f>
        <v/>
      </c>
      <c r="AK181" s="24">
        <f>100-(AJ181*(AJ181/MAX(AJ171:AJ181)))</f>
        <v/>
      </c>
      <c r="AL181" t="n">
        <v>186</v>
      </c>
    </row>
    <row r="182">
      <c r="A182" s="31" t="n">
        <v>10</v>
      </c>
      <c r="B182" s="31" t="inlineStr">
        <is>
          <t>Australia</t>
        </is>
      </c>
      <c r="C182" s="31" t="inlineStr">
        <is>
          <t>Oceania</t>
        </is>
      </c>
      <c r="D182" s="31" t="inlineStr">
        <is>
          <t>PIF</t>
        </is>
      </c>
      <c r="E182" s="31" t="inlineStr">
        <is>
          <t>In force (Privacy Act 1988; ongoing reform to strengthen alignment with GDPR)</t>
        </is>
      </c>
      <c r="F182" s="32" t="inlineStr">
        <is>
          <t>https://unctad.org/page/data-protection-and-privacy-legislation-worldwide</t>
        </is>
      </c>
      <c r="G182" s="31" t="inlineStr">
        <is>
          <t>Strong/Independent (OAIC)</t>
        </is>
      </c>
      <c r="H182" s="32" t="inlineStr">
        <is>
          <t>https://unctad.org/page/data-protection-and-privacy-legislation-worldwide</t>
        </is>
      </c>
      <c r="I182" s="31" t="inlineStr">
        <is>
          <t>Yes (Online Safety Act 2021; eSafety Commissioner)</t>
        </is>
      </c>
      <c r="J182" s="32" t="inlineStr">
        <is>
          <t>https://unctad.org/page/data-protection-and-privacy-legislation-worldwide; https://www.unicef.org/australia/</t>
        </is>
      </c>
      <c r="K182" s="31" t="inlineStr">
        <is>
          <t>Yes (national COP plan led by eSafety)</t>
        </is>
      </c>
      <c r="L182" s="32" t="inlineStr">
        <is>
          <t>https://www.unicef.org/australia/</t>
        </is>
      </c>
      <c r="M182" s="31" t="inlineStr">
        <is>
          <t>Yes (sensitive information includes sexual orientation)</t>
        </is>
      </c>
      <c r="N182" s="32" t="inlineStr">
        <is>
          <t>https://unctad.org/page/data-protection-and-privacy-legislation-worldwide</t>
        </is>
      </c>
      <c r="O182" s="31" t="inlineStr">
        <is>
          <t>Equality/Marriage (Marriage Act amended 2017)</t>
        </is>
      </c>
      <c r="P182" s="32" t="inlineStr">
        <is>
          <t>https://www.humandignitytrust.org/country-profile/australia/; https://ilga.org/ilga-world-maps/</t>
        </is>
      </c>
      <c r="Q182" s="31" t="inlineStr">
        <is>
          <t>No/Annulled</t>
        </is>
      </c>
      <c r="R182" s="32" t="inlineStr">
        <is>
          <t>https://ilga.org/ilga-world-maps/</t>
        </is>
      </c>
      <c r="S182" s="31" t="inlineStr">
        <is>
          <t>Adopted (AI Ethics Principles 2019; Responsible AI Action Plan 2021; NACC emerging strategy)</t>
        </is>
      </c>
      <c r="T182" s="32" t="inlineStr">
        <is>
          <t>https://en.unesco.org/artificial-intelligence/observatory/policies?country=AU; https://www.unesco.org/ethics-ai/en/global-hub</t>
        </is>
      </c>
      <c r="U182" s="31" t="inlineStr">
        <is>
          <t>Partial (Privacy Impact Assessments recommended, not mandatory)</t>
        </is>
      </c>
      <c r="V182" s="32" t="inlineStr">
        <is>
          <t>https://unctad.org/page/data-protection-and-privacy-legislation-worldwide</t>
        </is>
      </c>
      <c r="W182" s="31" t="inlineStr">
        <is>
          <t>No (ID required, no biometrics)</t>
        </is>
      </c>
      <c r="X182" s="32" t="inlineStr">
        <is>
          <t>https://www.gsma.com/solutions-and-impact/connectivity-for-good/public-policy/mobile-policy-handbook/consumer-protection/mandatory-registration-of-prepaid-sims/; https://privacyinternational.org/learn/sim-card-registration</t>
        </is>
      </c>
      <c r="AI182">
        <f>SUM(Y182:AH182)</f>
        <v/>
      </c>
      <c r="AJ182">
        <f>100-(AI182*(AI182/20))</f>
        <v/>
      </c>
      <c r="AK182" s="24">
        <f>100-(AJ182*(AJ182/MAX(AJ182:AJ195)))</f>
        <v/>
      </c>
      <c r="AL182" t="n">
        <v>10</v>
      </c>
    </row>
    <row r="183">
      <c r="A183" s="31" t="n">
        <v>61</v>
      </c>
      <c r="B183" s="31" t="inlineStr">
        <is>
          <t>Fiji</t>
        </is>
      </c>
      <c r="C183" s="31" t="inlineStr">
        <is>
          <t>Oceania</t>
        </is>
      </c>
      <c r="D183" s="31" t="inlineStr">
        <is>
          <t>PIF</t>
        </is>
      </c>
      <c r="E183" s="31" t="inlineStr">
        <is>
          <t>Draft (consultations ongoing)</t>
        </is>
      </c>
      <c r="F183" s="32" t="inlineStr">
        <is>
          <t>https://unctad.org/page/data-protection-and-privacy-legislation-worldwide</t>
        </is>
      </c>
      <c r="G183" s="31" t="inlineStr">
        <is>
          <t>Weak (not independent)</t>
        </is>
      </c>
      <c r="H183" s="32" t="inlineStr">
        <is>
          <t>https://unctad.org/page/data-protection-and-privacy-legislation-worldwide</t>
        </is>
      </c>
      <c r="I183" s="31" t="inlineStr">
        <is>
          <t>Partial (general child protections)</t>
        </is>
      </c>
      <c r="J183" s="32" t="inlineStr">
        <is>
          <t>https://unctad.org/page/data-protection-and-privacy-legislation-worldwide; https://www.unicef.org/fiji/</t>
        </is>
      </c>
      <c r="K183" s="31" t="inlineStr">
        <is>
          <t>Partial (awareness campaigns)</t>
        </is>
      </c>
      <c r="L183" s="32" t="inlineStr">
        <is>
          <t>https://www.unicef.org/fiji/</t>
        </is>
      </c>
      <c r="M183" s="31" t="inlineStr">
        <is>
          <t>Partial (referenced in draft law)</t>
        </is>
      </c>
      <c r="N183" s="32" t="inlineStr">
        <is>
          <t>https://unctad.org/page/data-protection-and-privacy-legislation-worldwide</t>
        </is>
      </c>
      <c r="O183" s="31" t="inlineStr">
        <is>
          <t>Equality/Marriage (constitutional protections; marriage recognised)</t>
        </is>
      </c>
      <c r="P183" s="32" t="inlineStr">
        <is>
          <t>https://www.humandignitytrust.org/country-profile/fiji/; https://ilga.org/ilga-world-maps/</t>
        </is>
      </c>
      <c r="Q183" s="31" t="inlineStr">
        <is>
          <t>No</t>
        </is>
      </c>
      <c r="R183" s="32" t="inlineStr">
        <is>
          <t>https://ilga.org/ilga-world-maps/</t>
        </is>
      </c>
      <c r="S183" s="31" t="inlineStr">
        <is>
          <t>None</t>
        </is>
      </c>
      <c r="T183" s="32" t="inlineStr">
        <is>
          <t>https://en.unesco.org/artificial-intelligence/observatory/policies?country=FJ; https://www.unesco.org/ethics-ai/en/global-hub</t>
        </is>
      </c>
      <c r="U183" s="31" t="inlineStr">
        <is>
          <t>No</t>
        </is>
      </c>
      <c r="V183" s="32" t="inlineStr">
        <is>
          <t>https://unctad.org/page/data-protection-and-privacy-legislation-worldwide</t>
        </is>
      </c>
      <c r="W183" s="31" t="inlineStr">
        <is>
          <t>Yes (mandatory SIM registration)</t>
        </is>
      </c>
      <c r="X183" s="32" t="inlineStr">
        <is>
          <t>https://www.gsma.com/solutions-and-impact/connectivity-for-good/public-policy/mobile-policy-handbook/consumer-protection/mandatory-registration-of-prepaid-sims/</t>
        </is>
      </c>
      <c r="AI183">
        <f>SUM(Y183:AH183)</f>
        <v/>
      </c>
      <c r="AJ183">
        <f>100-(AI183*(AI183/20))</f>
        <v/>
      </c>
      <c r="AK183" s="24">
        <f>100-(AJ183*(AJ183/MAX(AJ182:AJ195)))</f>
        <v/>
      </c>
      <c r="AL183" t="n">
        <v>61</v>
      </c>
    </row>
    <row r="184">
      <c r="A184" s="31" t="n">
        <v>91</v>
      </c>
      <c r="B184" s="31" t="inlineStr">
        <is>
          <t>Kiribati</t>
        </is>
      </c>
      <c r="C184" s="31" t="inlineStr">
        <is>
          <t>Oceania</t>
        </is>
      </c>
      <c r="D184" s="31" t="inlineStr">
        <is>
          <t>PIF</t>
        </is>
      </c>
      <c r="E184" s="31" t="inlineStr">
        <is>
          <t>None</t>
        </is>
      </c>
      <c r="F184" s="32" t="inlineStr">
        <is>
          <t>https://unctad.org/page/data-protection-and-privacy-legislation-worldwide</t>
        </is>
      </c>
      <c r="G184" s="31" t="inlineStr">
        <is>
          <t>None</t>
        </is>
      </c>
      <c r="H184" s="32" t="inlineStr">
        <is>
          <t>https://unctad.org/page/data-protection-and-privacy-legislation-worldwide</t>
        </is>
      </c>
      <c r="I184" s="31" t="inlineStr">
        <is>
          <t>No</t>
        </is>
      </c>
      <c r="J184" s="32" t="inlineStr">
        <is>
          <t>https://www.unicef.org/kiribati/</t>
        </is>
      </c>
      <c r="K184" s="31" t="inlineStr">
        <is>
          <t>No</t>
        </is>
      </c>
      <c r="L184" s="32" t="inlineStr">
        <is>
          <t>https://www.unicef.org/kiribati/</t>
        </is>
      </c>
      <c r="M184" s="31" t="inlineStr">
        <is>
          <t>No</t>
        </is>
      </c>
      <c r="N184" s="32" t="inlineStr">
        <is>
          <t>https://unctad.org/page/data-protection-and-privacy-legislation-worldwide</t>
        </is>
      </c>
      <c r="O184" s="31" t="inlineStr">
        <is>
          <t>Criminalised (sodomy laws in force)</t>
        </is>
      </c>
      <c r="P184" s="32" t="inlineStr">
        <is>
          <t>https://www.humandignitytrust.org/country-profile/kiribati/; https://ilga.org/ilga-world-maps/</t>
        </is>
      </c>
      <c r="Q184" s="31" t="inlineStr">
        <is>
          <t>Yes (morality restrictions)</t>
        </is>
      </c>
      <c r="R184" s="32" t="inlineStr">
        <is>
          <t>https://ilga.org/ilga-world-maps/</t>
        </is>
      </c>
      <c r="S184" s="31" t="inlineStr">
        <is>
          <t>None</t>
        </is>
      </c>
      <c r="T184" s="32" t="inlineStr">
        <is>
          <t>https://en.unesco.org/artificial-intelligence/observatory/policies?country=KI; https://www.unesco.org/ethics-ai/en/global-hub</t>
        </is>
      </c>
      <c r="U184" s="31" t="inlineStr">
        <is>
          <t>No</t>
        </is>
      </c>
      <c r="V184" s="32" t="inlineStr">
        <is>
          <t>https://unctad.org/page/data-protection-and-privacy-legislation-worldwide</t>
        </is>
      </c>
      <c r="W184" s="31" t="inlineStr">
        <is>
          <t>Yes (SIM registration required)</t>
        </is>
      </c>
      <c r="X184" s="32" t="inlineStr">
        <is>
          <t>https://www.gsma.com/solutions-and-impact/connectivity-for-good/public-policy/mobile-policy-handbook/consumer-protection/mandatory-registration-of-prepaid-sims/</t>
        </is>
      </c>
      <c r="AI184">
        <f>SUM(Y184:AH184)</f>
        <v/>
      </c>
      <c r="AJ184">
        <f>100-(AI184*(AI184/20))</f>
        <v/>
      </c>
      <c r="AK184" s="24">
        <f>100-(AJ184*(AJ184/MAX(AJ182:AJ195)))</f>
        <v/>
      </c>
      <c r="AL184" t="n">
        <v>91</v>
      </c>
    </row>
    <row r="185">
      <c r="A185" s="31" t="n">
        <v>109</v>
      </c>
      <c r="B185" s="31" t="inlineStr">
        <is>
          <t>Marshall Islands</t>
        </is>
      </c>
      <c r="C185" s="31" t="inlineStr">
        <is>
          <t>Oceania</t>
        </is>
      </c>
      <c r="D185" s="31" t="inlineStr">
        <is>
          <t>PIF</t>
        </is>
      </c>
      <c r="E185" s="31" t="inlineStr">
        <is>
          <t>None</t>
        </is>
      </c>
      <c r="F185" s="32" t="inlineStr">
        <is>
          <t>https://unctad.org/page/data-protection-and-privacy-legislation-worldwide</t>
        </is>
      </c>
      <c r="G185" s="31" t="inlineStr">
        <is>
          <t>None</t>
        </is>
      </c>
      <c r="H185" s="32" t="inlineStr">
        <is>
          <t>https://unctad.org/page/data-protection-and-privacy-legislation-worldwide</t>
        </is>
      </c>
      <c r="I185" s="31" t="inlineStr">
        <is>
          <t>No</t>
        </is>
      </c>
      <c r="J185" s="32" t="inlineStr">
        <is>
          <t>https://www.unicef.org/marshall-islands/</t>
        </is>
      </c>
      <c r="K185" s="31" t="inlineStr">
        <is>
          <t>No</t>
        </is>
      </c>
      <c r="L185" s="32" t="inlineStr">
        <is>
          <t>https://www.unicef.org/marshall-islands/</t>
        </is>
      </c>
      <c r="M185" s="31" t="inlineStr">
        <is>
          <t>No</t>
        </is>
      </c>
      <c r="N185" s="32" t="inlineStr">
        <is>
          <t>https://unctad.org/page/data-protection-and-privacy-legislation-worldwide</t>
        </is>
      </c>
      <c r="O185" s="31" t="inlineStr">
        <is>
          <t>Legal (decriminalised; no marriage equality)</t>
        </is>
      </c>
      <c r="P185" s="32" t="inlineStr">
        <is>
          <t>https://www.humandignitytrust.org/country-profile/marshall-islands/; https://ilga.org/ilga-world-maps/</t>
        </is>
      </c>
      <c r="Q185" s="31" t="inlineStr">
        <is>
          <t>No</t>
        </is>
      </c>
      <c r="R185" s="32" t="inlineStr">
        <is>
          <t>https://ilga.org/ilga-world-maps/</t>
        </is>
      </c>
      <c r="S185" s="31" t="inlineStr">
        <is>
          <t>None</t>
        </is>
      </c>
      <c r="T185" s="32" t="inlineStr">
        <is>
          <t>https://en.unesco.org/artificial-intelligence/observatory/policies?country=MH; https://www.unesco.org/ethics-ai/en/global-hub</t>
        </is>
      </c>
      <c r="U185" s="31" t="inlineStr">
        <is>
          <t>No</t>
        </is>
      </c>
      <c r="V185" s="32" t="inlineStr">
        <is>
          <t>https://unctad.org/page/data-protection-and-privacy-legislation-worldwide</t>
        </is>
      </c>
      <c r="W185" s="31" t="inlineStr">
        <is>
          <t>Yes (SIM tied to ID)</t>
        </is>
      </c>
      <c r="X185" s="32" t="inlineStr">
        <is>
          <t>https://www.gsma.com/solutions-and-impact/connectivity-for-good/public-policy/mobile-policy-handbook/consumer-protection/mandatory-registration-of-prepaid-sims/</t>
        </is>
      </c>
      <c r="AI185">
        <f>SUM(Y185:AH185)</f>
        <v/>
      </c>
      <c r="AJ185">
        <f>100-(AI185*(AI185/20))</f>
        <v/>
      </c>
      <c r="AK185" s="24">
        <f>100-(AJ185*(AJ185/MAX(AJ182:AJ195)))</f>
        <v/>
      </c>
      <c r="AL185" t="n">
        <v>109</v>
      </c>
    </row>
    <row r="186">
      <c r="A186" s="31" t="n">
        <v>113</v>
      </c>
      <c r="B186" s="31" t="inlineStr">
        <is>
          <t>Micronesia (Federated States of)</t>
        </is>
      </c>
      <c r="C186" s="31" t="inlineStr">
        <is>
          <t>Oceania</t>
        </is>
      </c>
      <c r="D186" s="31" t="inlineStr">
        <is>
          <t>PIF</t>
        </is>
      </c>
      <c r="E186" s="31" t="inlineStr">
        <is>
          <t>None</t>
        </is>
      </c>
      <c r="F186" s="32" t="inlineStr">
        <is>
          <t>https://unctad.org/page/data-protection-and-privacy-legislation-worldwide</t>
        </is>
      </c>
      <c r="G186" s="31" t="inlineStr">
        <is>
          <t>None</t>
        </is>
      </c>
      <c r="H186" s="32" t="inlineStr">
        <is>
          <t>https://unctad.org/page/data-protection-and-privacy-legislation-worldwide</t>
        </is>
      </c>
      <c r="I186" s="31" t="inlineStr">
        <is>
          <t>No</t>
        </is>
      </c>
      <c r="J186" s="32" t="inlineStr">
        <is>
          <t>https://www.unicef.org/micronesia-federated-states-of/</t>
        </is>
      </c>
      <c r="K186" s="31" t="inlineStr">
        <is>
          <t>No</t>
        </is>
      </c>
      <c r="L186" s="32" t="inlineStr">
        <is>
          <t>https://www.unicef.org/micronesia-federated-states-of/</t>
        </is>
      </c>
      <c r="M186" s="31" t="inlineStr">
        <is>
          <t>No</t>
        </is>
      </c>
      <c r="N186" s="32" t="inlineStr">
        <is>
          <t>https://unctad.org/page/data-protection-and-privacy-legislation-worldwide</t>
        </is>
      </c>
      <c r="O186" s="31" t="inlineStr">
        <is>
          <t>Legal (decriminalised; no recognition)</t>
        </is>
      </c>
      <c r="P186" s="32" t="inlineStr">
        <is>
          <t>https://www.humandignitytrust.org/country-profile/micronesia-federated-states-of/; https://ilga.org/ilga-world-maps/</t>
        </is>
      </c>
      <c r="Q186" s="31" t="inlineStr">
        <is>
          <t>No</t>
        </is>
      </c>
      <c r="R186" s="32" t="inlineStr">
        <is>
          <t>https://ilga.org/ilga-world-maps/</t>
        </is>
      </c>
      <c r="S186" s="31" t="inlineStr">
        <is>
          <t>None</t>
        </is>
      </c>
      <c r="T186" s="32" t="inlineStr">
        <is>
          <t>https://www.unesco.org/ethics-ai/en/global-hub</t>
        </is>
      </c>
      <c r="U186" s="31" t="inlineStr">
        <is>
          <t>No</t>
        </is>
      </c>
      <c r="V186" s="32" t="inlineStr">
        <is>
          <t>https://unctad.org/page/data-protection-and-privacy-legislation-worldwide</t>
        </is>
      </c>
      <c r="W186" s="31" t="inlineStr">
        <is>
          <t>Yes (SIM tied to ID)</t>
        </is>
      </c>
      <c r="X186" s="32" t="inlineStr">
        <is>
          <t>https://www.gsma.com/solutions-and-impact/connectivity-for-good/public-policy/mobile-policy-handbook/consumer-protection/mandatory-registration-of-prepaid-sims/</t>
        </is>
      </c>
      <c r="AI186">
        <f>SUM(Y186:AH186)</f>
        <v/>
      </c>
      <c r="AJ186">
        <f>100-(AI186*(AI186/20))</f>
        <v/>
      </c>
      <c r="AK186" s="24">
        <f>100-(AJ186*(AJ186/MAX(AJ182:AJ195)))</f>
        <v/>
      </c>
      <c r="AL186" t="n">
        <v>113</v>
      </c>
    </row>
    <row r="187">
      <c r="A187" s="31" t="n">
        <v>121</v>
      </c>
      <c r="B187" s="31" t="inlineStr">
        <is>
          <t>Nauru</t>
        </is>
      </c>
      <c r="C187" s="31" t="inlineStr">
        <is>
          <t>Oceania</t>
        </is>
      </c>
      <c r="D187" s="31" t="inlineStr">
        <is>
          <t>PIF</t>
        </is>
      </c>
      <c r="E187" s="31" t="inlineStr">
        <is>
          <t>None</t>
        </is>
      </c>
      <c r="F187" s="32" t="inlineStr">
        <is>
          <t>https://unctad.org/page/data-protection-and-privacy-legislation-worldwide</t>
        </is>
      </c>
      <c r="G187" s="31" t="inlineStr">
        <is>
          <t>None</t>
        </is>
      </c>
      <c r="H187" s="32" t="inlineStr">
        <is>
          <t>https://unctad.org/page/data-protection-and-privacy-legislation-worldwide</t>
        </is>
      </c>
      <c r="I187" s="31" t="inlineStr">
        <is>
          <t>No</t>
        </is>
      </c>
      <c r="J187" s="32" t="inlineStr">
        <is>
          <t>https://www.unicef.org/nauru/</t>
        </is>
      </c>
      <c r="K187" s="31" t="inlineStr">
        <is>
          <t>No</t>
        </is>
      </c>
      <c r="L187" s="32" t="inlineStr">
        <is>
          <t>https://www.unicef.org/nauru/</t>
        </is>
      </c>
      <c r="M187" s="31" t="inlineStr">
        <is>
          <t>No</t>
        </is>
      </c>
      <c r="N187" s="32" t="inlineStr">
        <is>
          <t>https://unctad.org/page/data-protection-and-privacy-legislation-worldwide</t>
        </is>
      </c>
      <c r="O187" s="31" t="inlineStr">
        <is>
          <t>Legal (decriminalised 2016; no recognition)</t>
        </is>
      </c>
      <c r="P187" s="32" t="inlineStr">
        <is>
          <t>https://www.humandignitytrust.org/country-profile/nauru/; https://ilga.org/ilga-world-maps/</t>
        </is>
      </c>
      <c r="Q187" s="31" t="inlineStr">
        <is>
          <t>No</t>
        </is>
      </c>
      <c r="R187" s="32" t="inlineStr">
        <is>
          <t>https://ilga.org/ilga-world-maps/</t>
        </is>
      </c>
      <c r="S187" s="31" t="inlineStr">
        <is>
          <t>None</t>
        </is>
      </c>
      <c r="T187" s="32" t="inlineStr">
        <is>
          <t>https://en.unesco.org/artificial-intelligence/observatory/policies?country=NR; https://www.unesco.org/ethics-ai/en/global-hub</t>
        </is>
      </c>
      <c r="U187" s="31" t="inlineStr">
        <is>
          <t>No</t>
        </is>
      </c>
      <c r="V187" s="32" t="inlineStr">
        <is>
          <t>https://unctad.org/page/data-protection-and-privacy-legislation-worldwide</t>
        </is>
      </c>
      <c r="W187" s="31" t="inlineStr">
        <is>
          <t>Yes</t>
        </is>
      </c>
      <c r="X187" s="32" t="inlineStr">
        <is>
          <t>https://www.gsma.com/solutions-and-impact/connectivity-for-good/public-policy/mobile-policy-handbook/consumer-protection/mandatory-registration-of-prepaid-sims/</t>
        </is>
      </c>
      <c r="AI187">
        <f>SUM(Y187:AH187)</f>
        <v/>
      </c>
      <c r="AJ187">
        <f>100-(AI187*(AI187/20))</f>
        <v/>
      </c>
      <c r="AK187" s="24">
        <f>100-(AJ187*(AJ187/MAX(AJ182:AJ195)))</f>
        <v/>
      </c>
      <c r="AL187" t="n">
        <v>121</v>
      </c>
    </row>
    <row r="188">
      <c r="A188" s="31" t="n">
        <v>124</v>
      </c>
      <c r="B188" s="31" t="inlineStr">
        <is>
          <t>New Zealand</t>
        </is>
      </c>
      <c r="C188" s="31" t="inlineStr">
        <is>
          <t>Oceania</t>
        </is>
      </c>
      <c r="D188" s="31" t="inlineStr">
        <is>
          <t>PIF</t>
        </is>
      </c>
      <c r="E188" s="31" t="inlineStr">
        <is>
          <t>In force (Privacy Act 2020)</t>
        </is>
      </c>
      <c r="F188" s="32" t="inlineStr">
        <is>
          <t>https://unctad.org/page/data-protection-and-privacy-legislation-worldwide</t>
        </is>
      </c>
      <c r="G188" s="31" t="inlineStr">
        <is>
          <t>Strong (Office of the Privacy Commissioner)</t>
        </is>
      </c>
      <c r="H188" s="32" t="inlineStr">
        <is>
          <t>https://unctad.org/page/data-protection-and-privacy-legislation-worldwide</t>
        </is>
      </c>
      <c r="I188" s="31" t="inlineStr">
        <is>
          <t>Partial (privacy rules cover minors; no COP-specific law)</t>
        </is>
      </c>
      <c r="J188" s="32" t="inlineStr">
        <is>
          <t>https://unctad.org/page/data-protection-and-privacy-legislation-worldwide; https://www.unicef.org/new-zealand/</t>
        </is>
      </c>
      <c r="K188" s="31" t="inlineStr">
        <is>
          <t>Yes (NetSafe initiatives)</t>
        </is>
      </c>
      <c r="L188" s="32" t="inlineStr">
        <is>
          <t>https://www.unicef.org/new-zealand/</t>
        </is>
      </c>
      <c r="M188" s="31" t="inlineStr">
        <is>
          <t>Yes</t>
        </is>
      </c>
      <c r="N188" s="32" t="inlineStr">
        <is>
          <t>https://unctad.org/page/data-protection-and-privacy-legislation-worldwide</t>
        </is>
      </c>
      <c r="O188" s="31" t="inlineStr">
        <is>
          <t>Equality/Marriage (since 2013)</t>
        </is>
      </c>
      <c r="P188" s="32" t="inlineStr">
        <is>
          <t>https://www.humandignitytrust.org/country-profile/new-zealand/; https://ilga.org/ilga-world-maps/</t>
        </is>
      </c>
      <c r="Q188" s="31" t="inlineStr">
        <is>
          <t>No</t>
        </is>
      </c>
      <c r="R188" s="32" t="inlineStr">
        <is>
          <t>https://ilga.org/ilga-world-maps/</t>
        </is>
      </c>
      <c r="S188" s="31" t="inlineStr">
        <is>
          <t>Draft/Early (AI Action Plan under Digital Strategy for Aotearoa)</t>
        </is>
      </c>
      <c r="T188" s="32" t="inlineStr">
        <is>
          <t>https://en.unesco.org/artificial-intelligence/observatory/policies?country=NZ; https://www.unesco.org/ethics-ai/en/global-hub</t>
        </is>
      </c>
      <c r="U188" s="31" t="inlineStr">
        <is>
          <t>Partial (risk assessments encouraged)</t>
        </is>
      </c>
      <c r="V188" s="32" t="inlineStr">
        <is>
          <t>https://unctad.org/page/data-protection-and-privacy-legislation-worldwide</t>
        </is>
      </c>
      <c r="W188" s="31" t="inlineStr">
        <is>
          <t>No</t>
        </is>
      </c>
      <c r="X188" s="32" t="inlineStr">
        <is>
          <t>https://www.gsma.com/solutions-and-impact/connectivity-for-good/public-policy/mobile-policy-handbook/consumer-protection/mandatory-registration-of-prepaid-sims/</t>
        </is>
      </c>
      <c r="AI188">
        <f>SUM(Y188:AH188)</f>
        <v/>
      </c>
      <c r="AJ188">
        <f>100-(AI188*(AI188/20))</f>
        <v/>
      </c>
      <c r="AK188" s="24">
        <f>100-(AJ188*(AJ188/MAX(AJ182:AJ195)))</f>
        <v/>
      </c>
      <c r="AL188" t="n">
        <v>124</v>
      </c>
    </row>
    <row r="189">
      <c r="A189" s="31" t="n">
        <v>132</v>
      </c>
      <c r="B189" s="31" t="inlineStr">
        <is>
          <t>Palau</t>
        </is>
      </c>
      <c r="C189" s="31" t="inlineStr">
        <is>
          <t>Oceania</t>
        </is>
      </c>
      <c r="D189" s="31" t="inlineStr">
        <is>
          <t>PIF</t>
        </is>
      </c>
      <c r="E189" s="31" t="inlineStr">
        <is>
          <t>None</t>
        </is>
      </c>
      <c r="F189" s="32" t="inlineStr">
        <is>
          <t>https://unctad.org/page/data-protection-and-privacy-legislation-worldwide</t>
        </is>
      </c>
      <c r="G189" s="31" t="inlineStr">
        <is>
          <t>None</t>
        </is>
      </c>
      <c r="H189" s="32" t="inlineStr">
        <is>
          <t>https://unctad.org/page/data-protection-and-privacy-legislation-worldwide</t>
        </is>
      </c>
      <c r="I189" s="31" t="inlineStr">
        <is>
          <t>No</t>
        </is>
      </c>
      <c r="J189" s="32" t="inlineStr">
        <is>
          <t>https://www.unicef.org/palau/</t>
        </is>
      </c>
      <c r="K189" s="31" t="inlineStr">
        <is>
          <t>No</t>
        </is>
      </c>
      <c r="L189" s="32" t="inlineStr">
        <is>
          <t>https://www.unicef.org/palau/</t>
        </is>
      </c>
      <c r="M189" s="31" t="inlineStr">
        <is>
          <t>No</t>
        </is>
      </c>
      <c r="N189" s="32" t="inlineStr">
        <is>
          <t>https://unctad.org/page/data-protection-and-privacy-legislation-worldwide</t>
        </is>
      </c>
      <c r="O189" s="31" t="inlineStr">
        <is>
          <t>Legal — decriminalised 2014, no recognition</t>
        </is>
      </c>
      <c r="P189" s="32" t="inlineStr">
        <is>
          <t>https://www.humandignitytrust.org/country-profile/palau/; https://ilga.org/ilga-world-maps/</t>
        </is>
      </c>
      <c r="Q189" s="31" t="inlineStr">
        <is>
          <t>No</t>
        </is>
      </c>
      <c r="R189" s="32" t="inlineStr">
        <is>
          <t>https://ilga.org/ilga-world-maps/</t>
        </is>
      </c>
      <c r="S189" s="31" t="inlineStr">
        <is>
          <t>None</t>
        </is>
      </c>
      <c r="T189" s="32" t="inlineStr">
        <is>
          <t>https://en.unesco.org/artificial-intelligence/observatory/policies?country=PW; https://www.unesco.org/ethics-ai/en/global-hub</t>
        </is>
      </c>
      <c r="U189" s="31" t="inlineStr">
        <is>
          <t>No</t>
        </is>
      </c>
      <c r="V189" s="32" t="inlineStr">
        <is>
          <t>https://unctad.org/page/data-protection-and-privacy-legislation-worldwide</t>
        </is>
      </c>
      <c r="W189" s="31" t="inlineStr">
        <is>
          <t>Yes</t>
        </is>
      </c>
      <c r="X189" s="32" t="inlineStr">
        <is>
          <t>https://www.gsma.com/solutions-and-impact/connectivity-for-good/public-policy/mobile-policy-handbook/consumer-protection/mandatory-registration-of-prepaid-sims/</t>
        </is>
      </c>
      <c r="AI189">
        <f>SUM(Y189:AH189)</f>
        <v/>
      </c>
      <c r="AJ189">
        <f>100-(AI189*(AI189/20))</f>
        <v/>
      </c>
      <c r="AK189" s="24">
        <f>100-(AJ189*(AJ189/MAX(AJ182:AJ195)))</f>
        <v/>
      </c>
      <c r="AL189" t="n">
        <v>132</v>
      </c>
    </row>
    <row r="190">
      <c r="A190" s="31" t="n">
        <v>134</v>
      </c>
      <c r="B190" s="31" t="inlineStr">
        <is>
          <t>Papua New Guinea</t>
        </is>
      </c>
      <c r="C190" s="31" t="inlineStr">
        <is>
          <t>Oceania</t>
        </is>
      </c>
      <c r="D190" s="31" t="inlineStr">
        <is>
          <t>PIF</t>
        </is>
      </c>
      <c r="E190" s="31" t="inlineStr">
        <is>
          <t>Draft — Data Protection Bill 2022</t>
        </is>
      </c>
      <c r="F190" s="32" t="inlineStr">
        <is>
          <t>https://unctad.org/page/data-protection-and-privacy-legislation-worldwide</t>
        </is>
      </c>
      <c r="G190" s="31" t="inlineStr">
        <is>
          <t>None</t>
        </is>
      </c>
      <c r="H190" s="32" t="inlineStr">
        <is>
          <t>https://unctad.org/page/data-protection-and-privacy-legislation-worldwide</t>
        </is>
      </c>
      <c r="I190" s="31" t="inlineStr">
        <is>
          <t>No</t>
        </is>
      </c>
      <c r="J190" s="32" t="inlineStr">
        <is>
          <t>https://www.unicef.org/papua-new-guinea/</t>
        </is>
      </c>
      <c r="K190" s="31" t="inlineStr">
        <is>
          <t>No</t>
        </is>
      </c>
      <c r="L190" s="32" t="inlineStr">
        <is>
          <t>https://www.unicef.org/papua-new-guinea/</t>
        </is>
      </c>
      <c r="M190" s="31" t="inlineStr">
        <is>
          <t>No</t>
        </is>
      </c>
      <c r="N190" s="32" t="inlineStr">
        <is>
          <t>https://unctad.org/page/data-protection-and-privacy-legislation-worldwide</t>
        </is>
      </c>
      <c r="O190" s="31" t="inlineStr">
        <is>
          <t>Criminalised — Penal Code Sec. 210</t>
        </is>
      </c>
      <c r="P190" s="32" t="inlineStr">
        <is>
          <t>https://www.humandignitytrust.org/country-profile/papua-new-guinea/; https://ilga.org/ilga-world-maps/</t>
        </is>
      </c>
      <c r="Q190" s="31" t="inlineStr">
        <is>
          <t>Yes</t>
        </is>
      </c>
      <c r="R190" s="32" t="inlineStr">
        <is>
          <t>https://ilga.org/ilga-world-maps/</t>
        </is>
      </c>
      <c r="S190" s="31" t="inlineStr">
        <is>
          <t>None</t>
        </is>
      </c>
      <c r="T190" s="32" t="inlineStr">
        <is>
          <t>https://en.unesco.org/artificial-intelligence/observatory/policies?country=PG; https://www.unesco.org/ethics-ai/en/global-hub</t>
        </is>
      </c>
      <c r="U190" s="31" t="inlineStr">
        <is>
          <t>No</t>
        </is>
      </c>
      <c r="V190" s="32" t="inlineStr">
        <is>
          <t>https://unctad.org/page/data-protection-and-privacy-legislation-worldwide</t>
        </is>
      </c>
      <c r="W190" s="31" t="inlineStr">
        <is>
          <t>Yes</t>
        </is>
      </c>
      <c r="X190" s="32" t="inlineStr">
        <is>
          <t>https://www.gsma.com/solutions-and-impact/connectivity-for-good/public-policy/mobile-policy-handbook/consumer-protection/mandatory-registration-of-prepaid-sims/</t>
        </is>
      </c>
      <c r="AI190">
        <f>SUM(Y190:AH190)</f>
        <v/>
      </c>
      <c r="AJ190">
        <f>100-(AI190*(AI190/20))</f>
        <v/>
      </c>
      <c r="AK190" s="24">
        <f>100-(AJ190*(AJ190/MAX(AJ182:AJ195)))</f>
        <v/>
      </c>
      <c r="AL190" t="n">
        <v>134</v>
      </c>
    </row>
    <row r="191">
      <c r="A191" s="31" t="n">
        <v>149</v>
      </c>
      <c r="B191" s="31" t="inlineStr">
        <is>
          <t>Samoa</t>
        </is>
      </c>
      <c r="C191" s="31" t="inlineStr">
        <is>
          <t>Oceania</t>
        </is>
      </c>
      <c r="D191" s="31" t="inlineStr">
        <is>
          <t>PIF</t>
        </is>
      </c>
      <c r="E191" s="31" t="inlineStr">
        <is>
          <t>Draft — DP Bill pending</t>
        </is>
      </c>
      <c r="F191" s="32" t="inlineStr">
        <is>
          <t>https://unctad.org/page/data-protection-and-privacy-legislation-worldwide</t>
        </is>
      </c>
      <c r="G191" s="31" t="inlineStr">
        <is>
          <t>None</t>
        </is>
      </c>
      <c r="H191" s="32" t="inlineStr">
        <is>
          <t>https://unctad.org/page/data-protection-and-privacy-legislation-worldwide</t>
        </is>
      </c>
      <c r="I191" s="31" t="inlineStr">
        <is>
          <t>No</t>
        </is>
      </c>
      <c r="J191" s="32" t="inlineStr">
        <is>
          <t>https://www.unicef.org/samoa/</t>
        </is>
      </c>
      <c r="K191" s="31" t="inlineStr">
        <is>
          <t>No</t>
        </is>
      </c>
      <c r="L191" s="32" t="inlineStr">
        <is>
          <t>https://www.unicef.org/samoa/</t>
        </is>
      </c>
      <c r="M191" s="31" t="inlineStr">
        <is>
          <t>No</t>
        </is>
      </c>
      <c r="N191" s="32" t="inlineStr">
        <is>
          <t>https://unctad.org/page/data-protection-and-privacy-legislation-worldwide</t>
        </is>
      </c>
      <c r="O191" s="31" t="inlineStr">
        <is>
          <t>Criminalised — sodomy law still in force</t>
        </is>
      </c>
      <c r="P191" s="32" t="inlineStr">
        <is>
          <t>https://www.humandignitytrust.org/country-profile/samoa/; https://ilga.org/ilga-world-maps/</t>
        </is>
      </c>
      <c r="Q191" s="31" t="inlineStr">
        <is>
          <t>Yes</t>
        </is>
      </c>
      <c r="R191" s="32" t="inlineStr">
        <is>
          <t>https://ilga.org/ilga-world-maps/</t>
        </is>
      </c>
      <c r="S191" s="31" t="inlineStr">
        <is>
          <t>None</t>
        </is>
      </c>
      <c r="T191" s="32" t="inlineStr">
        <is>
          <t>https://en.unesco.org/artificial-intelligence/observatory/policies?country=WS; https://www.unesco.org/ethics-ai/en/global-hub</t>
        </is>
      </c>
      <c r="U191" s="31" t="inlineStr">
        <is>
          <t>No</t>
        </is>
      </c>
      <c r="V191" s="32" t="inlineStr">
        <is>
          <t>https://unctad.org/page/data-protection-and-privacy-legislation-worldwide</t>
        </is>
      </c>
      <c r="W191" s="31" t="inlineStr">
        <is>
          <t>Yes</t>
        </is>
      </c>
      <c r="X191" s="32" t="inlineStr">
        <is>
          <t>https://www.gsma.com/solutions-and-impact/connectivity-for-good/public-policy/mobile-policy-handbook/consumer-protection/mandatory-registration-of-prepaid-sims/</t>
        </is>
      </c>
      <c r="AI191">
        <f>SUM(Y191:AH191)</f>
        <v/>
      </c>
      <c r="AJ191">
        <f>100-(AI191*(AI191/20))</f>
        <v/>
      </c>
      <c r="AK191" s="24">
        <f>100-(AJ191*(AJ191/MAX(AJ182:AJ195)))</f>
        <v/>
      </c>
      <c r="AL191" t="n">
        <v>149</v>
      </c>
    </row>
    <row r="192">
      <c r="A192" s="31" t="n">
        <v>160</v>
      </c>
      <c r="B192" s="31" t="inlineStr">
        <is>
          <t>Solomon Islands</t>
        </is>
      </c>
      <c r="C192" s="31" t="inlineStr">
        <is>
          <t>Oceania</t>
        </is>
      </c>
      <c r="D192" s="31" t="inlineStr">
        <is>
          <t>PIF</t>
        </is>
      </c>
      <c r="E192" s="31" t="inlineStr">
        <is>
          <t>None</t>
        </is>
      </c>
      <c r="F192" s="32" t="inlineStr">
        <is>
          <t>https://unctad.org/page/data-protection-and-privacy-legislation-worldwide</t>
        </is>
      </c>
      <c r="G192" s="31" t="inlineStr">
        <is>
          <t>None</t>
        </is>
      </c>
      <c r="H192" s="32" t="inlineStr">
        <is>
          <t>https://unctad.org/page/data-protection-and-privacy-legislation-worldwide</t>
        </is>
      </c>
      <c r="I192" s="31" t="inlineStr">
        <is>
          <t>No</t>
        </is>
      </c>
      <c r="J192" s="32" t="inlineStr">
        <is>
          <t>https://www.unicef.org/solomon-islands/</t>
        </is>
      </c>
      <c r="K192" s="31" t="inlineStr">
        <is>
          <t>No</t>
        </is>
      </c>
      <c r="L192" s="32" t="inlineStr">
        <is>
          <t>https://www.unicef.org/solomon-islands/</t>
        </is>
      </c>
      <c r="M192" s="31" t="inlineStr">
        <is>
          <t>No</t>
        </is>
      </c>
      <c r="N192" s="32" t="inlineStr">
        <is>
          <t>https://unctad.org/page/data-protection-and-privacy-legislation-worldwide</t>
        </is>
      </c>
      <c r="O192" s="31" t="inlineStr">
        <is>
          <t>Criminalised</t>
        </is>
      </c>
      <c r="P192" s="32" t="inlineStr">
        <is>
          <t>https://www.humandignitytrust.org/country-profile/solomon-islands/; https://ilga.org/ilga-world-maps/</t>
        </is>
      </c>
      <c r="Q192" s="31" t="inlineStr">
        <is>
          <t>Yes</t>
        </is>
      </c>
      <c r="R192" s="32" t="inlineStr">
        <is>
          <t>https://ilga.org/ilga-world-maps/</t>
        </is>
      </c>
      <c r="S192" s="31" t="inlineStr">
        <is>
          <t>None</t>
        </is>
      </c>
      <c r="T192" s="32" t="inlineStr">
        <is>
          <t>https://en.unesco.org/artificial-intelligence/observatory/policies?country=SB; https://www.unesco.org/ethics-ai/en/global-hub</t>
        </is>
      </c>
      <c r="U192" s="31" t="inlineStr">
        <is>
          <t>No</t>
        </is>
      </c>
      <c r="V192" s="32" t="inlineStr">
        <is>
          <t>https://unctad.org/page/data-protection-and-privacy-legislation-worldwide</t>
        </is>
      </c>
      <c r="W192" s="31" t="inlineStr">
        <is>
          <t>Yes</t>
        </is>
      </c>
      <c r="X192" s="32" t="inlineStr">
        <is>
          <t>https://www.gsma.com/solutions-and-impact/connectivity-for-good/public-policy/mobile-policy-handbook/consumer-protection/mandatory-registration-of-prepaid-sims/</t>
        </is>
      </c>
      <c r="AI192">
        <f>SUM(Y192:AH192)</f>
        <v/>
      </c>
      <c r="AJ192">
        <f>100-(AI192*(AI192/20))</f>
        <v/>
      </c>
      <c r="AK192" s="24">
        <f>100-(AJ192*(AJ192/MAX(AJ182:AJ195)))</f>
        <v/>
      </c>
      <c r="AL192" t="n">
        <v>160</v>
      </c>
    </row>
    <row r="193">
      <c r="A193" s="31" t="n">
        <v>177</v>
      </c>
      <c r="B193" s="31" t="inlineStr">
        <is>
          <t>Tonga</t>
        </is>
      </c>
      <c r="C193" s="31" t="inlineStr">
        <is>
          <t>Oceania</t>
        </is>
      </c>
      <c r="D193" s="31" t="inlineStr">
        <is>
          <t>PIF</t>
        </is>
      </c>
      <c r="E193" s="31" t="inlineStr">
        <is>
          <t>None</t>
        </is>
      </c>
      <c r="F193" s="32" t="inlineStr">
        <is>
          <t>https://unctad.org/page/data-protection-and-privacy-legislation-worldwide</t>
        </is>
      </c>
      <c r="G193" s="31" t="inlineStr">
        <is>
          <t>None</t>
        </is>
      </c>
      <c r="H193" s="32" t="inlineStr">
        <is>
          <t>https://unctad.org/page/data-protection-and-privacy-legislation-worldwide</t>
        </is>
      </c>
      <c r="I193" s="31" t="inlineStr">
        <is>
          <t>No</t>
        </is>
      </c>
      <c r="J193" s="32" t="inlineStr">
        <is>
          <t>https://www.unicef.org/tonga/</t>
        </is>
      </c>
      <c r="K193" s="31" t="inlineStr">
        <is>
          <t>No</t>
        </is>
      </c>
      <c r="L193" s="32" t="inlineStr">
        <is>
          <t>https://www.unicef.org/tonga/</t>
        </is>
      </c>
      <c r="M193" s="31" t="inlineStr">
        <is>
          <t>No</t>
        </is>
      </c>
      <c r="N193" s="32" t="inlineStr">
        <is>
          <t>https://unctad.org/page/data-protection-and-privacy-legislation-worldwide</t>
        </is>
      </c>
      <c r="O193" s="31" t="inlineStr">
        <is>
          <t>Criminalised</t>
        </is>
      </c>
      <c r="P193" s="32" t="inlineStr">
        <is>
          <t>https://www.humandignitytrust.org/country-profile/tonga/; https://ilga.org/ilga-world-maps/</t>
        </is>
      </c>
      <c r="Q193" s="31" t="inlineStr">
        <is>
          <t>Yes</t>
        </is>
      </c>
      <c r="R193" s="32" t="inlineStr">
        <is>
          <t>https://ilga.org/ilga-world-maps/</t>
        </is>
      </c>
      <c r="S193" s="31" t="inlineStr">
        <is>
          <t>None</t>
        </is>
      </c>
      <c r="T193" s="32" t="inlineStr">
        <is>
          <t>https://en.unesco.org/artificial-intelligence/observatory/policies?country=TO; https://www.unesco.org/ethics-ai/en/global-hub</t>
        </is>
      </c>
      <c r="U193" s="31" t="inlineStr">
        <is>
          <t>No</t>
        </is>
      </c>
      <c r="V193" s="32" t="inlineStr">
        <is>
          <t>https://unctad.org/page/data-protection-and-privacy-legislation-worldwide</t>
        </is>
      </c>
      <c r="W193" s="31" t="inlineStr">
        <is>
          <t>Yes</t>
        </is>
      </c>
      <c r="X193" s="32" t="inlineStr">
        <is>
          <t>https://www.gsma.com/solutions-and-impact/connectivity-for-good/public-policy/mobile-policy-handbook/consumer-protection/mandatory-registration-of-prepaid-sims/</t>
        </is>
      </c>
      <c r="AI193">
        <f>SUM(Y193:AH193)</f>
        <v/>
      </c>
      <c r="AJ193">
        <f>100-(AI193*(AI193/20))</f>
        <v/>
      </c>
      <c r="AK193" s="24">
        <f>100-(AJ193*(AJ193/MAX(AJ182:AJ195)))</f>
        <v/>
      </c>
      <c r="AL193" t="n">
        <v>177</v>
      </c>
    </row>
    <row r="194">
      <c r="A194" s="31" t="n">
        <v>182</v>
      </c>
      <c r="B194" s="31" t="inlineStr">
        <is>
          <t>Tuvalu</t>
        </is>
      </c>
      <c r="C194" s="31" t="inlineStr">
        <is>
          <t>Oceania</t>
        </is>
      </c>
      <c r="D194" s="31" t="inlineStr">
        <is>
          <t>PIF</t>
        </is>
      </c>
      <c r="E194" s="31" t="inlineStr">
        <is>
          <t>None</t>
        </is>
      </c>
      <c r="F194" s="32" t="inlineStr">
        <is>
          <t>https://unctad.org/page/data-protection-and-privacy-legislation-worldwide</t>
        </is>
      </c>
      <c r="G194" s="31" t="inlineStr">
        <is>
          <t>None</t>
        </is>
      </c>
      <c r="H194" s="32" t="inlineStr">
        <is>
          <t>https://unctad.org/page/data-protection-and-privacy-legislation-worldwide</t>
        </is>
      </c>
      <c r="I194" s="31" t="inlineStr">
        <is>
          <t>No</t>
        </is>
      </c>
      <c r="J194" s="32" t="inlineStr">
        <is>
          <t>https://www.unicef.org/tuvalu/</t>
        </is>
      </c>
      <c r="K194" s="31" t="inlineStr">
        <is>
          <t>No</t>
        </is>
      </c>
      <c r="L194" s="32" t="inlineStr">
        <is>
          <t>https://www.unicef.org/tuvalu/</t>
        </is>
      </c>
      <c r="M194" s="31" t="inlineStr">
        <is>
          <t>No</t>
        </is>
      </c>
      <c r="N194" s="32" t="inlineStr">
        <is>
          <t>https://unctad.org/page/data-protection-and-privacy-legislation-worldwide</t>
        </is>
      </c>
      <c r="O194" s="31" t="inlineStr">
        <is>
          <t>Legal — no criminalisation</t>
        </is>
      </c>
      <c r="P194" s="32" t="inlineStr">
        <is>
          <t>https://www.humandignitytrust.org/country-profile/tuvalu/; https://ilga.org/ilga-world-maps/</t>
        </is>
      </c>
      <c r="Q194" s="31" t="inlineStr">
        <is>
          <t>No</t>
        </is>
      </c>
      <c r="R194" s="32" t="inlineStr">
        <is>
          <t>https://ilga.org/ilga-world-maps/</t>
        </is>
      </c>
      <c r="S194" s="31" t="inlineStr">
        <is>
          <t>None</t>
        </is>
      </c>
      <c r="T194" s="32" t="inlineStr">
        <is>
          <t>https://en.unesco.org/artificial-intelligence/observatory/policies?country=TV; https://www.unesco.org/ethics-ai/en/global-hub</t>
        </is>
      </c>
      <c r="U194" s="31" t="inlineStr">
        <is>
          <t>No</t>
        </is>
      </c>
      <c r="V194" s="32" t="inlineStr">
        <is>
          <t>https://unctad.org/page/data-protection-and-privacy-legislation-worldwide</t>
        </is>
      </c>
      <c r="W194" s="31" t="inlineStr">
        <is>
          <t>Yes</t>
        </is>
      </c>
      <c r="X194" s="32" t="inlineStr">
        <is>
          <t>https://www.gsma.com/solutions-and-impact/connectivity-for-good/public-policy/mobile-policy-handbook/consumer-protection/mandatory-registration-of-prepaid-sims/</t>
        </is>
      </c>
      <c r="AI194">
        <f>SUM(Y194:AH194)</f>
        <v/>
      </c>
      <c r="AJ194">
        <f>100-(AI194*(AI194/20))</f>
        <v/>
      </c>
      <c r="AK194" s="24">
        <f>100-(AJ194*(AJ194/MAX(AJ182:AJ195)))</f>
        <v/>
      </c>
      <c r="AL194" t="n">
        <v>182</v>
      </c>
    </row>
    <row r="195">
      <c r="A195" s="31" t="n">
        <v>190</v>
      </c>
      <c r="B195" s="31" t="inlineStr">
        <is>
          <t>Vanuatu</t>
        </is>
      </c>
      <c r="C195" s="31" t="inlineStr">
        <is>
          <t>Oceania</t>
        </is>
      </c>
      <c r="D195" s="31" t="inlineStr">
        <is>
          <t>PIF</t>
        </is>
      </c>
      <c r="E195" s="31" t="inlineStr">
        <is>
          <t>None</t>
        </is>
      </c>
      <c r="F195" s="32" t="inlineStr">
        <is>
          <t>https://unctad.org/page/data-protection-and-privacy-legislation-worldwide</t>
        </is>
      </c>
      <c r="G195" s="31" t="inlineStr">
        <is>
          <t>None</t>
        </is>
      </c>
      <c r="H195" s="32" t="inlineStr">
        <is>
          <t>https://unctad.org/page/data-protection-and-privacy-legislation-worldwide</t>
        </is>
      </c>
      <c r="I195" s="31" t="inlineStr">
        <is>
          <t>No</t>
        </is>
      </c>
      <c r="J195" s="32" t="inlineStr">
        <is>
          <t>https://www.unicef.org/vanuatu/</t>
        </is>
      </c>
      <c r="K195" s="31" t="inlineStr">
        <is>
          <t>No</t>
        </is>
      </c>
      <c r="L195" s="32" t="inlineStr">
        <is>
          <t>https://www.unicef.org/vanuatu/</t>
        </is>
      </c>
      <c r="M195" s="31" t="inlineStr">
        <is>
          <t>No</t>
        </is>
      </c>
      <c r="N195" s="32" t="inlineStr">
        <is>
          <t>https://unctad.org/page/data-protection-and-privacy-legislation-worldwide</t>
        </is>
      </c>
      <c r="O195" s="31" t="inlineStr">
        <is>
          <t>Legal</t>
        </is>
      </c>
      <c r="P195" s="32" t="inlineStr">
        <is>
          <t>https://www.humandignitytrust.org/country-profile/vanuatu/; https://ilga.org/ilga-world-maps/</t>
        </is>
      </c>
      <c r="Q195" s="31" t="inlineStr">
        <is>
          <t>No</t>
        </is>
      </c>
      <c r="R195" s="32" t="inlineStr">
        <is>
          <t>https://ilga.org/ilga-world-maps/</t>
        </is>
      </c>
      <c r="S195" s="31" t="inlineStr">
        <is>
          <t>None</t>
        </is>
      </c>
      <c r="T195" s="32" t="inlineStr">
        <is>
          <t>https://en.unesco.org/artificial-intelligence/observatory/policies?country=VU; https://www.unesco.org/ethics-ai/en/global-hub</t>
        </is>
      </c>
      <c r="U195" s="31" t="inlineStr">
        <is>
          <t>No</t>
        </is>
      </c>
      <c r="V195" s="32" t="inlineStr">
        <is>
          <t>https://unctad.org/page/data-protection-and-privacy-legislation-worldwide</t>
        </is>
      </c>
      <c r="W195" s="31" t="inlineStr">
        <is>
          <t>Yes</t>
        </is>
      </c>
      <c r="X195" s="32" t="inlineStr">
        <is>
          <t>https://www.gsma.com/solutions-and-impact/connectivity-for-good/public-policy/mobile-policy-handbook/consumer-protection/mandatory-registration-of-prepaid-sims/</t>
        </is>
      </c>
      <c r="AI195">
        <f>SUM(Y195:AH195)</f>
        <v/>
      </c>
      <c r="AJ195">
        <f>100-(AI195*(AI195/20))</f>
        <v/>
      </c>
      <c r="AK195" s="24">
        <f>100-(AJ195*(AJ195/MAX(AJ182:AJ195)))</f>
        <v/>
      </c>
      <c r="AL195" t="n">
        <v>190</v>
      </c>
    </row>
  </sheetData>
  <hyperlinks>
    <hyperlink xmlns:r="http://schemas.openxmlformats.org/officeDocument/2006/relationships" ref="F2" location="algeria" r:id="rId1"/>
    <hyperlink xmlns:r="http://schemas.openxmlformats.org/officeDocument/2006/relationships" ref="H2" r:id="rId2"/>
    <hyperlink xmlns:r="http://schemas.openxmlformats.org/officeDocument/2006/relationships" ref="J2" r:id="rId3"/>
    <hyperlink xmlns:r="http://schemas.openxmlformats.org/officeDocument/2006/relationships" ref="L2" r:id="rId4"/>
    <hyperlink xmlns:r="http://schemas.openxmlformats.org/officeDocument/2006/relationships" ref="N2" location="algeria" r:id="rId5"/>
    <hyperlink xmlns:r="http://schemas.openxmlformats.org/officeDocument/2006/relationships" ref="P2" r:id="rId6"/>
    <hyperlink xmlns:r="http://schemas.openxmlformats.org/officeDocument/2006/relationships" ref="R2" r:id="rId7"/>
    <hyperlink xmlns:r="http://schemas.openxmlformats.org/officeDocument/2006/relationships" ref="T2" r:id="rId8"/>
    <hyperlink xmlns:r="http://schemas.openxmlformats.org/officeDocument/2006/relationships" ref="V2" r:id="rId9"/>
    <hyperlink xmlns:r="http://schemas.openxmlformats.org/officeDocument/2006/relationships" ref="X2" r:id="rId10"/>
    <hyperlink xmlns:r="http://schemas.openxmlformats.org/officeDocument/2006/relationships" ref="F3" r:id="rId11"/>
    <hyperlink xmlns:r="http://schemas.openxmlformats.org/officeDocument/2006/relationships" ref="H3" r:id="rId12"/>
    <hyperlink xmlns:r="http://schemas.openxmlformats.org/officeDocument/2006/relationships" ref="J3" r:id="rId13"/>
    <hyperlink xmlns:r="http://schemas.openxmlformats.org/officeDocument/2006/relationships" ref="L3" r:id="rId14"/>
    <hyperlink xmlns:r="http://schemas.openxmlformats.org/officeDocument/2006/relationships" ref="N3" r:id="rId15"/>
    <hyperlink xmlns:r="http://schemas.openxmlformats.org/officeDocument/2006/relationships" ref="P3" r:id="rId16"/>
    <hyperlink xmlns:r="http://schemas.openxmlformats.org/officeDocument/2006/relationships" ref="R3" r:id="rId17"/>
    <hyperlink xmlns:r="http://schemas.openxmlformats.org/officeDocument/2006/relationships" ref="T3" r:id="rId18"/>
    <hyperlink xmlns:r="http://schemas.openxmlformats.org/officeDocument/2006/relationships" ref="V3" r:id="rId19"/>
    <hyperlink xmlns:r="http://schemas.openxmlformats.org/officeDocument/2006/relationships" ref="X3" r:id="rId20"/>
    <hyperlink xmlns:r="http://schemas.openxmlformats.org/officeDocument/2006/relationships" ref="F4" r:id="rId21"/>
    <hyperlink xmlns:r="http://schemas.openxmlformats.org/officeDocument/2006/relationships" ref="H4" r:id="rId22"/>
    <hyperlink xmlns:r="http://schemas.openxmlformats.org/officeDocument/2006/relationships" ref="J4" r:id="rId23"/>
    <hyperlink xmlns:r="http://schemas.openxmlformats.org/officeDocument/2006/relationships" ref="L4" r:id="rId24"/>
    <hyperlink xmlns:r="http://schemas.openxmlformats.org/officeDocument/2006/relationships" ref="N4" r:id="rId25"/>
    <hyperlink xmlns:r="http://schemas.openxmlformats.org/officeDocument/2006/relationships" ref="P4" r:id="rId26"/>
    <hyperlink xmlns:r="http://schemas.openxmlformats.org/officeDocument/2006/relationships" ref="R4" r:id="rId27"/>
    <hyperlink xmlns:r="http://schemas.openxmlformats.org/officeDocument/2006/relationships" ref="T4" r:id="rId28"/>
    <hyperlink xmlns:r="http://schemas.openxmlformats.org/officeDocument/2006/relationships" ref="V4" r:id="rId29"/>
    <hyperlink xmlns:r="http://schemas.openxmlformats.org/officeDocument/2006/relationships" ref="X4" r:id="rId30"/>
    <hyperlink xmlns:r="http://schemas.openxmlformats.org/officeDocument/2006/relationships" ref="F5" r:id="rId31"/>
    <hyperlink xmlns:r="http://schemas.openxmlformats.org/officeDocument/2006/relationships" ref="H5" r:id="rId32"/>
    <hyperlink xmlns:r="http://schemas.openxmlformats.org/officeDocument/2006/relationships" ref="J5" r:id="rId33"/>
    <hyperlink xmlns:r="http://schemas.openxmlformats.org/officeDocument/2006/relationships" ref="L5" r:id="rId34"/>
    <hyperlink xmlns:r="http://schemas.openxmlformats.org/officeDocument/2006/relationships" ref="N5" r:id="rId35"/>
    <hyperlink xmlns:r="http://schemas.openxmlformats.org/officeDocument/2006/relationships" ref="P5" r:id="rId36"/>
    <hyperlink xmlns:r="http://schemas.openxmlformats.org/officeDocument/2006/relationships" ref="R5" r:id="rId37"/>
    <hyperlink xmlns:r="http://schemas.openxmlformats.org/officeDocument/2006/relationships" ref="T5" r:id="rId38"/>
    <hyperlink xmlns:r="http://schemas.openxmlformats.org/officeDocument/2006/relationships" ref="V5" r:id="rId39"/>
    <hyperlink xmlns:r="http://schemas.openxmlformats.org/officeDocument/2006/relationships" ref="X5" r:id="rId40"/>
    <hyperlink xmlns:r="http://schemas.openxmlformats.org/officeDocument/2006/relationships" ref="F6" r:id="rId41"/>
    <hyperlink xmlns:r="http://schemas.openxmlformats.org/officeDocument/2006/relationships" ref="H6" r:id="rId42"/>
    <hyperlink xmlns:r="http://schemas.openxmlformats.org/officeDocument/2006/relationships" ref="J6" r:id="rId43"/>
    <hyperlink xmlns:r="http://schemas.openxmlformats.org/officeDocument/2006/relationships" ref="L6" r:id="rId44"/>
    <hyperlink xmlns:r="http://schemas.openxmlformats.org/officeDocument/2006/relationships" ref="N6" r:id="rId45"/>
    <hyperlink xmlns:r="http://schemas.openxmlformats.org/officeDocument/2006/relationships" ref="P6" r:id="rId46"/>
    <hyperlink xmlns:r="http://schemas.openxmlformats.org/officeDocument/2006/relationships" ref="R6" r:id="rId47"/>
    <hyperlink xmlns:r="http://schemas.openxmlformats.org/officeDocument/2006/relationships" ref="T6" r:id="rId48"/>
    <hyperlink xmlns:r="http://schemas.openxmlformats.org/officeDocument/2006/relationships" ref="V6" r:id="rId49"/>
    <hyperlink xmlns:r="http://schemas.openxmlformats.org/officeDocument/2006/relationships" ref="X6" r:id="rId50"/>
    <hyperlink xmlns:r="http://schemas.openxmlformats.org/officeDocument/2006/relationships" ref="F7" r:id="rId51"/>
    <hyperlink xmlns:r="http://schemas.openxmlformats.org/officeDocument/2006/relationships" ref="H7" r:id="rId52"/>
    <hyperlink xmlns:r="http://schemas.openxmlformats.org/officeDocument/2006/relationships" ref="J7" r:id="rId53"/>
    <hyperlink xmlns:r="http://schemas.openxmlformats.org/officeDocument/2006/relationships" ref="L7" r:id="rId54"/>
    <hyperlink xmlns:r="http://schemas.openxmlformats.org/officeDocument/2006/relationships" ref="N7" r:id="rId55"/>
    <hyperlink xmlns:r="http://schemas.openxmlformats.org/officeDocument/2006/relationships" ref="P7" r:id="rId56"/>
    <hyperlink xmlns:r="http://schemas.openxmlformats.org/officeDocument/2006/relationships" ref="R7" r:id="rId57"/>
    <hyperlink xmlns:r="http://schemas.openxmlformats.org/officeDocument/2006/relationships" ref="T7" r:id="rId58"/>
    <hyperlink xmlns:r="http://schemas.openxmlformats.org/officeDocument/2006/relationships" ref="V7" r:id="rId59"/>
    <hyperlink xmlns:r="http://schemas.openxmlformats.org/officeDocument/2006/relationships" ref="X7" r:id="rId60"/>
    <hyperlink xmlns:r="http://schemas.openxmlformats.org/officeDocument/2006/relationships" ref="F8" r:id="rId61"/>
    <hyperlink xmlns:r="http://schemas.openxmlformats.org/officeDocument/2006/relationships" ref="H8" r:id="rId62"/>
    <hyperlink xmlns:r="http://schemas.openxmlformats.org/officeDocument/2006/relationships" ref="J8" r:id="rId63"/>
    <hyperlink xmlns:r="http://schemas.openxmlformats.org/officeDocument/2006/relationships" ref="L8" r:id="rId64"/>
    <hyperlink xmlns:r="http://schemas.openxmlformats.org/officeDocument/2006/relationships" ref="N8" r:id="rId65"/>
    <hyperlink xmlns:r="http://schemas.openxmlformats.org/officeDocument/2006/relationships" ref="P8" r:id="rId66"/>
    <hyperlink xmlns:r="http://schemas.openxmlformats.org/officeDocument/2006/relationships" ref="R8" r:id="rId67"/>
    <hyperlink xmlns:r="http://schemas.openxmlformats.org/officeDocument/2006/relationships" ref="T8" r:id="rId68"/>
    <hyperlink xmlns:r="http://schemas.openxmlformats.org/officeDocument/2006/relationships" ref="V8" r:id="rId69"/>
    <hyperlink xmlns:r="http://schemas.openxmlformats.org/officeDocument/2006/relationships" ref="X8" r:id="rId70"/>
    <hyperlink xmlns:r="http://schemas.openxmlformats.org/officeDocument/2006/relationships" ref="F9" r:id="rId71"/>
    <hyperlink xmlns:r="http://schemas.openxmlformats.org/officeDocument/2006/relationships" ref="H9" r:id="rId72"/>
    <hyperlink xmlns:r="http://schemas.openxmlformats.org/officeDocument/2006/relationships" ref="J9" r:id="rId73"/>
    <hyperlink xmlns:r="http://schemas.openxmlformats.org/officeDocument/2006/relationships" ref="L9" r:id="rId74"/>
    <hyperlink xmlns:r="http://schemas.openxmlformats.org/officeDocument/2006/relationships" ref="N9" r:id="rId75"/>
    <hyperlink xmlns:r="http://schemas.openxmlformats.org/officeDocument/2006/relationships" ref="P9" r:id="rId76"/>
    <hyperlink xmlns:r="http://schemas.openxmlformats.org/officeDocument/2006/relationships" ref="R9" r:id="rId77"/>
    <hyperlink xmlns:r="http://schemas.openxmlformats.org/officeDocument/2006/relationships" ref="T9" r:id="rId78"/>
    <hyperlink xmlns:r="http://schemas.openxmlformats.org/officeDocument/2006/relationships" ref="V9" r:id="rId79"/>
    <hyperlink xmlns:r="http://schemas.openxmlformats.org/officeDocument/2006/relationships" ref="X9" r:id="rId80"/>
    <hyperlink xmlns:r="http://schemas.openxmlformats.org/officeDocument/2006/relationships" ref="F10" r:id="rId81"/>
    <hyperlink xmlns:r="http://schemas.openxmlformats.org/officeDocument/2006/relationships" ref="H10" r:id="rId82"/>
    <hyperlink xmlns:r="http://schemas.openxmlformats.org/officeDocument/2006/relationships" ref="J10" r:id="rId83"/>
    <hyperlink xmlns:r="http://schemas.openxmlformats.org/officeDocument/2006/relationships" ref="L10" r:id="rId84"/>
    <hyperlink xmlns:r="http://schemas.openxmlformats.org/officeDocument/2006/relationships" ref="N10" r:id="rId85"/>
    <hyperlink xmlns:r="http://schemas.openxmlformats.org/officeDocument/2006/relationships" ref="P10" r:id="rId86"/>
    <hyperlink xmlns:r="http://schemas.openxmlformats.org/officeDocument/2006/relationships" ref="R10" r:id="rId87"/>
    <hyperlink xmlns:r="http://schemas.openxmlformats.org/officeDocument/2006/relationships" ref="T10" r:id="rId88"/>
    <hyperlink xmlns:r="http://schemas.openxmlformats.org/officeDocument/2006/relationships" ref="V10" r:id="rId89"/>
    <hyperlink xmlns:r="http://schemas.openxmlformats.org/officeDocument/2006/relationships" ref="X10" r:id="rId90"/>
    <hyperlink xmlns:r="http://schemas.openxmlformats.org/officeDocument/2006/relationships" ref="F11" r:id="rId91"/>
    <hyperlink xmlns:r="http://schemas.openxmlformats.org/officeDocument/2006/relationships" ref="H11" r:id="rId92"/>
    <hyperlink xmlns:r="http://schemas.openxmlformats.org/officeDocument/2006/relationships" ref="J11" r:id="rId93"/>
    <hyperlink xmlns:r="http://schemas.openxmlformats.org/officeDocument/2006/relationships" ref="L11" r:id="rId94"/>
    <hyperlink xmlns:r="http://schemas.openxmlformats.org/officeDocument/2006/relationships" ref="N11" r:id="rId95"/>
    <hyperlink xmlns:r="http://schemas.openxmlformats.org/officeDocument/2006/relationships" ref="P11" r:id="rId96"/>
    <hyperlink xmlns:r="http://schemas.openxmlformats.org/officeDocument/2006/relationships" ref="R11" r:id="rId97"/>
    <hyperlink xmlns:r="http://schemas.openxmlformats.org/officeDocument/2006/relationships" ref="T11" r:id="rId98"/>
    <hyperlink xmlns:r="http://schemas.openxmlformats.org/officeDocument/2006/relationships" ref="V11" r:id="rId99"/>
    <hyperlink xmlns:r="http://schemas.openxmlformats.org/officeDocument/2006/relationships" ref="X11" r:id="rId100"/>
    <hyperlink xmlns:r="http://schemas.openxmlformats.org/officeDocument/2006/relationships" ref="F12" r:id="rId101"/>
    <hyperlink xmlns:r="http://schemas.openxmlformats.org/officeDocument/2006/relationships" ref="H12" r:id="rId102"/>
    <hyperlink xmlns:r="http://schemas.openxmlformats.org/officeDocument/2006/relationships" ref="J12" r:id="rId103"/>
    <hyperlink xmlns:r="http://schemas.openxmlformats.org/officeDocument/2006/relationships" ref="L12" r:id="rId104"/>
    <hyperlink xmlns:r="http://schemas.openxmlformats.org/officeDocument/2006/relationships" ref="N12" r:id="rId105"/>
    <hyperlink xmlns:r="http://schemas.openxmlformats.org/officeDocument/2006/relationships" ref="P12" r:id="rId106"/>
    <hyperlink xmlns:r="http://schemas.openxmlformats.org/officeDocument/2006/relationships" ref="R12" r:id="rId107"/>
    <hyperlink xmlns:r="http://schemas.openxmlformats.org/officeDocument/2006/relationships" ref="T12" r:id="rId108"/>
    <hyperlink xmlns:r="http://schemas.openxmlformats.org/officeDocument/2006/relationships" ref="V12" r:id="rId109"/>
    <hyperlink xmlns:r="http://schemas.openxmlformats.org/officeDocument/2006/relationships" ref="X12" r:id="rId110"/>
    <hyperlink xmlns:r="http://schemas.openxmlformats.org/officeDocument/2006/relationships" ref="F13" r:id="rId111"/>
    <hyperlink xmlns:r="http://schemas.openxmlformats.org/officeDocument/2006/relationships" ref="H13" r:id="rId112"/>
    <hyperlink xmlns:r="http://schemas.openxmlformats.org/officeDocument/2006/relationships" ref="J13" r:id="rId113"/>
    <hyperlink xmlns:r="http://schemas.openxmlformats.org/officeDocument/2006/relationships" ref="L13" r:id="rId114"/>
    <hyperlink xmlns:r="http://schemas.openxmlformats.org/officeDocument/2006/relationships" ref="N13" r:id="rId115"/>
    <hyperlink xmlns:r="http://schemas.openxmlformats.org/officeDocument/2006/relationships" ref="P13" r:id="rId116"/>
    <hyperlink xmlns:r="http://schemas.openxmlformats.org/officeDocument/2006/relationships" ref="R13" r:id="rId117"/>
    <hyperlink xmlns:r="http://schemas.openxmlformats.org/officeDocument/2006/relationships" ref="T13" r:id="rId118"/>
    <hyperlink xmlns:r="http://schemas.openxmlformats.org/officeDocument/2006/relationships" ref="V13" r:id="rId119"/>
    <hyperlink xmlns:r="http://schemas.openxmlformats.org/officeDocument/2006/relationships" ref="X13" r:id="rId120"/>
    <hyperlink xmlns:r="http://schemas.openxmlformats.org/officeDocument/2006/relationships" ref="F14" r:id="rId121"/>
    <hyperlink xmlns:r="http://schemas.openxmlformats.org/officeDocument/2006/relationships" ref="H14" r:id="rId122"/>
    <hyperlink xmlns:r="http://schemas.openxmlformats.org/officeDocument/2006/relationships" ref="J14" r:id="rId123"/>
    <hyperlink xmlns:r="http://schemas.openxmlformats.org/officeDocument/2006/relationships" ref="L14" r:id="rId124"/>
    <hyperlink xmlns:r="http://schemas.openxmlformats.org/officeDocument/2006/relationships" ref="N14" r:id="rId125"/>
    <hyperlink xmlns:r="http://schemas.openxmlformats.org/officeDocument/2006/relationships" ref="P14" r:id="rId126"/>
    <hyperlink xmlns:r="http://schemas.openxmlformats.org/officeDocument/2006/relationships" ref="R14" r:id="rId127"/>
    <hyperlink xmlns:r="http://schemas.openxmlformats.org/officeDocument/2006/relationships" ref="T14" r:id="rId128"/>
    <hyperlink xmlns:r="http://schemas.openxmlformats.org/officeDocument/2006/relationships" ref="V14" r:id="rId129"/>
    <hyperlink xmlns:r="http://schemas.openxmlformats.org/officeDocument/2006/relationships" ref="X14" r:id="rId130"/>
    <hyperlink xmlns:r="http://schemas.openxmlformats.org/officeDocument/2006/relationships" ref="F15" r:id="rId131"/>
    <hyperlink xmlns:r="http://schemas.openxmlformats.org/officeDocument/2006/relationships" ref="H15" r:id="rId132"/>
    <hyperlink xmlns:r="http://schemas.openxmlformats.org/officeDocument/2006/relationships" ref="J15" r:id="rId133"/>
    <hyperlink xmlns:r="http://schemas.openxmlformats.org/officeDocument/2006/relationships" ref="L15" r:id="rId134"/>
    <hyperlink xmlns:r="http://schemas.openxmlformats.org/officeDocument/2006/relationships" ref="N15" r:id="rId135"/>
    <hyperlink xmlns:r="http://schemas.openxmlformats.org/officeDocument/2006/relationships" ref="P15" r:id="rId136"/>
    <hyperlink xmlns:r="http://schemas.openxmlformats.org/officeDocument/2006/relationships" ref="R15" r:id="rId137"/>
    <hyperlink xmlns:r="http://schemas.openxmlformats.org/officeDocument/2006/relationships" ref="T15" r:id="rId138"/>
    <hyperlink xmlns:r="http://schemas.openxmlformats.org/officeDocument/2006/relationships" ref="V15" r:id="rId139"/>
    <hyperlink xmlns:r="http://schemas.openxmlformats.org/officeDocument/2006/relationships" ref="X15" r:id="rId140"/>
    <hyperlink xmlns:r="http://schemas.openxmlformats.org/officeDocument/2006/relationships" ref="F16" r:id="rId141"/>
    <hyperlink xmlns:r="http://schemas.openxmlformats.org/officeDocument/2006/relationships" ref="H16" r:id="rId142"/>
    <hyperlink xmlns:r="http://schemas.openxmlformats.org/officeDocument/2006/relationships" ref="J16" r:id="rId143"/>
    <hyperlink xmlns:r="http://schemas.openxmlformats.org/officeDocument/2006/relationships" ref="L16" r:id="rId144"/>
    <hyperlink xmlns:r="http://schemas.openxmlformats.org/officeDocument/2006/relationships" ref="N16" r:id="rId145"/>
    <hyperlink xmlns:r="http://schemas.openxmlformats.org/officeDocument/2006/relationships" ref="P16" r:id="rId146"/>
    <hyperlink xmlns:r="http://schemas.openxmlformats.org/officeDocument/2006/relationships" ref="R16" r:id="rId147"/>
    <hyperlink xmlns:r="http://schemas.openxmlformats.org/officeDocument/2006/relationships" ref="T16" r:id="rId148"/>
    <hyperlink xmlns:r="http://schemas.openxmlformats.org/officeDocument/2006/relationships" ref="V16" r:id="rId149"/>
    <hyperlink xmlns:r="http://schemas.openxmlformats.org/officeDocument/2006/relationships" ref="X16" r:id="rId150"/>
    <hyperlink xmlns:r="http://schemas.openxmlformats.org/officeDocument/2006/relationships" ref="F17" r:id="rId151"/>
    <hyperlink xmlns:r="http://schemas.openxmlformats.org/officeDocument/2006/relationships" ref="H17" r:id="rId152"/>
    <hyperlink xmlns:r="http://schemas.openxmlformats.org/officeDocument/2006/relationships" ref="J17" r:id="rId153"/>
    <hyperlink xmlns:r="http://schemas.openxmlformats.org/officeDocument/2006/relationships" ref="L17" r:id="rId154"/>
    <hyperlink xmlns:r="http://schemas.openxmlformats.org/officeDocument/2006/relationships" ref="N17" r:id="rId155"/>
    <hyperlink xmlns:r="http://schemas.openxmlformats.org/officeDocument/2006/relationships" ref="P17" r:id="rId156"/>
    <hyperlink xmlns:r="http://schemas.openxmlformats.org/officeDocument/2006/relationships" ref="R17" r:id="rId157"/>
    <hyperlink xmlns:r="http://schemas.openxmlformats.org/officeDocument/2006/relationships" ref="T17" r:id="rId158"/>
    <hyperlink xmlns:r="http://schemas.openxmlformats.org/officeDocument/2006/relationships" ref="V17" r:id="rId159"/>
    <hyperlink xmlns:r="http://schemas.openxmlformats.org/officeDocument/2006/relationships" ref="X17" r:id="rId160"/>
    <hyperlink xmlns:r="http://schemas.openxmlformats.org/officeDocument/2006/relationships" ref="F18" r:id="rId161"/>
    <hyperlink xmlns:r="http://schemas.openxmlformats.org/officeDocument/2006/relationships" ref="H18" r:id="rId162"/>
    <hyperlink xmlns:r="http://schemas.openxmlformats.org/officeDocument/2006/relationships" ref="J18" r:id="rId163"/>
    <hyperlink xmlns:r="http://schemas.openxmlformats.org/officeDocument/2006/relationships" ref="L18" r:id="rId164"/>
    <hyperlink xmlns:r="http://schemas.openxmlformats.org/officeDocument/2006/relationships" ref="N18" r:id="rId165"/>
    <hyperlink xmlns:r="http://schemas.openxmlformats.org/officeDocument/2006/relationships" ref="P18" r:id="rId166"/>
    <hyperlink xmlns:r="http://schemas.openxmlformats.org/officeDocument/2006/relationships" ref="R18" r:id="rId167"/>
    <hyperlink xmlns:r="http://schemas.openxmlformats.org/officeDocument/2006/relationships" ref="T18" r:id="rId168"/>
    <hyperlink xmlns:r="http://schemas.openxmlformats.org/officeDocument/2006/relationships" ref="V18" r:id="rId169"/>
    <hyperlink xmlns:r="http://schemas.openxmlformats.org/officeDocument/2006/relationships" ref="X18" r:id="rId170"/>
    <hyperlink xmlns:r="http://schemas.openxmlformats.org/officeDocument/2006/relationships" ref="F19" r:id="rId171"/>
    <hyperlink xmlns:r="http://schemas.openxmlformats.org/officeDocument/2006/relationships" ref="H19" r:id="rId172"/>
    <hyperlink xmlns:r="http://schemas.openxmlformats.org/officeDocument/2006/relationships" ref="J19" r:id="rId173"/>
    <hyperlink xmlns:r="http://schemas.openxmlformats.org/officeDocument/2006/relationships" ref="L19" r:id="rId174"/>
    <hyperlink xmlns:r="http://schemas.openxmlformats.org/officeDocument/2006/relationships" ref="N19" r:id="rId175"/>
    <hyperlink xmlns:r="http://schemas.openxmlformats.org/officeDocument/2006/relationships" ref="P19" r:id="rId176"/>
    <hyperlink xmlns:r="http://schemas.openxmlformats.org/officeDocument/2006/relationships" ref="R19" r:id="rId177"/>
    <hyperlink xmlns:r="http://schemas.openxmlformats.org/officeDocument/2006/relationships" ref="T19" r:id="rId178"/>
    <hyperlink xmlns:r="http://schemas.openxmlformats.org/officeDocument/2006/relationships" ref="V19" r:id="rId179"/>
    <hyperlink xmlns:r="http://schemas.openxmlformats.org/officeDocument/2006/relationships" ref="X19" r:id="rId180"/>
    <hyperlink xmlns:r="http://schemas.openxmlformats.org/officeDocument/2006/relationships" ref="F20" r:id="rId181"/>
    <hyperlink xmlns:r="http://schemas.openxmlformats.org/officeDocument/2006/relationships" ref="H20" r:id="rId182"/>
    <hyperlink xmlns:r="http://schemas.openxmlformats.org/officeDocument/2006/relationships" ref="J20" r:id="rId183"/>
    <hyperlink xmlns:r="http://schemas.openxmlformats.org/officeDocument/2006/relationships" ref="L20" r:id="rId184"/>
    <hyperlink xmlns:r="http://schemas.openxmlformats.org/officeDocument/2006/relationships" ref="N20" r:id="rId185"/>
    <hyperlink xmlns:r="http://schemas.openxmlformats.org/officeDocument/2006/relationships" ref="P20" r:id="rId186"/>
    <hyperlink xmlns:r="http://schemas.openxmlformats.org/officeDocument/2006/relationships" ref="R20" r:id="rId187"/>
    <hyperlink xmlns:r="http://schemas.openxmlformats.org/officeDocument/2006/relationships" ref="T20" r:id="rId188"/>
    <hyperlink xmlns:r="http://schemas.openxmlformats.org/officeDocument/2006/relationships" ref="V20" r:id="rId189"/>
    <hyperlink xmlns:r="http://schemas.openxmlformats.org/officeDocument/2006/relationships" ref="X20" r:id="rId190"/>
    <hyperlink xmlns:r="http://schemas.openxmlformats.org/officeDocument/2006/relationships" ref="F21" r:id="rId191"/>
    <hyperlink xmlns:r="http://schemas.openxmlformats.org/officeDocument/2006/relationships" ref="H21" r:id="rId192"/>
    <hyperlink xmlns:r="http://schemas.openxmlformats.org/officeDocument/2006/relationships" ref="J21" r:id="rId193"/>
    <hyperlink xmlns:r="http://schemas.openxmlformats.org/officeDocument/2006/relationships" ref="L21" r:id="rId194"/>
    <hyperlink xmlns:r="http://schemas.openxmlformats.org/officeDocument/2006/relationships" ref="N21" r:id="rId195"/>
    <hyperlink xmlns:r="http://schemas.openxmlformats.org/officeDocument/2006/relationships" ref="P21" r:id="rId196"/>
    <hyperlink xmlns:r="http://schemas.openxmlformats.org/officeDocument/2006/relationships" ref="R21" r:id="rId197"/>
    <hyperlink xmlns:r="http://schemas.openxmlformats.org/officeDocument/2006/relationships" ref="T21" r:id="rId198"/>
    <hyperlink xmlns:r="http://schemas.openxmlformats.org/officeDocument/2006/relationships" ref="V21" r:id="rId199"/>
    <hyperlink xmlns:r="http://schemas.openxmlformats.org/officeDocument/2006/relationships" ref="X21" r:id="rId200"/>
    <hyperlink xmlns:r="http://schemas.openxmlformats.org/officeDocument/2006/relationships" ref="F22" r:id="rId201"/>
    <hyperlink xmlns:r="http://schemas.openxmlformats.org/officeDocument/2006/relationships" ref="H22" r:id="rId202"/>
    <hyperlink xmlns:r="http://schemas.openxmlformats.org/officeDocument/2006/relationships" ref="J22" r:id="rId203"/>
    <hyperlink xmlns:r="http://schemas.openxmlformats.org/officeDocument/2006/relationships" ref="L22" r:id="rId204"/>
    <hyperlink xmlns:r="http://schemas.openxmlformats.org/officeDocument/2006/relationships" ref="N22" r:id="rId205"/>
    <hyperlink xmlns:r="http://schemas.openxmlformats.org/officeDocument/2006/relationships" ref="P22" r:id="rId206"/>
    <hyperlink xmlns:r="http://schemas.openxmlformats.org/officeDocument/2006/relationships" ref="R22" r:id="rId207"/>
    <hyperlink xmlns:r="http://schemas.openxmlformats.org/officeDocument/2006/relationships" ref="T22" r:id="rId208"/>
    <hyperlink xmlns:r="http://schemas.openxmlformats.org/officeDocument/2006/relationships" ref="V22" r:id="rId209"/>
    <hyperlink xmlns:r="http://schemas.openxmlformats.org/officeDocument/2006/relationships" ref="X22" r:id="rId210"/>
    <hyperlink xmlns:r="http://schemas.openxmlformats.org/officeDocument/2006/relationships" ref="F23" r:id="rId211"/>
    <hyperlink xmlns:r="http://schemas.openxmlformats.org/officeDocument/2006/relationships" ref="H23" r:id="rId212"/>
    <hyperlink xmlns:r="http://schemas.openxmlformats.org/officeDocument/2006/relationships" ref="J23" r:id="rId213"/>
    <hyperlink xmlns:r="http://schemas.openxmlformats.org/officeDocument/2006/relationships" ref="L23" r:id="rId214"/>
    <hyperlink xmlns:r="http://schemas.openxmlformats.org/officeDocument/2006/relationships" ref="N23" r:id="rId215"/>
    <hyperlink xmlns:r="http://schemas.openxmlformats.org/officeDocument/2006/relationships" ref="P23" r:id="rId216"/>
    <hyperlink xmlns:r="http://schemas.openxmlformats.org/officeDocument/2006/relationships" ref="R23" r:id="rId217"/>
    <hyperlink xmlns:r="http://schemas.openxmlformats.org/officeDocument/2006/relationships" ref="T23" r:id="rId218"/>
    <hyperlink xmlns:r="http://schemas.openxmlformats.org/officeDocument/2006/relationships" ref="V23" r:id="rId219"/>
    <hyperlink xmlns:r="http://schemas.openxmlformats.org/officeDocument/2006/relationships" ref="X23" r:id="rId220"/>
    <hyperlink xmlns:r="http://schemas.openxmlformats.org/officeDocument/2006/relationships" ref="F24" r:id="rId221"/>
    <hyperlink xmlns:r="http://schemas.openxmlformats.org/officeDocument/2006/relationships" ref="H24" r:id="rId222"/>
    <hyperlink xmlns:r="http://schemas.openxmlformats.org/officeDocument/2006/relationships" ref="J24" r:id="rId223"/>
    <hyperlink xmlns:r="http://schemas.openxmlformats.org/officeDocument/2006/relationships" ref="L24" r:id="rId224"/>
    <hyperlink xmlns:r="http://schemas.openxmlformats.org/officeDocument/2006/relationships" ref="N24" r:id="rId225"/>
    <hyperlink xmlns:r="http://schemas.openxmlformats.org/officeDocument/2006/relationships" ref="P24" r:id="rId226"/>
    <hyperlink xmlns:r="http://schemas.openxmlformats.org/officeDocument/2006/relationships" ref="R24" r:id="rId227"/>
    <hyperlink xmlns:r="http://schemas.openxmlformats.org/officeDocument/2006/relationships" ref="T24" r:id="rId228"/>
    <hyperlink xmlns:r="http://schemas.openxmlformats.org/officeDocument/2006/relationships" ref="V24" r:id="rId229"/>
    <hyperlink xmlns:r="http://schemas.openxmlformats.org/officeDocument/2006/relationships" ref="X24" r:id="rId230"/>
    <hyperlink xmlns:r="http://schemas.openxmlformats.org/officeDocument/2006/relationships" ref="F25" r:id="rId231"/>
    <hyperlink xmlns:r="http://schemas.openxmlformats.org/officeDocument/2006/relationships" ref="H25" r:id="rId232"/>
    <hyperlink xmlns:r="http://schemas.openxmlformats.org/officeDocument/2006/relationships" ref="J25" r:id="rId233"/>
    <hyperlink xmlns:r="http://schemas.openxmlformats.org/officeDocument/2006/relationships" ref="L25" r:id="rId234"/>
    <hyperlink xmlns:r="http://schemas.openxmlformats.org/officeDocument/2006/relationships" ref="N25" r:id="rId235"/>
    <hyperlink xmlns:r="http://schemas.openxmlformats.org/officeDocument/2006/relationships" ref="P25" r:id="rId236"/>
    <hyperlink xmlns:r="http://schemas.openxmlformats.org/officeDocument/2006/relationships" ref="R25" r:id="rId237"/>
    <hyperlink xmlns:r="http://schemas.openxmlformats.org/officeDocument/2006/relationships" ref="T25" r:id="rId238"/>
    <hyperlink xmlns:r="http://schemas.openxmlformats.org/officeDocument/2006/relationships" ref="V25" r:id="rId239"/>
    <hyperlink xmlns:r="http://schemas.openxmlformats.org/officeDocument/2006/relationships" ref="X25" r:id="rId240"/>
    <hyperlink xmlns:r="http://schemas.openxmlformats.org/officeDocument/2006/relationships" ref="F26" r:id="rId241"/>
    <hyperlink xmlns:r="http://schemas.openxmlformats.org/officeDocument/2006/relationships" ref="H26" r:id="rId242"/>
    <hyperlink xmlns:r="http://schemas.openxmlformats.org/officeDocument/2006/relationships" ref="J26" r:id="rId243"/>
    <hyperlink xmlns:r="http://schemas.openxmlformats.org/officeDocument/2006/relationships" ref="L26" r:id="rId244"/>
    <hyperlink xmlns:r="http://schemas.openxmlformats.org/officeDocument/2006/relationships" ref="N26" r:id="rId245"/>
    <hyperlink xmlns:r="http://schemas.openxmlformats.org/officeDocument/2006/relationships" ref="P26" r:id="rId246"/>
    <hyperlink xmlns:r="http://schemas.openxmlformats.org/officeDocument/2006/relationships" ref="R26" r:id="rId247"/>
    <hyperlink xmlns:r="http://schemas.openxmlformats.org/officeDocument/2006/relationships" ref="T26" r:id="rId248"/>
    <hyperlink xmlns:r="http://schemas.openxmlformats.org/officeDocument/2006/relationships" ref="V26" r:id="rId249"/>
    <hyperlink xmlns:r="http://schemas.openxmlformats.org/officeDocument/2006/relationships" ref="X26" r:id="rId250"/>
    <hyperlink xmlns:r="http://schemas.openxmlformats.org/officeDocument/2006/relationships" ref="F27" r:id="rId251"/>
    <hyperlink xmlns:r="http://schemas.openxmlformats.org/officeDocument/2006/relationships" ref="H27" r:id="rId252"/>
    <hyperlink xmlns:r="http://schemas.openxmlformats.org/officeDocument/2006/relationships" ref="J27" r:id="rId253"/>
    <hyperlink xmlns:r="http://schemas.openxmlformats.org/officeDocument/2006/relationships" ref="L27" r:id="rId254"/>
    <hyperlink xmlns:r="http://schemas.openxmlformats.org/officeDocument/2006/relationships" ref="N27" r:id="rId255"/>
    <hyperlink xmlns:r="http://schemas.openxmlformats.org/officeDocument/2006/relationships" ref="P27" r:id="rId256"/>
    <hyperlink xmlns:r="http://schemas.openxmlformats.org/officeDocument/2006/relationships" ref="R27" r:id="rId257"/>
    <hyperlink xmlns:r="http://schemas.openxmlformats.org/officeDocument/2006/relationships" ref="T27" r:id="rId258"/>
    <hyperlink xmlns:r="http://schemas.openxmlformats.org/officeDocument/2006/relationships" ref="V27" r:id="rId259"/>
    <hyperlink xmlns:r="http://schemas.openxmlformats.org/officeDocument/2006/relationships" ref="X27" r:id="rId260"/>
    <hyperlink xmlns:r="http://schemas.openxmlformats.org/officeDocument/2006/relationships" ref="F28" r:id="rId261"/>
    <hyperlink xmlns:r="http://schemas.openxmlformats.org/officeDocument/2006/relationships" ref="H28" r:id="rId262"/>
    <hyperlink xmlns:r="http://schemas.openxmlformats.org/officeDocument/2006/relationships" ref="J28" r:id="rId263"/>
    <hyperlink xmlns:r="http://schemas.openxmlformats.org/officeDocument/2006/relationships" ref="L28" r:id="rId264"/>
    <hyperlink xmlns:r="http://schemas.openxmlformats.org/officeDocument/2006/relationships" ref="N28" r:id="rId265"/>
    <hyperlink xmlns:r="http://schemas.openxmlformats.org/officeDocument/2006/relationships" ref="P28" r:id="rId266"/>
    <hyperlink xmlns:r="http://schemas.openxmlformats.org/officeDocument/2006/relationships" ref="R28" r:id="rId267"/>
    <hyperlink xmlns:r="http://schemas.openxmlformats.org/officeDocument/2006/relationships" ref="T28" r:id="rId268"/>
    <hyperlink xmlns:r="http://schemas.openxmlformats.org/officeDocument/2006/relationships" ref="V28" r:id="rId269"/>
    <hyperlink xmlns:r="http://schemas.openxmlformats.org/officeDocument/2006/relationships" ref="X28" r:id="rId270"/>
    <hyperlink xmlns:r="http://schemas.openxmlformats.org/officeDocument/2006/relationships" ref="F29" r:id="rId271"/>
    <hyperlink xmlns:r="http://schemas.openxmlformats.org/officeDocument/2006/relationships" ref="H29" r:id="rId272"/>
    <hyperlink xmlns:r="http://schemas.openxmlformats.org/officeDocument/2006/relationships" ref="J29" r:id="rId273"/>
    <hyperlink xmlns:r="http://schemas.openxmlformats.org/officeDocument/2006/relationships" ref="L29" r:id="rId274"/>
    <hyperlink xmlns:r="http://schemas.openxmlformats.org/officeDocument/2006/relationships" ref="N29" r:id="rId275"/>
    <hyperlink xmlns:r="http://schemas.openxmlformats.org/officeDocument/2006/relationships" ref="P29" r:id="rId276"/>
    <hyperlink xmlns:r="http://schemas.openxmlformats.org/officeDocument/2006/relationships" ref="R29" r:id="rId277"/>
    <hyperlink xmlns:r="http://schemas.openxmlformats.org/officeDocument/2006/relationships" ref="T29" r:id="rId278"/>
    <hyperlink xmlns:r="http://schemas.openxmlformats.org/officeDocument/2006/relationships" ref="V29" r:id="rId279"/>
    <hyperlink xmlns:r="http://schemas.openxmlformats.org/officeDocument/2006/relationships" ref="X29" r:id="rId280"/>
    <hyperlink xmlns:r="http://schemas.openxmlformats.org/officeDocument/2006/relationships" ref="F30" r:id="rId281"/>
    <hyperlink xmlns:r="http://schemas.openxmlformats.org/officeDocument/2006/relationships" ref="H30" r:id="rId282"/>
    <hyperlink xmlns:r="http://schemas.openxmlformats.org/officeDocument/2006/relationships" ref="J30" r:id="rId283"/>
    <hyperlink xmlns:r="http://schemas.openxmlformats.org/officeDocument/2006/relationships" ref="L30" r:id="rId284"/>
    <hyperlink xmlns:r="http://schemas.openxmlformats.org/officeDocument/2006/relationships" ref="N30" r:id="rId285"/>
    <hyperlink xmlns:r="http://schemas.openxmlformats.org/officeDocument/2006/relationships" ref="P30" r:id="rId286"/>
    <hyperlink xmlns:r="http://schemas.openxmlformats.org/officeDocument/2006/relationships" ref="R30" r:id="rId287"/>
    <hyperlink xmlns:r="http://schemas.openxmlformats.org/officeDocument/2006/relationships" ref="T30" r:id="rId288"/>
    <hyperlink xmlns:r="http://schemas.openxmlformats.org/officeDocument/2006/relationships" ref="V30" r:id="rId289"/>
    <hyperlink xmlns:r="http://schemas.openxmlformats.org/officeDocument/2006/relationships" ref="X30" r:id="rId290"/>
    <hyperlink xmlns:r="http://schemas.openxmlformats.org/officeDocument/2006/relationships" ref="F31" r:id="rId291"/>
    <hyperlink xmlns:r="http://schemas.openxmlformats.org/officeDocument/2006/relationships" ref="H31" r:id="rId292"/>
    <hyperlink xmlns:r="http://schemas.openxmlformats.org/officeDocument/2006/relationships" ref="J31" r:id="rId293"/>
    <hyperlink xmlns:r="http://schemas.openxmlformats.org/officeDocument/2006/relationships" ref="L31" r:id="rId294"/>
    <hyperlink xmlns:r="http://schemas.openxmlformats.org/officeDocument/2006/relationships" ref="N31" r:id="rId295"/>
    <hyperlink xmlns:r="http://schemas.openxmlformats.org/officeDocument/2006/relationships" ref="P31" r:id="rId296"/>
    <hyperlink xmlns:r="http://schemas.openxmlformats.org/officeDocument/2006/relationships" ref="R31" r:id="rId297"/>
    <hyperlink xmlns:r="http://schemas.openxmlformats.org/officeDocument/2006/relationships" ref="T31" r:id="rId298"/>
    <hyperlink xmlns:r="http://schemas.openxmlformats.org/officeDocument/2006/relationships" ref="V31" r:id="rId299"/>
    <hyperlink xmlns:r="http://schemas.openxmlformats.org/officeDocument/2006/relationships" ref="X31" r:id="rId300"/>
    <hyperlink xmlns:r="http://schemas.openxmlformats.org/officeDocument/2006/relationships" ref="F32" r:id="rId301"/>
    <hyperlink xmlns:r="http://schemas.openxmlformats.org/officeDocument/2006/relationships" ref="H32" r:id="rId302"/>
    <hyperlink xmlns:r="http://schemas.openxmlformats.org/officeDocument/2006/relationships" ref="J32" r:id="rId303"/>
    <hyperlink xmlns:r="http://schemas.openxmlformats.org/officeDocument/2006/relationships" ref="L32" r:id="rId304"/>
    <hyperlink xmlns:r="http://schemas.openxmlformats.org/officeDocument/2006/relationships" ref="N32" r:id="rId305"/>
    <hyperlink xmlns:r="http://schemas.openxmlformats.org/officeDocument/2006/relationships" ref="P32" r:id="rId306"/>
    <hyperlink xmlns:r="http://schemas.openxmlformats.org/officeDocument/2006/relationships" ref="R32" r:id="rId307"/>
    <hyperlink xmlns:r="http://schemas.openxmlformats.org/officeDocument/2006/relationships" ref="T32" r:id="rId308"/>
    <hyperlink xmlns:r="http://schemas.openxmlformats.org/officeDocument/2006/relationships" ref="V32" r:id="rId309"/>
    <hyperlink xmlns:r="http://schemas.openxmlformats.org/officeDocument/2006/relationships" ref="X32" r:id="rId310"/>
    <hyperlink xmlns:r="http://schemas.openxmlformats.org/officeDocument/2006/relationships" ref="F33" r:id="rId311"/>
    <hyperlink xmlns:r="http://schemas.openxmlformats.org/officeDocument/2006/relationships" ref="H33" r:id="rId312"/>
    <hyperlink xmlns:r="http://schemas.openxmlformats.org/officeDocument/2006/relationships" ref="J33" r:id="rId313"/>
    <hyperlink xmlns:r="http://schemas.openxmlformats.org/officeDocument/2006/relationships" ref="L33" r:id="rId314"/>
    <hyperlink xmlns:r="http://schemas.openxmlformats.org/officeDocument/2006/relationships" ref="N33" r:id="rId315"/>
    <hyperlink xmlns:r="http://schemas.openxmlformats.org/officeDocument/2006/relationships" ref="P33" r:id="rId316"/>
    <hyperlink xmlns:r="http://schemas.openxmlformats.org/officeDocument/2006/relationships" ref="R33" r:id="rId317"/>
    <hyperlink xmlns:r="http://schemas.openxmlformats.org/officeDocument/2006/relationships" ref="T33" r:id="rId318"/>
    <hyperlink xmlns:r="http://schemas.openxmlformats.org/officeDocument/2006/relationships" ref="V33" r:id="rId319"/>
    <hyperlink xmlns:r="http://schemas.openxmlformats.org/officeDocument/2006/relationships" ref="X33" r:id="rId320"/>
    <hyperlink xmlns:r="http://schemas.openxmlformats.org/officeDocument/2006/relationships" ref="F34" r:id="rId321"/>
    <hyperlink xmlns:r="http://schemas.openxmlformats.org/officeDocument/2006/relationships" ref="H34" r:id="rId322"/>
    <hyperlink xmlns:r="http://schemas.openxmlformats.org/officeDocument/2006/relationships" ref="J34" r:id="rId323"/>
    <hyperlink xmlns:r="http://schemas.openxmlformats.org/officeDocument/2006/relationships" ref="L34" r:id="rId324"/>
    <hyperlink xmlns:r="http://schemas.openxmlformats.org/officeDocument/2006/relationships" ref="N34" r:id="rId325"/>
    <hyperlink xmlns:r="http://schemas.openxmlformats.org/officeDocument/2006/relationships" ref="P34" r:id="rId326"/>
    <hyperlink xmlns:r="http://schemas.openxmlformats.org/officeDocument/2006/relationships" ref="R34" r:id="rId327"/>
    <hyperlink xmlns:r="http://schemas.openxmlformats.org/officeDocument/2006/relationships" ref="T34" r:id="rId328"/>
    <hyperlink xmlns:r="http://schemas.openxmlformats.org/officeDocument/2006/relationships" ref="V34" r:id="rId329"/>
    <hyperlink xmlns:r="http://schemas.openxmlformats.org/officeDocument/2006/relationships" ref="X34" r:id="rId330"/>
    <hyperlink xmlns:r="http://schemas.openxmlformats.org/officeDocument/2006/relationships" ref="F35" r:id="rId331"/>
    <hyperlink xmlns:r="http://schemas.openxmlformats.org/officeDocument/2006/relationships" ref="H35" r:id="rId332"/>
    <hyperlink xmlns:r="http://schemas.openxmlformats.org/officeDocument/2006/relationships" ref="J35" r:id="rId333"/>
    <hyperlink xmlns:r="http://schemas.openxmlformats.org/officeDocument/2006/relationships" ref="L35" r:id="rId334"/>
    <hyperlink xmlns:r="http://schemas.openxmlformats.org/officeDocument/2006/relationships" ref="N35" r:id="rId335"/>
    <hyperlink xmlns:r="http://schemas.openxmlformats.org/officeDocument/2006/relationships" ref="P35" r:id="rId336"/>
    <hyperlink xmlns:r="http://schemas.openxmlformats.org/officeDocument/2006/relationships" ref="R35" r:id="rId337"/>
    <hyperlink xmlns:r="http://schemas.openxmlformats.org/officeDocument/2006/relationships" ref="T35" r:id="rId338"/>
    <hyperlink xmlns:r="http://schemas.openxmlformats.org/officeDocument/2006/relationships" ref="V35" r:id="rId339"/>
    <hyperlink xmlns:r="http://schemas.openxmlformats.org/officeDocument/2006/relationships" ref="X35" r:id="rId340"/>
    <hyperlink xmlns:r="http://schemas.openxmlformats.org/officeDocument/2006/relationships" ref="F36" r:id="rId341"/>
    <hyperlink xmlns:r="http://schemas.openxmlformats.org/officeDocument/2006/relationships" ref="H36" r:id="rId342"/>
    <hyperlink xmlns:r="http://schemas.openxmlformats.org/officeDocument/2006/relationships" ref="J36" r:id="rId343"/>
    <hyperlink xmlns:r="http://schemas.openxmlformats.org/officeDocument/2006/relationships" ref="L36" r:id="rId344"/>
    <hyperlink xmlns:r="http://schemas.openxmlformats.org/officeDocument/2006/relationships" ref="N36" r:id="rId345"/>
    <hyperlink xmlns:r="http://schemas.openxmlformats.org/officeDocument/2006/relationships" ref="P36" r:id="rId346"/>
    <hyperlink xmlns:r="http://schemas.openxmlformats.org/officeDocument/2006/relationships" ref="R36" r:id="rId347"/>
    <hyperlink xmlns:r="http://schemas.openxmlformats.org/officeDocument/2006/relationships" ref="T36" r:id="rId348"/>
    <hyperlink xmlns:r="http://schemas.openxmlformats.org/officeDocument/2006/relationships" ref="V36" r:id="rId349"/>
    <hyperlink xmlns:r="http://schemas.openxmlformats.org/officeDocument/2006/relationships" ref="X36" r:id="rId350"/>
    <hyperlink xmlns:r="http://schemas.openxmlformats.org/officeDocument/2006/relationships" ref="F37" r:id="rId351"/>
    <hyperlink xmlns:r="http://schemas.openxmlformats.org/officeDocument/2006/relationships" ref="H37" r:id="rId352"/>
    <hyperlink xmlns:r="http://schemas.openxmlformats.org/officeDocument/2006/relationships" ref="J37" r:id="rId353"/>
    <hyperlink xmlns:r="http://schemas.openxmlformats.org/officeDocument/2006/relationships" ref="L37" r:id="rId354"/>
    <hyperlink xmlns:r="http://schemas.openxmlformats.org/officeDocument/2006/relationships" ref="N37" r:id="rId355"/>
    <hyperlink xmlns:r="http://schemas.openxmlformats.org/officeDocument/2006/relationships" ref="P37" r:id="rId356"/>
    <hyperlink xmlns:r="http://schemas.openxmlformats.org/officeDocument/2006/relationships" ref="R37" r:id="rId357"/>
    <hyperlink xmlns:r="http://schemas.openxmlformats.org/officeDocument/2006/relationships" ref="T37" r:id="rId358"/>
    <hyperlink xmlns:r="http://schemas.openxmlformats.org/officeDocument/2006/relationships" ref="V37" r:id="rId359"/>
    <hyperlink xmlns:r="http://schemas.openxmlformats.org/officeDocument/2006/relationships" ref="X37" r:id="rId360"/>
    <hyperlink xmlns:r="http://schemas.openxmlformats.org/officeDocument/2006/relationships" ref="F38" r:id="rId361"/>
    <hyperlink xmlns:r="http://schemas.openxmlformats.org/officeDocument/2006/relationships" ref="H38" r:id="rId362"/>
    <hyperlink xmlns:r="http://schemas.openxmlformats.org/officeDocument/2006/relationships" ref="J38" r:id="rId363"/>
    <hyperlink xmlns:r="http://schemas.openxmlformats.org/officeDocument/2006/relationships" ref="L38" r:id="rId364"/>
    <hyperlink xmlns:r="http://schemas.openxmlformats.org/officeDocument/2006/relationships" ref="N38" r:id="rId365"/>
    <hyperlink xmlns:r="http://schemas.openxmlformats.org/officeDocument/2006/relationships" ref="P38" r:id="rId366"/>
    <hyperlink xmlns:r="http://schemas.openxmlformats.org/officeDocument/2006/relationships" ref="R38" r:id="rId367"/>
    <hyperlink xmlns:r="http://schemas.openxmlformats.org/officeDocument/2006/relationships" ref="T38" r:id="rId368"/>
    <hyperlink xmlns:r="http://schemas.openxmlformats.org/officeDocument/2006/relationships" ref="V38" r:id="rId369"/>
    <hyperlink xmlns:r="http://schemas.openxmlformats.org/officeDocument/2006/relationships" ref="X38" r:id="rId370"/>
    <hyperlink xmlns:r="http://schemas.openxmlformats.org/officeDocument/2006/relationships" ref="F39" r:id="rId371"/>
    <hyperlink xmlns:r="http://schemas.openxmlformats.org/officeDocument/2006/relationships" ref="H39" r:id="rId372"/>
    <hyperlink xmlns:r="http://schemas.openxmlformats.org/officeDocument/2006/relationships" ref="J39" r:id="rId373"/>
    <hyperlink xmlns:r="http://schemas.openxmlformats.org/officeDocument/2006/relationships" ref="L39" r:id="rId374"/>
    <hyperlink xmlns:r="http://schemas.openxmlformats.org/officeDocument/2006/relationships" ref="N39" r:id="rId375"/>
    <hyperlink xmlns:r="http://schemas.openxmlformats.org/officeDocument/2006/relationships" ref="P39" r:id="rId376"/>
    <hyperlink xmlns:r="http://schemas.openxmlformats.org/officeDocument/2006/relationships" ref="R39" r:id="rId377"/>
    <hyperlink xmlns:r="http://schemas.openxmlformats.org/officeDocument/2006/relationships" ref="T39" r:id="rId378"/>
    <hyperlink xmlns:r="http://schemas.openxmlformats.org/officeDocument/2006/relationships" ref="V39" r:id="rId379"/>
    <hyperlink xmlns:r="http://schemas.openxmlformats.org/officeDocument/2006/relationships" ref="X39" r:id="rId380"/>
    <hyperlink xmlns:r="http://schemas.openxmlformats.org/officeDocument/2006/relationships" ref="F40" r:id="rId381"/>
    <hyperlink xmlns:r="http://schemas.openxmlformats.org/officeDocument/2006/relationships" ref="H40" r:id="rId382"/>
    <hyperlink xmlns:r="http://schemas.openxmlformats.org/officeDocument/2006/relationships" ref="J40" r:id="rId383"/>
    <hyperlink xmlns:r="http://schemas.openxmlformats.org/officeDocument/2006/relationships" ref="L40" r:id="rId384"/>
    <hyperlink xmlns:r="http://schemas.openxmlformats.org/officeDocument/2006/relationships" ref="N40" r:id="rId385"/>
    <hyperlink xmlns:r="http://schemas.openxmlformats.org/officeDocument/2006/relationships" ref="P40" r:id="rId386"/>
    <hyperlink xmlns:r="http://schemas.openxmlformats.org/officeDocument/2006/relationships" ref="R40" r:id="rId387"/>
    <hyperlink xmlns:r="http://schemas.openxmlformats.org/officeDocument/2006/relationships" ref="T40" r:id="rId388"/>
    <hyperlink xmlns:r="http://schemas.openxmlformats.org/officeDocument/2006/relationships" ref="V40" r:id="rId389"/>
    <hyperlink xmlns:r="http://schemas.openxmlformats.org/officeDocument/2006/relationships" ref="X40" r:id="rId390"/>
    <hyperlink xmlns:r="http://schemas.openxmlformats.org/officeDocument/2006/relationships" ref="F41" r:id="rId391"/>
    <hyperlink xmlns:r="http://schemas.openxmlformats.org/officeDocument/2006/relationships" ref="H41" r:id="rId392"/>
    <hyperlink xmlns:r="http://schemas.openxmlformats.org/officeDocument/2006/relationships" ref="J41" r:id="rId393"/>
    <hyperlink xmlns:r="http://schemas.openxmlformats.org/officeDocument/2006/relationships" ref="L41" r:id="rId394"/>
    <hyperlink xmlns:r="http://schemas.openxmlformats.org/officeDocument/2006/relationships" ref="N41" r:id="rId395"/>
    <hyperlink xmlns:r="http://schemas.openxmlformats.org/officeDocument/2006/relationships" ref="P41" r:id="rId396"/>
    <hyperlink xmlns:r="http://schemas.openxmlformats.org/officeDocument/2006/relationships" ref="R41" r:id="rId397"/>
    <hyperlink xmlns:r="http://schemas.openxmlformats.org/officeDocument/2006/relationships" ref="T41" r:id="rId398"/>
    <hyperlink xmlns:r="http://schemas.openxmlformats.org/officeDocument/2006/relationships" ref="V41" r:id="rId399"/>
    <hyperlink xmlns:r="http://schemas.openxmlformats.org/officeDocument/2006/relationships" ref="X41" r:id="rId400"/>
    <hyperlink xmlns:r="http://schemas.openxmlformats.org/officeDocument/2006/relationships" ref="F42" r:id="rId401"/>
    <hyperlink xmlns:r="http://schemas.openxmlformats.org/officeDocument/2006/relationships" ref="H42" r:id="rId402"/>
    <hyperlink xmlns:r="http://schemas.openxmlformats.org/officeDocument/2006/relationships" ref="J42" r:id="rId403"/>
    <hyperlink xmlns:r="http://schemas.openxmlformats.org/officeDocument/2006/relationships" ref="L42" r:id="rId404"/>
    <hyperlink xmlns:r="http://schemas.openxmlformats.org/officeDocument/2006/relationships" ref="N42" r:id="rId405"/>
    <hyperlink xmlns:r="http://schemas.openxmlformats.org/officeDocument/2006/relationships" ref="P42" r:id="rId406"/>
    <hyperlink xmlns:r="http://schemas.openxmlformats.org/officeDocument/2006/relationships" ref="R42" r:id="rId407"/>
    <hyperlink xmlns:r="http://schemas.openxmlformats.org/officeDocument/2006/relationships" ref="T42" r:id="rId408"/>
    <hyperlink xmlns:r="http://schemas.openxmlformats.org/officeDocument/2006/relationships" ref="V42" r:id="rId409"/>
    <hyperlink xmlns:r="http://schemas.openxmlformats.org/officeDocument/2006/relationships" ref="X42" r:id="rId410"/>
    <hyperlink xmlns:r="http://schemas.openxmlformats.org/officeDocument/2006/relationships" ref="F43" r:id="rId411"/>
    <hyperlink xmlns:r="http://schemas.openxmlformats.org/officeDocument/2006/relationships" ref="H43" r:id="rId412"/>
    <hyperlink xmlns:r="http://schemas.openxmlformats.org/officeDocument/2006/relationships" ref="J43" r:id="rId413"/>
    <hyperlink xmlns:r="http://schemas.openxmlformats.org/officeDocument/2006/relationships" ref="L43" r:id="rId414"/>
    <hyperlink xmlns:r="http://schemas.openxmlformats.org/officeDocument/2006/relationships" ref="N43" r:id="rId415"/>
    <hyperlink xmlns:r="http://schemas.openxmlformats.org/officeDocument/2006/relationships" ref="P43" r:id="rId416"/>
    <hyperlink xmlns:r="http://schemas.openxmlformats.org/officeDocument/2006/relationships" ref="R43" r:id="rId417"/>
    <hyperlink xmlns:r="http://schemas.openxmlformats.org/officeDocument/2006/relationships" ref="T43" r:id="rId418"/>
    <hyperlink xmlns:r="http://schemas.openxmlformats.org/officeDocument/2006/relationships" ref="V43" r:id="rId419"/>
    <hyperlink xmlns:r="http://schemas.openxmlformats.org/officeDocument/2006/relationships" ref="X43" r:id="rId420"/>
    <hyperlink xmlns:r="http://schemas.openxmlformats.org/officeDocument/2006/relationships" ref="F44" r:id="rId421"/>
    <hyperlink xmlns:r="http://schemas.openxmlformats.org/officeDocument/2006/relationships" ref="H44" r:id="rId422"/>
    <hyperlink xmlns:r="http://schemas.openxmlformats.org/officeDocument/2006/relationships" ref="J44" r:id="rId423"/>
    <hyperlink xmlns:r="http://schemas.openxmlformats.org/officeDocument/2006/relationships" ref="L44" r:id="rId424"/>
    <hyperlink xmlns:r="http://schemas.openxmlformats.org/officeDocument/2006/relationships" ref="N44" r:id="rId425"/>
    <hyperlink xmlns:r="http://schemas.openxmlformats.org/officeDocument/2006/relationships" ref="P44" r:id="rId426"/>
    <hyperlink xmlns:r="http://schemas.openxmlformats.org/officeDocument/2006/relationships" ref="R44" r:id="rId427"/>
    <hyperlink xmlns:r="http://schemas.openxmlformats.org/officeDocument/2006/relationships" ref="T44" r:id="rId428"/>
    <hyperlink xmlns:r="http://schemas.openxmlformats.org/officeDocument/2006/relationships" ref="V44" r:id="rId429"/>
    <hyperlink xmlns:r="http://schemas.openxmlformats.org/officeDocument/2006/relationships" ref="X44" r:id="rId430"/>
    <hyperlink xmlns:r="http://schemas.openxmlformats.org/officeDocument/2006/relationships" ref="F45" r:id="rId431"/>
    <hyperlink xmlns:r="http://schemas.openxmlformats.org/officeDocument/2006/relationships" ref="H45" r:id="rId432"/>
    <hyperlink xmlns:r="http://schemas.openxmlformats.org/officeDocument/2006/relationships" ref="J45" r:id="rId433"/>
    <hyperlink xmlns:r="http://schemas.openxmlformats.org/officeDocument/2006/relationships" ref="L45" r:id="rId434"/>
    <hyperlink xmlns:r="http://schemas.openxmlformats.org/officeDocument/2006/relationships" ref="N45" r:id="rId435"/>
    <hyperlink xmlns:r="http://schemas.openxmlformats.org/officeDocument/2006/relationships" ref="P45" r:id="rId436"/>
    <hyperlink xmlns:r="http://schemas.openxmlformats.org/officeDocument/2006/relationships" ref="R45" r:id="rId437"/>
    <hyperlink xmlns:r="http://schemas.openxmlformats.org/officeDocument/2006/relationships" ref="T45" r:id="rId438"/>
    <hyperlink xmlns:r="http://schemas.openxmlformats.org/officeDocument/2006/relationships" ref="V45" r:id="rId439"/>
    <hyperlink xmlns:r="http://schemas.openxmlformats.org/officeDocument/2006/relationships" ref="X45" r:id="rId440"/>
    <hyperlink xmlns:r="http://schemas.openxmlformats.org/officeDocument/2006/relationships" ref="F46" r:id="rId441"/>
    <hyperlink xmlns:r="http://schemas.openxmlformats.org/officeDocument/2006/relationships" ref="H46" r:id="rId442"/>
    <hyperlink xmlns:r="http://schemas.openxmlformats.org/officeDocument/2006/relationships" ref="J46" r:id="rId443"/>
    <hyperlink xmlns:r="http://schemas.openxmlformats.org/officeDocument/2006/relationships" ref="L46" r:id="rId444"/>
    <hyperlink xmlns:r="http://schemas.openxmlformats.org/officeDocument/2006/relationships" ref="N46" r:id="rId445"/>
    <hyperlink xmlns:r="http://schemas.openxmlformats.org/officeDocument/2006/relationships" ref="P46" r:id="rId446"/>
    <hyperlink xmlns:r="http://schemas.openxmlformats.org/officeDocument/2006/relationships" ref="R46" r:id="rId447"/>
    <hyperlink xmlns:r="http://schemas.openxmlformats.org/officeDocument/2006/relationships" ref="T46" r:id="rId448"/>
    <hyperlink xmlns:r="http://schemas.openxmlformats.org/officeDocument/2006/relationships" ref="V46" r:id="rId449"/>
    <hyperlink xmlns:r="http://schemas.openxmlformats.org/officeDocument/2006/relationships" ref="X46" r:id="rId450"/>
    <hyperlink xmlns:r="http://schemas.openxmlformats.org/officeDocument/2006/relationships" ref="F47" r:id="rId451"/>
    <hyperlink xmlns:r="http://schemas.openxmlformats.org/officeDocument/2006/relationships" ref="H47" r:id="rId452"/>
    <hyperlink xmlns:r="http://schemas.openxmlformats.org/officeDocument/2006/relationships" ref="J47" r:id="rId453"/>
    <hyperlink xmlns:r="http://schemas.openxmlformats.org/officeDocument/2006/relationships" ref="L47" r:id="rId454"/>
    <hyperlink xmlns:r="http://schemas.openxmlformats.org/officeDocument/2006/relationships" ref="N47" r:id="rId455"/>
    <hyperlink xmlns:r="http://schemas.openxmlformats.org/officeDocument/2006/relationships" ref="P47" r:id="rId456"/>
    <hyperlink xmlns:r="http://schemas.openxmlformats.org/officeDocument/2006/relationships" ref="R47" r:id="rId457"/>
    <hyperlink xmlns:r="http://schemas.openxmlformats.org/officeDocument/2006/relationships" ref="T47" r:id="rId458"/>
    <hyperlink xmlns:r="http://schemas.openxmlformats.org/officeDocument/2006/relationships" ref="V47" r:id="rId459"/>
    <hyperlink xmlns:r="http://schemas.openxmlformats.org/officeDocument/2006/relationships" ref="X47" r:id="rId460"/>
    <hyperlink xmlns:r="http://schemas.openxmlformats.org/officeDocument/2006/relationships" ref="F48" r:id="rId461"/>
    <hyperlink xmlns:r="http://schemas.openxmlformats.org/officeDocument/2006/relationships" ref="H48" r:id="rId462"/>
    <hyperlink xmlns:r="http://schemas.openxmlformats.org/officeDocument/2006/relationships" ref="J48" r:id="rId463"/>
    <hyperlink xmlns:r="http://schemas.openxmlformats.org/officeDocument/2006/relationships" ref="L48" r:id="rId464"/>
    <hyperlink xmlns:r="http://schemas.openxmlformats.org/officeDocument/2006/relationships" ref="N48" r:id="rId465"/>
    <hyperlink xmlns:r="http://schemas.openxmlformats.org/officeDocument/2006/relationships" ref="P48" r:id="rId466"/>
    <hyperlink xmlns:r="http://schemas.openxmlformats.org/officeDocument/2006/relationships" ref="R48" r:id="rId467"/>
    <hyperlink xmlns:r="http://schemas.openxmlformats.org/officeDocument/2006/relationships" ref="T48" r:id="rId468"/>
    <hyperlink xmlns:r="http://schemas.openxmlformats.org/officeDocument/2006/relationships" ref="V48" r:id="rId469"/>
    <hyperlink xmlns:r="http://schemas.openxmlformats.org/officeDocument/2006/relationships" ref="X48" r:id="rId470"/>
    <hyperlink xmlns:r="http://schemas.openxmlformats.org/officeDocument/2006/relationships" ref="F49" r:id="rId471"/>
    <hyperlink xmlns:r="http://schemas.openxmlformats.org/officeDocument/2006/relationships" ref="H49" r:id="rId472"/>
    <hyperlink xmlns:r="http://schemas.openxmlformats.org/officeDocument/2006/relationships" ref="J49" r:id="rId473"/>
    <hyperlink xmlns:r="http://schemas.openxmlformats.org/officeDocument/2006/relationships" ref="L49" r:id="rId474"/>
    <hyperlink xmlns:r="http://schemas.openxmlformats.org/officeDocument/2006/relationships" ref="N49" r:id="rId475"/>
    <hyperlink xmlns:r="http://schemas.openxmlformats.org/officeDocument/2006/relationships" ref="P49" r:id="rId476"/>
    <hyperlink xmlns:r="http://schemas.openxmlformats.org/officeDocument/2006/relationships" ref="R49" r:id="rId477"/>
    <hyperlink xmlns:r="http://schemas.openxmlformats.org/officeDocument/2006/relationships" ref="T49" r:id="rId478"/>
    <hyperlink xmlns:r="http://schemas.openxmlformats.org/officeDocument/2006/relationships" ref="V49" r:id="rId479"/>
    <hyperlink xmlns:r="http://schemas.openxmlformats.org/officeDocument/2006/relationships" ref="X49" r:id="rId480"/>
    <hyperlink xmlns:r="http://schemas.openxmlformats.org/officeDocument/2006/relationships" ref="F50" r:id="rId481"/>
    <hyperlink xmlns:r="http://schemas.openxmlformats.org/officeDocument/2006/relationships" ref="H50" r:id="rId482"/>
    <hyperlink xmlns:r="http://schemas.openxmlformats.org/officeDocument/2006/relationships" ref="J50" r:id="rId483"/>
    <hyperlink xmlns:r="http://schemas.openxmlformats.org/officeDocument/2006/relationships" ref="L50" r:id="rId484"/>
    <hyperlink xmlns:r="http://schemas.openxmlformats.org/officeDocument/2006/relationships" ref="N50" r:id="rId485"/>
    <hyperlink xmlns:r="http://schemas.openxmlformats.org/officeDocument/2006/relationships" ref="P50" r:id="rId486"/>
    <hyperlink xmlns:r="http://schemas.openxmlformats.org/officeDocument/2006/relationships" ref="R50" r:id="rId487"/>
    <hyperlink xmlns:r="http://schemas.openxmlformats.org/officeDocument/2006/relationships" ref="T50" r:id="rId488"/>
    <hyperlink xmlns:r="http://schemas.openxmlformats.org/officeDocument/2006/relationships" ref="V50" r:id="rId489"/>
    <hyperlink xmlns:r="http://schemas.openxmlformats.org/officeDocument/2006/relationships" ref="X50" r:id="rId490"/>
    <hyperlink xmlns:r="http://schemas.openxmlformats.org/officeDocument/2006/relationships" ref="F51" r:id="rId491"/>
    <hyperlink xmlns:r="http://schemas.openxmlformats.org/officeDocument/2006/relationships" ref="H51" r:id="rId492"/>
    <hyperlink xmlns:r="http://schemas.openxmlformats.org/officeDocument/2006/relationships" ref="J51" r:id="rId493"/>
    <hyperlink xmlns:r="http://schemas.openxmlformats.org/officeDocument/2006/relationships" ref="L51" r:id="rId494"/>
    <hyperlink xmlns:r="http://schemas.openxmlformats.org/officeDocument/2006/relationships" ref="N51" r:id="rId495"/>
    <hyperlink xmlns:r="http://schemas.openxmlformats.org/officeDocument/2006/relationships" ref="P51" r:id="rId496"/>
    <hyperlink xmlns:r="http://schemas.openxmlformats.org/officeDocument/2006/relationships" ref="R51" r:id="rId497"/>
    <hyperlink xmlns:r="http://schemas.openxmlformats.org/officeDocument/2006/relationships" ref="T51" r:id="rId498"/>
    <hyperlink xmlns:r="http://schemas.openxmlformats.org/officeDocument/2006/relationships" ref="V51" r:id="rId499"/>
    <hyperlink xmlns:r="http://schemas.openxmlformats.org/officeDocument/2006/relationships" ref="X51" r:id="rId500"/>
    <hyperlink xmlns:r="http://schemas.openxmlformats.org/officeDocument/2006/relationships" ref="F52" r:id="rId501"/>
    <hyperlink xmlns:r="http://schemas.openxmlformats.org/officeDocument/2006/relationships" ref="H52" r:id="rId502"/>
    <hyperlink xmlns:r="http://schemas.openxmlformats.org/officeDocument/2006/relationships" ref="J52" r:id="rId503"/>
    <hyperlink xmlns:r="http://schemas.openxmlformats.org/officeDocument/2006/relationships" ref="L52" r:id="rId504"/>
    <hyperlink xmlns:r="http://schemas.openxmlformats.org/officeDocument/2006/relationships" ref="N52" r:id="rId505"/>
    <hyperlink xmlns:r="http://schemas.openxmlformats.org/officeDocument/2006/relationships" ref="P52" r:id="rId506"/>
    <hyperlink xmlns:r="http://schemas.openxmlformats.org/officeDocument/2006/relationships" ref="R52" r:id="rId507"/>
    <hyperlink xmlns:r="http://schemas.openxmlformats.org/officeDocument/2006/relationships" ref="T52" r:id="rId508"/>
    <hyperlink xmlns:r="http://schemas.openxmlformats.org/officeDocument/2006/relationships" ref="V52" r:id="rId509"/>
    <hyperlink xmlns:r="http://schemas.openxmlformats.org/officeDocument/2006/relationships" ref="X52" r:id="rId510"/>
    <hyperlink xmlns:r="http://schemas.openxmlformats.org/officeDocument/2006/relationships" ref="F53" r:id="rId511"/>
    <hyperlink xmlns:r="http://schemas.openxmlformats.org/officeDocument/2006/relationships" ref="H53" r:id="rId512"/>
    <hyperlink xmlns:r="http://schemas.openxmlformats.org/officeDocument/2006/relationships" ref="J53" r:id="rId513"/>
    <hyperlink xmlns:r="http://schemas.openxmlformats.org/officeDocument/2006/relationships" ref="L53" r:id="rId514"/>
    <hyperlink xmlns:r="http://schemas.openxmlformats.org/officeDocument/2006/relationships" ref="N53" r:id="rId515"/>
    <hyperlink xmlns:r="http://schemas.openxmlformats.org/officeDocument/2006/relationships" ref="P53" r:id="rId516"/>
    <hyperlink xmlns:r="http://schemas.openxmlformats.org/officeDocument/2006/relationships" ref="R53" r:id="rId517"/>
    <hyperlink xmlns:r="http://schemas.openxmlformats.org/officeDocument/2006/relationships" ref="T53" r:id="rId518"/>
    <hyperlink xmlns:r="http://schemas.openxmlformats.org/officeDocument/2006/relationships" ref="V53" r:id="rId519"/>
    <hyperlink xmlns:r="http://schemas.openxmlformats.org/officeDocument/2006/relationships" ref="X53" r:id="rId520"/>
    <hyperlink xmlns:r="http://schemas.openxmlformats.org/officeDocument/2006/relationships" ref="F54" r:id="rId521"/>
    <hyperlink xmlns:r="http://schemas.openxmlformats.org/officeDocument/2006/relationships" ref="H54" r:id="rId522"/>
    <hyperlink xmlns:r="http://schemas.openxmlformats.org/officeDocument/2006/relationships" ref="J54" r:id="rId523"/>
    <hyperlink xmlns:r="http://schemas.openxmlformats.org/officeDocument/2006/relationships" ref="L54" r:id="rId524"/>
    <hyperlink xmlns:r="http://schemas.openxmlformats.org/officeDocument/2006/relationships" ref="N54" r:id="rId525"/>
    <hyperlink xmlns:r="http://schemas.openxmlformats.org/officeDocument/2006/relationships" ref="P54" r:id="rId526"/>
    <hyperlink xmlns:r="http://schemas.openxmlformats.org/officeDocument/2006/relationships" ref="R54" r:id="rId527"/>
    <hyperlink xmlns:r="http://schemas.openxmlformats.org/officeDocument/2006/relationships" ref="T54" r:id="rId528"/>
    <hyperlink xmlns:r="http://schemas.openxmlformats.org/officeDocument/2006/relationships" ref="V54" r:id="rId529"/>
    <hyperlink xmlns:r="http://schemas.openxmlformats.org/officeDocument/2006/relationships" ref="X54" r:id="rId530"/>
    <hyperlink xmlns:r="http://schemas.openxmlformats.org/officeDocument/2006/relationships" ref="F55" r:id="rId531"/>
    <hyperlink xmlns:r="http://schemas.openxmlformats.org/officeDocument/2006/relationships" ref="H55" r:id="rId532"/>
    <hyperlink xmlns:r="http://schemas.openxmlformats.org/officeDocument/2006/relationships" ref="J55" r:id="rId533"/>
    <hyperlink xmlns:r="http://schemas.openxmlformats.org/officeDocument/2006/relationships" ref="L55" r:id="rId534"/>
    <hyperlink xmlns:r="http://schemas.openxmlformats.org/officeDocument/2006/relationships" ref="N55" r:id="rId535"/>
    <hyperlink xmlns:r="http://schemas.openxmlformats.org/officeDocument/2006/relationships" ref="P55" r:id="rId536"/>
    <hyperlink xmlns:r="http://schemas.openxmlformats.org/officeDocument/2006/relationships" ref="R55" r:id="rId537"/>
    <hyperlink xmlns:r="http://schemas.openxmlformats.org/officeDocument/2006/relationships" ref="T55" r:id="rId538"/>
    <hyperlink xmlns:r="http://schemas.openxmlformats.org/officeDocument/2006/relationships" ref="V55" r:id="rId539"/>
    <hyperlink xmlns:r="http://schemas.openxmlformats.org/officeDocument/2006/relationships" ref="X55" r:id="rId540"/>
    <hyperlink xmlns:r="http://schemas.openxmlformats.org/officeDocument/2006/relationships" ref="F56" r:id="rId541"/>
    <hyperlink xmlns:r="http://schemas.openxmlformats.org/officeDocument/2006/relationships" ref="H56" r:id="rId542"/>
    <hyperlink xmlns:r="http://schemas.openxmlformats.org/officeDocument/2006/relationships" ref="J56" r:id="rId543"/>
    <hyperlink xmlns:r="http://schemas.openxmlformats.org/officeDocument/2006/relationships" ref="L56" r:id="rId544"/>
    <hyperlink xmlns:r="http://schemas.openxmlformats.org/officeDocument/2006/relationships" ref="N56" r:id="rId545"/>
    <hyperlink xmlns:r="http://schemas.openxmlformats.org/officeDocument/2006/relationships" ref="P56" r:id="rId546"/>
    <hyperlink xmlns:r="http://schemas.openxmlformats.org/officeDocument/2006/relationships" ref="R56" r:id="rId547"/>
    <hyperlink xmlns:r="http://schemas.openxmlformats.org/officeDocument/2006/relationships" ref="T56" r:id="rId548"/>
    <hyperlink xmlns:r="http://schemas.openxmlformats.org/officeDocument/2006/relationships" ref="V56" r:id="rId549"/>
    <hyperlink xmlns:r="http://schemas.openxmlformats.org/officeDocument/2006/relationships" ref="X56" r:id="rId550"/>
    <hyperlink xmlns:r="http://schemas.openxmlformats.org/officeDocument/2006/relationships" ref="F57" r:id="rId551"/>
    <hyperlink xmlns:r="http://schemas.openxmlformats.org/officeDocument/2006/relationships" ref="H57" r:id="rId552"/>
    <hyperlink xmlns:r="http://schemas.openxmlformats.org/officeDocument/2006/relationships" ref="J57" r:id="rId553"/>
    <hyperlink xmlns:r="http://schemas.openxmlformats.org/officeDocument/2006/relationships" ref="L57" r:id="rId554"/>
    <hyperlink xmlns:r="http://schemas.openxmlformats.org/officeDocument/2006/relationships" ref="N57" r:id="rId555"/>
    <hyperlink xmlns:r="http://schemas.openxmlformats.org/officeDocument/2006/relationships" ref="P57" r:id="rId556"/>
    <hyperlink xmlns:r="http://schemas.openxmlformats.org/officeDocument/2006/relationships" ref="R57" r:id="rId557"/>
    <hyperlink xmlns:r="http://schemas.openxmlformats.org/officeDocument/2006/relationships" ref="T57" r:id="rId558"/>
    <hyperlink xmlns:r="http://schemas.openxmlformats.org/officeDocument/2006/relationships" ref="V57" r:id="rId559"/>
    <hyperlink xmlns:r="http://schemas.openxmlformats.org/officeDocument/2006/relationships" ref="X57" r:id="rId560"/>
    <hyperlink xmlns:r="http://schemas.openxmlformats.org/officeDocument/2006/relationships" ref="F58" r:id="rId561"/>
    <hyperlink xmlns:r="http://schemas.openxmlformats.org/officeDocument/2006/relationships" ref="H58" r:id="rId562"/>
    <hyperlink xmlns:r="http://schemas.openxmlformats.org/officeDocument/2006/relationships" ref="J58" r:id="rId563"/>
    <hyperlink xmlns:r="http://schemas.openxmlformats.org/officeDocument/2006/relationships" ref="L58" r:id="rId564"/>
    <hyperlink xmlns:r="http://schemas.openxmlformats.org/officeDocument/2006/relationships" ref="N58" r:id="rId565"/>
    <hyperlink xmlns:r="http://schemas.openxmlformats.org/officeDocument/2006/relationships" ref="P58" r:id="rId566"/>
    <hyperlink xmlns:r="http://schemas.openxmlformats.org/officeDocument/2006/relationships" ref="R58" r:id="rId567"/>
    <hyperlink xmlns:r="http://schemas.openxmlformats.org/officeDocument/2006/relationships" ref="T58" r:id="rId568"/>
    <hyperlink xmlns:r="http://schemas.openxmlformats.org/officeDocument/2006/relationships" ref="V58" r:id="rId569"/>
    <hyperlink xmlns:r="http://schemas.openxmlformats.org/officeDocument/2006/relationships" ref="X58" r:id="rId570"/>
    <hyperlink xmlns:r="http://schemas.openxmlformats.org/officeDocument/2006/relationships" ref="F59" r:id="rId571"/>
    <hyperlink xmlns:r="http://schemas.openxmlformats.org/officeDocument/2006/relationships" ref="H59" r:id="rId572"/>
    <hyperlink xmlns:r="http://schemas.openxmlformats.org/officeDocument/2006/relationships" ref="J59" r:id="rId573"/>
    <hyperlink xmlns:r="http://schemas.openxmlformats.org/officeDocument/2006/relationships" ref="L59" r:id="rId574"/>
    <hyperlink xmlns:r="http://schemas.openxmlformats.org/officeDocument/2006/relationships" ref="N59" r:id="rId575"/>
    <hyperlink xmlns:r="http://schemas.openxmlformats.org/officeDocument/2006/relationships" ref="P59" r:id="rId576"/>
    <hyperlink xmlns:r="http://schemas.openxmlformats.org/officeDocument/2006/relationships" ref="R59" r:id="rId577"/>
    <hyperlink xmlns:r="http://schemas.openxmlformats.org/officeDocument/2006/relationships" ref="T59" r:id="rId578"/>
    <hyperlink xmlns:r="http://schemas.openxmlformats.org/officeDocument/2006/relationships" ref="V59" r:id="rId579"/>
    <hyperlink xmlns:r="http://schemas.openxmlformats.org/officeDocument/2006/relationships" ref="X59" r:id="rId580"/>
    <hyperlink xmlns:r="http://schemas.openxmlformats.org/officeDocument/2006/relationships" ref="F60" r:id="rId581"/>
    <hyperlink xmlns:r="http://schemas.openxmlformats.org/officeDocument/2006/relationships" ref="H60" r:id="rId582"/>
    <hyperlink xmlns:r="http://schemas.openxmlformats.org/officeDocument/2006/relationships" ref="J60" r:id="rId583"/>
    <hyperlink xmlns:r="http://schemas.openxmlformats.org/officeDocument/2006/relationships" ref="L60" r:id="rId584"/>
    <hyperlink xmlns:r="http://schemas.openxmlformats.org/officeDocument/2006/relationships" ref="N60" r:id="rId585"/>
    <hyperlink xmlns:r="http://schemas.openxmlformats.org/officeDocument/2006/relationships" ref="P60" r:id="rId586"/>
    <hyperlink xmlns:r="http://schemas.openxmlformats.org/officeDocument/2006/relationships" ref="R60" r:id="rId587"/>
    <hyperlink xmlns:r="http://schemas.openxmlformats.org/officeDocument/2006/relationships" ref="T60" r:id="rId588"/>
    <hyperlink xmlns:r="http://schemas.openxmlformats.org/officeDocument/2006/relationships" ref="V60" r:id="rId589"/>
    <hyperlink xmlns:r="http://schemas.openxmlformats.org/officeDocument/2006/relationships" ref="X60" r:id="rId590"/>
    <hyperlink xmlns:r="http://schemas.openxmlformats.org/officeDocument/2006/relationships" ref="F61" r:id="rId591"/>
    <hyperlink xmlns:r="http://schemas.openxmlformats.org/officeDocument/2006/relationships" ref="H61" r:id="rId592"/>
    <hyperlink xmlns:r="http://schemas.openxmlformats.org/officeDocument/2006/relationships" ref="J61" r:id="rId593"/>
    <hyperlink xmlns:r="http://schemas.openxmlformats.org/officeDocument/2006/relationships" ref="L61" r:id="rId594"/>
    <hyperlink xmlns:r="http://schemas.openxmlformats.org/officeDocument/2006/relationships" ref="N61" r:id="rId595"/>
    <hyperlink xmlns:r="http://schemas.openxmlformats.org/officeDocument/2006/relationships" ref="P61" r:id="rId596"/>
    <hyperlink xmlns:r="http://schemas.openxmlformats.org/officeDocument/2006/relationships" ref="R61" r:id="rId597"/>
    <hyperlink xmlns:r="http://schemas.openxmlformats.org/officeDocument/2006/relationships" ref="T61" r:id="rId598"/>
    <hyperlink xmlns:r="http://schemas.openxmlformats.org/officeDocument/2006/relationships" ref="V61" r:id="rId599"/>
    <hyperlink xmlns:r="http://schemas.openxmlformats.org/officeDocument/2006/relationships" ref="X61" r:id="rId600"/>
    <hyperlink xmlns:r="http://schemas.openxmlformats.org/officeDocument/2006/relationships" ref="F62" r:id="rId601"/>
    <hyperlink xmlns:r="http://schemas.openxmlformats.org/officeDocument/2006/relationships" ref="H62" r:id="rId602"/>
    <hyperlink xmlns:r="http://schemas.openxmlformats.org/officeDocument/2006/relationships" ref="J62" r:id="rId603"/>
    <hyperlink xmlns:r="http://schemas.openxmlformats.org/officeDocument/2006/relationships" ref="L62" r:id="rId604"/>
    <hyperlink xmlns:r="http://schemas.openxmlformats.org/officeDocument/2006/relationships" ref="N62" r:id="rId605"/>
    <hyperlink xmlns:r="http://schemas.openxmlformats.org/officeDocument/2006/relationships" ref="P62" r:id="rId606"/>
    <hyperlink xmlns:r="http://schemas.openxmlformats.org/officeDocument/2006/relationships" ref="R62" r:id="rId607"/>
    <hyperlink xmlns:r="http://schemas.openxmlformats.org/officeDocument/2006/relationships" ref="T62" r:id="rId608"/>
    <hyperlink xmlns:r="http://schemas.openxmlformats.org/officeDocument/2006/relationships" ref="V62" r:id="rId609"/>
    <hyperlink xmlns:r="http://schemas.openxmlformats.org/officeDocument/2006/relationships" ref="X62" r:id="rId610"/>
    <hyperlink xmlns:r="http://schemas.openxmlformats.org/officeDocument/2006/relationships" ref="F63" r:id="rId611"/>
    <hyperlink xmlns:r="http://schemas.openxmlformats.org/officeDocument/2006/relationships" ref="H63" r:id="rId612"/>
    <hyperlink xmlns:r="http://schemas.openxmlformats.org/officeDocument/2006/relationships" ref="J63" r:id="rId613"/>
    <hyperlink xmlns:r="http://schemas.openxmlformats.org/officeDocument/2006/relationships" ref="L63" r:id="rId614"/>
    <hyperlink xmlns:r="http://schemas.openxmlformats.org/officeDocument/2006/relationships" ref="N63" r:id="rId615"/>
    <hyperlink xmlns:r="http://schemas.openxmlformats.org/officeDocument/2006/relationships" ref="P63" r:id="rId616"/>
    <hyperlink xmlns:r="http://schemas.openxmlformats.org/officeDocument/2006/relationships" ref="R63" r:id="rId617"/>
    <hyperlink xmlns:r="http://schemas.openxmlformats.org/officeDocument/2006/relationships" ref="T63" r:id="rId618"/>
    <hyperlink xmlns:r="http://schemas.openxmlformats.org/officeDocument/2006/relationships" ref="V63" r:id="rId619"/>
    <hyperlink xmlns:r="http://schemas.openxmlformats.org/officeDocument/2006/relationships" ref="X63" r:id="rId620"/>
    <hyperlink xmlns:r="http://schemas.openxmlformats.org/officeDocument/2006/relationships" ref="F64" r:id="rId621"/>
    <hyperlink xmlns:r="http://schemas.openxmlformats.org/officeDocument/2006/relationships" ref="H64" r:id="rId622"/>
    <hyperlink xmlns:r="http://schemas.openxmlformats.org/officeDocument/2006/relationships" ref="J64" r:id="rId623"/>
    <hyperlink xmlns:r="http://schemas.openxmlformats.org/officeDocument/2006/relationships" ref="L64" r:id="rId624"/>
    <hyperlink xmlns:r="http://schemas.openxmlformats.org/officeDocument/2006/relationships" ref="N64" r:id="rId625"/>
    <hyperlink xmlns:r="http://schemas.openxmlformats.org/officeDocument/2006/relationships" ref="P64" r:id="rId626"/>
    <hyperlink xmlns:r="http://schemas.openxmlformats.org/officeDocument/2006/relationships" ref="R64" r:id="rId627"/>
    <hyperlink xmlns:r="http://schemas.openxmlformats.org/officeDocument/2006/relationships" ref="T64" r:id="rId628"/>
    <hyperlink xmlns:r="http://schemas.openxmlformats.org/officeDocument/2006/relationships" ref="V64" r:id="rId629"/>
    <hyperlink xmlns:r="http://schemas.openxmlformats.org/officeDocument/2006/relationships" ref="X64" r:id="rId630"/>
    <hyperlink xmlns:r="http://schemas.openxmlformats.org/officeDocument/2006/relationships" ref="F65" r:id="rId631"/>
    <hyperlink xmlns:r="http://schemas.openxmlformats.org/officeDocument/2006/relationships" ref="H65" r:id="rId632"/>
    <hyperlink xmlns:r="http://schemas.openxmlformats.org/officeDocument/2006/relationships" ref="J65" r:id="rId633"/>
    <hyperlink xmlns:r="http://schemas.openxmlformats.org/officeDocument/2006/relationships" ref="L65" r:id="rId634"/>
    <hyperlink xmlns:r="http://schemas.openxmlformats.org/officeDocument/2006/relationships" ref="N65" r:id="rId635"/>
    <hyperlink xmlns:r="http://schemas.openxmlformats.org/officeDocument/2006/relationships" ref="P65" r:id="rId636"/>
    <hyperlink xmlns:r="http://schemas.openxmlformats.org/officeDocument/2006/relationships" ref="R65" r:id="rId637"/>
    <hyperlink xmlns:r="http://schemas.openxmlformats.org/officeDocument/2006/relationships" ref="T65" r:id="rId638"/>
    <hyperlink xmlns:r="http://schemas.openxmlformats.org/officeDocument/2006/relationships" ref="V65" r:id="rId639"/>
    <hyperlink xmlns:r="http://schemas.openxmlformats.org/officeDocument/2006/relationships" ref="X65" r:id="rId640"/>
    <hyperlink xmlns:r="http://schemas.openxmlformats.org/officeDocument/2006/relationships" ref="F66" r:id="rId641"/>
    <hyperlink xmlns:r="http://schemas.openxmlformats.org/officeDocument/2006/relationships" ref="H66" r:id="rId642"/>
    <hyperlink xmlns:r="http://schemas.openxmlformats.org/officeDocument/2006/relationships" ref="J66" r:id="rId643"/>
    <hyperlink xmlns:r="http://schemas.openxmlformats.org/officeDocument/2006/relationships" ref="L66" r:id="rId644"/>
    <hyperlink xmlns:r="http://schemas.openxmlformats.org/officeDocument/2006/relationships" ref="N66" r:id="rId645"/>
    <hyperlink xmlns:r="http://schemas.openxmlformats.org/officeDocument/2006/relationships" ref="P66" r:id="rId646"/>
    <hyperlink xmlns:r="http://schemas.openxmlformats.org/officeDocument/2006/relationships" ref="R66" r:id="rId647"/>
    <hyperlink xmlns:r="http://schemas.openxmlformats.org/officeDocument/2006/relationships" ref="T66" r:id="rId648"/>
    <hyperlink xmlns:r="http://schemas.openxmlformats.org/officeDocument/2006/relationships" ref="V66" r:id="rId649"/>
    <hyperlink xmlns:r="http://schemas.openxmlformats.org/officeDocument/2006/relationships" ref="X66" r:id="rId650"/>
    <hyperlink xmlns:r="http://schemas.openxmlformats.org/officeDocument/2006/relationships" ref="F67" r:id="rId651"/>
    <hyperlink xmlns:r="http://schemas.openxmlformats.org/officeDocument/2006/relationships" ref="H67" r:id="rId652"/>
    <hyperlink xmlns:r="http://schemas.openxmlformats.org/officeDocument/2006/relationships" ref="J67" r:id="rId653"/>
    <hyperlink xmlns:r="http://schemas.openxmlformats.org/officeDocument/2006/relationships" ref="L67" r:id="rId654"/>
    <hyperlink xmlns:r="http://schemas.openxmlformats.org/officeDocument/2006/relationships" ref="N67" r:id="rId655"/>
    <hyperlink xmlns:r="http://schemas.openxmlformats.org/officeDocument/2006/relationships" ref="P67" r:id="rId656"/>
    <hyperlink xmlns:r="http://schemas.openxmlformats.org/officeDocument/2006/relationships" ref="R67" r:id="rId657"/>
    <hyperlink xmlns:r="http://schemas.openxmlformats.org/officeDocument/2006/relationships" ref="T67" r:id="rId658"/>
    <hyperlink xmlns:r="http://schemas.openxmlformats.org/officeDocument/2006/relationships" ref="V67" r:id="rId659"/>
    <hyperlink xmlns:r="http://schemas.openxmlformats.org/officeDocument/2006/relationships" ref="X67" r:id="rId660"/>
    <hyperlink xmlns:r="http://schemas.openxmlformats.org/officeDocument/2006/relationships" ref="F68" r:id="rId661"/>
    <hyperlink xmlns:r="http://schemas.openxmlformats.org/officeDocument/2006/relationships" ref="H68" r:id="rId662"/>
    <hyperlink xmlns:r="http://schemas.openxmlformats.org/officeDocument/2006/relationships" ref="J68" r:id="rId663"/>
    <hyperlink xmlns:r="http://schemas.openxmlformats.org/officeDocument/2006/relationships" ref="L68" r:id="rId664"/>
    <hyperlink xmlns:r="http://schemas.openxmlformats.org/officeDocument/2006/relationships" ref="N68" r:id="rId665"/>
    <hyperlink xmlns:r="http://schemas.openxmlformats.org/officeDocument/2006/relationships" ref="P68" r:id="rId666"/>
    <hyperlink xmlns:r="http://schemas.openxmlformats.org/officeDocument/2006/relationships" ref="R68" r:id="rId667"/>
    <hyperlink xmlns:r="http://schemas.openxmlformats.org/officeDocument/2006/relationships" ref="T68" r:id="rId668"/>
    <hyperlink xmlns:r="http://schemas.openxmlformats.org/officeDocument/2006/relationships" ref="V68" r:id="rId669"/>
    <hyperlink xmlns:r="http://schemas.openxmlformats.org/officeDocument/2006/relationships" ref="X68" r:id="rId670"/>
    <hyperlink xmlns:r="http://schemas.openxmlformats.org/officeDocument/2006/relationships" ref="F69" r:id="rId671"/>
    <hyperlink xmlns:r="http://schemas.openxmlformats.org/officeDocument/2006/relationships" ref="H69" r:id="rId672"/>
    <hyperlink xmlns:r="http://schemas.openxmlformats.org/officeDocument/2006/relationships" ref="J69" r:id="rId673"/>
    <hyperlink xmlns:r="http://schemas.openxmlformats.org/officeDocument/2006/relationships" ref="L69" r:id="rId674"/>
    <hyperlink xmlns:r="http://schemas.openxmlformats.org/officeDocument/2006/relationships" ref="N69" r:id="rId675"/>
    <hyperlink xmlns:r="http://schemas.openxmlformats.org/officeDocument/2006/relationships" ref="P69" r:id="rId676"/>
    <hyperlink xmlns:r="http://schemas.openxmlformats.org/officeDocument/2006/relationships" ref="R69" r:id="rId677"/>
    <hyperlink xmlns:r="http://schemas.openxmlformats.org/officeDocument/2006/relationships" ref="T69" r:id="rId678"/>
    <hyperlink xmlns:r="http://schemas.openxmlformats.org/officeDocument/2006/relationships" ref="V69" r:id="rId679"/>
    <hyperlink xmlns:r="http://schemas.openxmlformats.org/officeDocument/2006/relationships" ref="X69" r:id="rId680"/>
    <hyperlink xmlns:r="http://schemas.openxmlformats.org/officeDocument/2006/relationships" ref="F70" r:id="rId681"/>
    <hyperlink xmlns:r="http://schemas.openxmlformats.org/officeDocument/2006/relationships" ref="H70" r:id="rId682"/>
    <hyperlink xmlns:r="http://schemas.openxmlformats.org/officeDocument/2006/relationships" ref="J70" r:id="rId683"/>
    <hyperlink xmlns:r="http://schemas.openxmlformats.org/officeDocument/2006/relationships" ref="L70" r:id="rId684"/>
    <hyperlink xmlns:r="http://schemas.openxmlformats.org/officeDocument/2006/relationships" ref="N70" r:id="rId685"/>
    <hyperlink xmlns:r="http://schemas.openxmlformats.org/officeDocument/2006/relationships" ref="P70" r:id="rId686"/>
    <hyperlink xmlns:r="http://schemas.openxmlformats.org/officeDocument/2006/relationships" ref="R70" r:id="rId687"/>
    <hyperlink xmlns:r="http://schemas.openxmlformats.org/officeDocument/2006/relationships" ref="T70" r:id="rId688"/>
    <hyperlink xmlns:r="http://schemas.openxmlformats.org/officeDocument/2006/relationships" ref="V70" r:id="rId689"/>
    <hyperlink xmlns:r="http://schemas.openxmlformats.org/officeDocument/2006/relationships" ref="X70" r:id="rId690"/>
    <hyperlink xmlns:r="http://schemas.openxmlformats.org/officeDocument/2006/relationships" ref="F71" r:id="rId691"/>
    <hyperlink xmlns:r="http://schemas.openxmlformats.org/officeDocument/2006/relationships" ref="H71" r:id="rId692"/>
    <hyperlink xmlns:r="http://schemas.openxmlformats.org/officeDocument/2006/relationships" ref="J71" r:id="rId693"/>
    <hyperlink xmlns:r="http://schemas.openxmlformats.org/officeDocument/2006/relationships" ref="L71" r:id="rId694"/>
    <hyperlink xmlns:r="http://schemas.openxmlformats.org/officeDocument/2006/relationships" ref="N71" r:id="rId695"/>
    <hyperlink xmlns:r="http://schemas.openxmlformats.org/officeDocument/2006/relationships" ref="P71" r:id="rId696"/>
    <hyperlink xmlns:r="http://schemas.openxmlformats.org/officeDocument/2006/relationships" ref="R71" r:id="rId697"/>
    <hyperlink xmlns:r="http://schemas.openxmlformats.org/officeDocument/2006/relationships" ref="T71" r:id="rId698"/>
    <hyperlink xmlns:r="http://schemas.openxmlformats.org/officeDocument/2006/relationships" ref="V71" r:id="rId699"/>
    <hyperlink xmlns:r="http://schemas.openxmlformats.org/officeDocument/2006/relationships" ref="X71" r:id="rId700"/>
    <hyperlink xmlns:r="http://schemas.openxmlformats.org/officeDocument/2006/relationships" ref="F72" r:id="rId701"/>
    <hyperlink xmlns:r="http://schemas.openxmlformats.org/officeDocument/2006/relationships" ref="H72" r:id="rId702"/>
    <hyperlink xmlns:r="http://schemas.openxmlformats.org/officeDocument/2006/relationships" ref="J72" r:id="rId703"/>
    <hyperlink xmlns:r="http://schemas.openxmlformats.org/officeDocument/2006/relationships" ref="L72" r:id="rId704"/>
    <hyperlink xmlns:r="http://schemas.openxmlformats.org/officeDocument/2006/relationships" ref="N72" r:id="rId705"/>
    <hyperlink xmlns:r="http://schemas.openxmlformats.org/officeDocument/2006/relationships" ref="P72" r:id="rId706"/>
    <hyperlink xmlns:r="http://schemas.openxmlformats.org/officeDocument/2006/relationships" ref="R72" r:id="rId707"/>
    <hyperlink xmlns:r="http://schemas.openxmlformats.org/officeDocument/2006/relationships" ref="T72" r:id="rId708"/>
    <hyperlink xmlns:r="http://schemas.openxmlformats.org/officeDocument/2006/relationships" ref="V72" r:id="rId709"/>
    <hyperlink xmlns:r="http://schemas.openxmlformats.org/officeDocument/2006/relationships" ref="X72" r:id="rId710"/>
    <hyperlink xmlns:r="http://schemas.openxmlformats.org/officeDocument/2006/relationships" ref="F73" r:id="rId711"/>
    <hyperlink xmlns:r="http://schemas.openxmlformats.org/officeDocument/2006/relationships" ref="H73" r:id="rId712"/>
    <hyperlink xmlns:r="http://schemas.openxmlformats.org/officeDocument/2006/relationships" ref="J73" r:id="rId713"/>
    <hyperlink xmlns:r="http://schemas.openxmlformats.org/officeDocument/2006/relationships" ref="L73" r:id="rId714"/>
    <hyperlink xmlns:r="http://schemas.openxmlformats.org/officeDocument/2006/relationships" ref="N73" r:id="rId715"/>
    <hyperlink xmlns:r="http://schemas.openxmlformats.org/officeDocument/2006/relationships" ref="P73" r:id="rId716"/>
    <hyperlink xmlns:r="http://schemas.openxmlformats.org/officeDocument/2006/relationships" ref="R73" r:id="rId717"/>
    <hyperlink xmlns:r="http://schemas.openxmlformats.org/officeDocument/2006/relationships" ref="T73" r:id="rId718"/>
    <hyperlink xmlns:r="http://schemas.openxmlformats.org/officeDocument/2006/relationships" ref="V73" r:id="rId719"/>
    <hyperlink xmlns:r="http://schemas.openxmlformats.org/officeDocument/2006/relationships" ref="X73" r:id="rId720"/>
    <hyperlink xmlns:r="http://schemas.openxmlformats.org/officeDocument/2006/relationships" ref="F74" r:id="rId721"/>
    <hyperlink xmlns:r="http://schemas.openxmlformats.org/officeDocument/2006/relationships" ref="H74" r:id="rId722"/>
    <hyperlink xmlns:r="http://schemas.openxmlformats.org/officeDocument/2006/relationships" ref="J74" r:id="rId723"/>
    <hyperlink xmlns:r="http://schemas.openxmlformats.org/officeDocument/2006/relationships" ref="L74" r:id="rId724"/>
    <hyperlink xmlns:r="http://schemas.openxmlformats.org/officeDocument/2006/relationships" ref="N74" r:id="rId725"/>
    <hyperlink xmlns:r="http://schemas.openxmlformats.org/officeDocument/2006/relationships" ref="P74" r:id="rId726"/>
    <hyperlink xmlns:r="http://schemas.openxmlformats.org/officeDocument/2006/relationships" ref="R74" r:id="rId727"/>
    <hyperlink xmlns:r="http://schemas.openxmlformats.org/officeDocument/2006/relationships" ref="T74" r:id="rId728"/>
    <hyperlink xmlns:r="http://schemas.openxmlformats.org/officeDocument/2006/relationships" ref="V74" r:id="rId729"/>
    <hyperlink xmlns:r="http://schemas.openxmlformats.org/officeDocument/2006/relationships" ref="X74" r:id="rId730"/>
    <hyperlink xmlns:r="http://schemas.openxmlformats.org/officeDocument/2006/relationships" ref="F75" r:id="rId731"/>
    <hyperlink xmlns:r="http://schemas.openxmlformats.org/officeDocument/2006/relationships" ref="H75" r:id="rId732"/>
    <hyperlink xmlns:r="http://schemas.openxmlformats.org/officeDocument/2006/relationships" ref="J75" r:id="rId733"/>
    <hyperlink xmlns:r="http://schemas.openxmlformats.org/officeDocument/2006/relationships" ref="L75" r:id="rId734"/>
    <hyperlink xmlns:r="http://schemas.openxmlformats.org/officeDocument/2006/relationships" ref="N75" r:id="rId735"/>
    <hyperlink xmlns:r="http://schemas.openxmlformats.org/officeDocument/2006/relationships" ref="P75" r:id="rId736"/>
    <hyperlink xmlns:r="http://schemas.openxmlformats.org/officeDocument/2006/relationships" ref="R75" r:id="rId737"/>
    <hyperlink xmlns:r="http://schemas.openxmlformats.org/officeDocument/2006/relationships" ref="T75" r:id="rId738"/>
    <hyperlink xmlns:r="http://schemas.openxmlformats.org/officeDocument/2006/relationships" ref="V75" r:id="rId739"/>
    <hyperlink xmlns:r="http://schemas.openxmlformats.org/officeDocument/2006/relationships" ref="X75" r:id="rId740"/>
    <hyperlink xmlns:r="http://schemas.openxmlformats.org/officeDocument/2006/relationships" ref="F76" r:id="rId741"/>
    <hyperlink xmlns:r="http://schemas.openxmlformats.org/officeDocument/2006/relationships" ref="H76" r:id="rId742"/>
    <hyperlink xmlns:r="http://schemas.openxmlformats.org/officeDocument/2006/relationships" ref="J76" r:id="rId743"/>
    <hyperlink xmlns:r="http://schemas.openxmlformats.org/officeDocument/2006/relationships" ref="L76" r:id="rId744"/>
    <hyperlink xmlns:r="http://schemas.openxmlformats.org/officeDocument/2006/relationships" ref="N76" r:id="rId745"/>
    <hyperlink xmlns:r="http://schemas.openxmlformats.org/officeDocument/2006/relationships" ref="P76" r:id="rId746"/>
    <hyperlink xmlns:r="http://schemas.openxmlformats.org/officeDocument/2006/relationships" ref="R76" r:id="rId747"/>
    <hyperlink xmlns:r="http://schemas.openxmlformats.org/officeDocument/2006/relationships" ref="T76" r:id="rId748"/>
    <hyperlink xmlns:r="http://schemas.openxmlformats.org/officeDocument/2006/relationships" ref="V76" r:id="rId749"/>
    <hyperlink xmlns:r="http://schemas.openxmlformats.org/officeDocument/2006/relationships" ref="X76" r:id="rId750"/>
    <hyperlink xmlns:r="http://schemas.openxmlformats.org/officeDocument/2006/relationships" ref="F77" r:id="rId751"/>
    <hyperlink xmlns:r="http://schemas.openxmlformats.org/officeDocument/2006/relationships" ref="H77" r:id="rId752"/>
    <hyperlink xmlns:r="http://schemas.openxmlformats.org/officeDocument/2006/relationships" ref="J77" r:id="rId753"/>
    <hyperlink xmlns:r="http://schemas.openxmlformats.org/officeDocument/2006/relationships" ref="L77" r:id="rId754"/>
    <hyperlink xmlns:r="http://schemas.openxmlformats.org/officeDocument/2006/relationships" ref="N77" r:id="rId755"/>
    <hyperlink xmlns:r="http://schemas.openxmlformats.org/officeDocument/2006/relationships" ref="P77" r:id="rId756"/>
    <hyperlink xmlns:r="http://schemas.openxmlformats.org/officeDocument/2006/relationships" ref="R77" r:id="rId757"/>
    <hyperlink xmlns:r="http://schemas.openxmlformats.org/officeDocument/2006/relationships" ref="T77" r:id="rId758"/>
    <hyperlink xmlns:r="http://schemas.openxmlformats.org/officeDocument/2006/relationships" ref="V77" r:id="rId759"/>
    <hyperlink xmlns:r="http://schemas.openxmlformats.org/officeDocument/2006/relationships" ref="X77" r:id="rId760"/>
    <hyperlink xmlns:r="http://schemas.openxmlformats.org/officeDocument/2006/relationships" ref="F78" r:id="rId761"/>
    <hyperlink xmlns:r="http://schemas.openxmlformats.org/officeDocument/2006/relationships" ref="H78" r:id="rId762"/>
    <hyperlink xmlns:r="http://schemas.openxmlformats.org/officeDocument/2006/relationships" ref="J78" r:id="rId763"/>
    <hyperlink xmlns:r="http://schemas.openxmlformats.org/officeDocument/2006/relationships" ref="L78" r:id="rId764"/>
    <hyperlink xmlns:r="http://schemas.openxmlformats.org/officeDocument/2006/relationships" ref="N78" r:id="rId765"/>
    <hyperlink xmlns:r="http://schemas.openxmlformats.org/officeDocument/2006/relationships" ref="P78" r:id="rId766"/>
    <hyperlink xmlns:r="http://schemas.openxmlformats.org/officeDocument/2006/relationships" ref="R78" r:id="rId767"/>
    <hyperlink xmlns:r="http://schemas.openxmlformats.org/officeDocument/2006/relationships" ref="T78" r:id="rId768"/>
    <hyperlink xmlns:r="http://schemas.openxmlformats.org/officeDocument/2006/relationships" ref="V78" r:id="rId769"/>
    <hyperlink xmlns:r="http://schemas.openxmlformats.org/officeDocument/2006/relationships" ref="X78" r:id="rId770"/>
    <hyperlink xmlns:r="http://schemas.openxmlformats.org/officeDocument/2006/relationships" ref="F79" r:id="rId771"/>
    <hyperlink xmlns:r="http://schemas.openxmlformats.org/officeDocument/2006/relationships" ref="H79" r:id="rId772"/>
    <hyperlink xmlns:r="http://schemas.openxmlformats.org/officeDocument/2006/relationships" ref="J79" r:id="rId773"/>
    <hyperlink xmlns:r="http://schemas.openxmlformats.org/officeDocument/2006/relationships" ref="L79" r:id="rId774"/>
    <hyperlink xmlns:r="http://schemas.openxmlformats.org/officeDocument/2006/relationships" ref="N79" r:id="rId775"/>
    <hyperlink xmlns:r="http://schemas.openxmlformats.org/officeDocument/2006/relationships" ref="P79" r:id="rId776"/>
    <hyperlink xmlns:r="http://schemas.openxmlformats.org/officeDocument/2006/relationships" ref="R79" r:id="rId777"/>
    <hyperlink xmlns:r="http://schemas.openxmlformats.org/officeDocument/2006/relationships" ref="T79" r:id="rId778"/>
    <hyperlink xmlns:r="http://schemas.openxmlformats.org/officeDocument/2006/relationships" ref="V79" r:id="rId779"/>
    <hyperlink xmlns:r="http://schemas.openxmlformats.org/officeDocument/2006/relationships" ref="X79" r:id="rId780"/>
    <hyperlink xmlns:r="http://schemas.openxmlformats.org/officeDocument/2006/relationships" ref="F80" r:id="rId781"/>
    <hyperlink xmlns:r="http://schemas.openxmlformats.org/officeDocument/2006/relationships" ref="H80" r:id="rId782"/>
    <hyperlink xmlns:r="http://schemas.openxmlformats.org/officeDocument/2006/relationships" ref="J80" r:id="rId783"/>
    <hyperlink xmlns:r="http://schemas.openxmlformats.org/officeDocument/2006/relationships" ref="L80" r:id="rId784"/>
    <hyperlink xmlns:r="http://schemas.openxmlformats.org/officeDocument/2006/relationships" ref="N80" r:id="rId785"/>
    <hyperlink xmlns:r="http://schemas.openxmlformats.org/officeDocument/2006/relationships" ref="P80" r:id="rId786"/>
    <hyperlink xmlns:r="http://schemas.openxmlformats.org/officeDocument/2006/relationships" ref="R80" r:id="rId787"/>
    <hyperlink xmlns:r="http://schemas.openxmlformats.org/officeDocument/2006/relationships" ref="T80" r:id="rId788"/>
    <hyperlink xmlns:r="http://schemas.openxmlformats.org/officeDocument/2006/relationships" ref="V80" r:id="rId789"/>
    <hyperlink xmlns:r="http://schemas.openxmlformats.org/officeDocument/2006/relationships" ref="X80" r:id="rId790"/>
    <hyperlink xmlns:r="http://schemas.openxmlformats.org/officeDocument/2006/relationships" ref="F81" r:id="rId791"/>
    <hyperlink xmlns:r="http://schemas.openxmlformats.org/officeDocument/2006/relationships" ref="H81" r:id="rId792"/>
    <hyperlink xmlns:r="http://schemas.openxmlformats.org/officeDocument/2006/relationships" ref="J81" r:id="rId793"/>
    <hyperlink xmlns:r="http://schemas.openxmlformats.org/officeDocument/2006/relationships" ref="L81" r:id="rId794"/>
    <hyperlink xmlns:r="http://schemas.openxmlformats.org/officeDocument/2006/relationships" ref="N81" r:id="rId795"/>
    <hyperlink xmlns:r="http://schemas.openxmlformats.org/officeDocument/2006/relationships" ref="P81" r:id="rId796"/>
    <hyperlink xmlns:r="http://schemas.openxmlformats.org/officeDocument/2006/relationships" ref="R81" r:id="rId797"/>
    <hyperlink xmlns:r="http://schemas.openxmlformats.org/officeDocument/2006/relationships" ref="T81" r:id="rId798"/>
    <hyperlink xmlns:r="http://schemas.openxmlformats.org/officeDocument/2006/relationships" ref="V81" r:id="rId799"/>
    <hyperlink xmlns:r="http://schemas.openxmlformats.org/officeDocument/2006/relationships" ref="X81" r:id="rId800"/>
    <hyperlink xmlns:r="http://schemas.openxmlformats.org/officeDocument/2006/relationships" ref="F82" r:id="rId801"/>
    <hyperlink xmlns:r="http://schemas.openxmlformats.org/officeDocument/2006/relationships" ref="H82" r:id="rId802"/>
    <hyperlink xmlns:r="http://schemas.openxmlformats.org/officeDocument/2006/relationships" ref="J82" r:id="rId803"/>
    <hyperlink xmlns:r="http://schemas.openxmlformats.org/officeDocument/2006/relationships" ref="L82" r:id="rId804"/>
    <hyperlink xmlns:r="http://schemas.openxmlformats.org/officeDocument/2006/relationships" ref="N82" r:id="rId805"/>
    <hyperlink xmlns:r="http://schemas.openxmlformats.org/officeDocument/2006/relationships" ref="P82" r:id="rId806"/>
    <hyperlink xmlns:r="http://schemas.openxmlformats.org/officeDocument/2006/relationships" ref="R82" r:id="rId807"/>
    <hyperlink xmlns:r="http://schemas.openxmlformats.org/officeDocument/2006/relationships" ref="T82" r:id="rId808"/>
    <hyperlink xmlns:r="http://schemas.openxmlformats.org/officeDocument/2006/relationships" ref="V82" r:id="rId809"/>
    <hyperlink xmlns:r="http://schemas.openxmlformats.org/officeDocument/2006/relationships" ref="X82" r:id="rId810"/>
    <hyperlink xmlns:r="http://schemas.openxmlformats.org/officeDocument/2006/relationships" ref="F83" r:id="rId811"/>
    <hyperlink xmlns:r="http://schemas.openxmlformats.org/officeDocument/2006/relationships" ref="H83" r:id="rId812"/>
    <hyperlink xmlns:r="http://schemas.openxmlformats.org/officeDocument/2006/relationships" ref="J83" r:id="rId813"/>
    <hyperlink xmlns:r="http://schemas.openxmlformats.org/officeDocument/2006/relationships" ref="L83" r:id="rId814"/>
    <hyperlink xmlns:r="http://schemas.openxmlformats.org/officeDocument/2006/relationships" ref="N83" r:id="rId815"/>
    <hyperlink xmlns:r="http://schemas.openxmlformats.org/officeDocument/2006/relationships" ref="P83" r:id="rId816"/>
    <hyperlink xmlns:r="http://schemas.openxmlformats.org/officeDocument/2006/relationships" ref="R83" r:id="rId817"/>
    <hyperlink xmlns:r="http://schemas.openxmlformats.org/officeDocument/2006/relationships" ref="T83" r:id="rId818"/>
    <hyperlink xmlns:r="http://schemas.openxmlformats.org/officeDocument/2006/relationships" ref="V83" r:id="rId819"/>
    <hyperlink xmlns:r="http://schemas.openxmlformats.org/officeDocument/2006/relationships" ref="X83" r:id="rId820"/>
    <hyperlink xmlns:r="http://schemas.openxmlformats.org/officeDocument/2006/relationships" ref="F84" r:id="rId821"/>
    <hyperlink xmlns:r="http://schemas.openxmlformats.org/officeDocument/2006/relationships" ref="H84" r:id="rId822"/>
    <hyperlink xmlns:r="http://schemas.openxmlformats.org/officeDocument/2006/relationships" ref="J84" r:id="rId823"/>
    <hyperlink xmlns:r="http://schemas.openxmlformats.org/officeDocument/2006/relationships" ref="L84" r:id="rId824"/>
    <hyperlink xmlns:r="http://schemas.openxmlformats.org/officeDocument/2006/relationships" ref="N84" r:id="rId825"/>
    <hyperlink xmlns:r="http://schemas.openxmlformats.org/officeDocument/2006/relationships" ref="P84" r:id="rId826"/>
    <hyperlink xmlns:r="http://schemas.openxmlformats.org/officeDocument/2006/relationships" ref="R84" r:id="rId827"/>
    <hyperlink xmlns:r="http://schemas.openxmlformats.org/officeDocument/2006/relationships" ref="T84" r:id="rId828"/>
    <hyperlink xmlns:r="http://schemas.openxmlformats.org/officeDocument/2006/relationships" ref="V84" r:id="rId829"/>
    <hyperlink xmlns:r="http://schemas.openxmlformats.org/officeDocument/2006/relationships" ref="X84" r:id="rId830"/>
    <hyperlink xmlns:r="http://schemas.openxmlformats.org/officeDocument/2006/relationships" ref="F85" r:id="rId831"/>
    <hyperlink xmlns:r="http://schemas.openxmlformats.org/officeDocument/2006/relationships" ref="H85" r:id="rId832"/>
    <hyperlink xmlns:r="http://schemas.openxmlformats.org/officeDocument/2006/relationships" ref="J85" r:id="rId833"/>
    <hyperlink xmlns:r="http://schemas.openxmlformats.org/officeDocument/2006/relationships" ref="L85" r:id="rId834"/>
    <hyperlink xmlns:r="http://schemas.openxmlformats.org/officeDocument/2006/relationships" ref="N85" r:id="rId835"/>
    <hyperlink xmlns:r="http://schemas.openxmlformats.org/officeDocument/2006/relationships" ref="P85" r:id="rId836"/>
    <hyperlink xmlns:r="http://schemas.openxmlformats.org/officeDocument/2006/relationships" ref="R85" r:id="rId837"/>
    <hyperlink xmlns:r="http://schemas.openxmlformats.org/officeDocument/2006/relationships" ref="T85" r:id="rId838"/>
    <hyperlink xmlns:r="http://schemas.openxmlformats.org/officeDocument/2006/relationships" ref="V85" r:id="rId839"/>
    <hyperlink xmlns:r="http://schemas.openxmlformats.org/officeDocument/2006/relationships" ref="X85" r:id="rId840"/>
    <hyperlink xmlns:r="http://schemas.openxmlformats.org/officeDocument/2006/relationships" ref="F86" r:id="rId841"/>
    <hyperlink xmlns:r="http://schemas.openxmlformats.org/officeDocument/2006/relationships" ref="H86" r:id="rId842"/>
    <hyperlink xmlns:r="http://schemas.openxmlformats.org/officeDocument/2006/relationships" ref="J86" r:id="rId843"/>
    <hyperlink xmlns:r="http://schemas.openxmlformats.org/officeDocument/2006/relationships" ref="L86" r:id="rId844"/>
    <hyperlink xmlns:r="http://schemas.openxmlformats.org/officeDocument/2006/relationships" ref="N86" r:id="rId845"/>
    <hyperlink xmlns:r="http://schemas.openxmlformats.org/officeDocument/2006/relationships" ref="P86" r:id="rId846"/>
    <hyperlink xmlns:r="http://schemas.openxmlformats.org/officeDocument/2006/relationships" ref="R86" r:id="rId847"/>
    <hyperlink xmlns:r="http://schemas.openxmlformats.org/officeDocument/2006/relationships" ref="T86" r:id="rId848"/>
    <hyperlink xmlns:r="http://schemas.openxmlformats.org/officeDocument/2006/relationships" ref="V86" r:id="rId849"/>
    <hyperlink xmlns:r="http://schemas.openxmlformats.org/officeDocument/2006/relationships" ref="X86" r:id="rId850"/>
    <hyperlink xmlns:r="http://schemas.openxmlformats.org/officeDocument/2006/relationships" ref="F87" r:id="rId851"/>
    <hyperlink xmlns:r="http://schemas.openxmlformats.org/officeDocument/2006/relationships" ref="H87" r:id="rId852"/>
    <hyperlink xmlns:r="http://schemas.openxmlformats.org/officeDocument/2006/relationships" ref="J87" r:id="rId853"/>
    <hyperlink xmlns:r="http://schemas.openxmlformats.org/officeDocument/2006/relationships" ref="L87" r:id="rId854"/>
    <hyperlink xmlns:r="http://schemas.openxmlformats.org/officeDocument/2006/relationships" ref="N87" r:id="rId855"/>
    <hyperlink xmlns:r="http://schemas.openxmlformats.org/officeDocument/2006/relationships" ref="P87" r:id="rId856"/>
    <hyperlink xmlns:r="http://schemas.openxmlformats.org/officeDocument/2006/relationships" ref="R87" r:id="rId857"/>
    <hyperlink xmlns:r="http://schemas.openxmlformats.org/officeDocument/2006/relationships" ref="T87" r:id="rId858"/>
    <hyperlink xmlns:r="http://schemas.openxmlformats.org/officeDocument/2006/relationships" ref="V87" r:id="rId859"/>
    <hyperlink xmlns:r="http://schemas.openxmlformats.org/officeDocument/2006/relationships" ref="X87" r:id="rId860"/>
    <hyperlink xmlns:r="http://schemas.openxmlformats.org/officeDocument/2006/relationships" ref="F88" r:id="rId861"/>
    <hyperlink xmlns:r="http://schemas.openxmlformats.org/officeDocument/2006/relationships" ref="H88" r:id="rId862"/>
    <hyperlink xmlns:r="http://schemas.openxmlformats.org/officeDocument/2006/relationships" ref="J88" r:id="rId863"/>
    <hyperlink xmlns:r="http://schemas.openxmlformats.org/officeDocument/2006/relationships" ref="L88" r:id="rId864"/>
    <hyperlink xmlns:r="http://schemas.openxmlformats.org/officeDocument/2006/relationships" ref="N88" r:id="rId865"/>
    <hyperlink xmlns:r="http://schemas.openxmlformats.org/officeDocument/2006/relationships" ref="P88" r:id="rId866"/>
    <hyperlink xmlns:r="http://schemas.openxmlformats.org/officeDocument/2006/relationships" ref="R88" r:id="rId867"/>
    <hyperlink xmlns:r="http://schemas.openxmlformats.org/officeDocument/2006/relationships" ref="T88" r:id="rId868"/>
    <hyperlink xmlns:r="http://schemas.openxmlformats.org/officeDocument/2006/relationships" ref="V88" r:id="rId869"/>
    <hyperlink xmlns:r="http://schemas.openxmlformats.org/officeDocument/2006/relationships" ref="X88" r:id="rId870"/>
    <hyperlink xmlns:r="http://schemas.openxmlformats.org/officeDocument/2006/relationships" ref="F89" r:id="rId871"/>
    <hyperlink xmlns:r="http://schemas.openxmlformats.org/officeDocument/2006/relationships" ref="H89" r:id="rId872"/>
    <hyperlink xmlns:r="http://schemas.openxmlformats.org/officeDocument/2006/relationships" ref="J89" r:id="rId873"/>
    <hyperlink xmlns:r="http://schemas.openxmlformats.org/officeDocument/2006/relationships" ref="L89" r:id="rId874"/>
    <hyperlink xmlns:r="http://schemas.openxmlformats.org/officeDocument/2006/relationships" ref="N89" r:id="rId875"/>
    <hyperlink xmlns:r="http://schemas.openxmlformats.org/officeDocument/2006/relationships" ref="P89" r:id="rId876"/>
    <hyperlink xmlns:r="http://schemas.openxmlformats.org/officeDocument/2006/relationships" ref="R89" r:id="rId877"/>
    <hyperlink xmlns:r="http://schemas.openxmlformats.org/officeDocument/2006/relationships" ref="T89" r:id="rId878"/>
    <hyperlink xmlns:r="http://schemas.openxmlformats.org/officeDocument/2006/relationships" ref="V89" r:id="rId879"/>
    <hyperlink xmlns:r="http://schemas.openxmlformats.org/officeDocument/2006/relationships" ref="X89" r:id="rId880"/>
    <hyperlink xmlns:r="http://schemas.openxmlformats.org/officeDocument/2006/relationships" ref="F90" r:id="rId881"/>
    <hyperlink xmlns:r="http://schemas.openxmlformats.org/officeDocument/2006/relationships" ref="H90" r:id="rId882"/>
    <hyperlink xmlns:r="http://schemas.openxmlformats.org/officeDocument/2006/relationships" ref="J90" r:id="rId883"/>
    <hyperlink xmlns:r="http://schemas.openxmlformats.org/officeDocument/2006/relationships" ref="L90" r:id="rId884"/>
    <hyperlink xmlns:r="http://schemas.openxmlformats.org/officeDocument/2006/relationships" ref="N90" r:id="rId885"/>
    <hyperlink xmlns:r="http://schemas.openxmlformats.org/officeDocument/2006/relationships" ref="P90" r:id="rId886"/>
    <hyperlink xmlns:r="http://schemas.openxmlformats.org/officeDocument/2006/relationships" ref="R90" r:id="rId887"/>
    <hyperlink xmlns:r="http://schemas.openxmlformats.org/officeDocument/2006/relationships" ref="T90" r:id="rId888"/>
    <hyperlink xmlns:r="http://schemas.openxmlformats.org/officeDocument/2006/relationships" ref="V90" r:id="rId889"/>
    <hyperlink xmlns:r="http://schemas.openxmlformats.org/officeDocument/2006/relationships" ref="X90" r:id="rId890"/>
    <hyperlink xmlns:r="http://schemas.openxmlformats.org/officeDocument/2006/relationships" ref="F91" r:id="rId891"/>
    <hyperlink xmlns:r="http://schemas.openxmlformats.org/officeDocument/2006/relationships" ref="H91" r:id="rId892"/>
    <hyperlink xmlns:r="http://schemas.openxmlformats.org/officeDocument/2006/relationships" ref="J91" r:id="rId893"/>
    <hyperlink xmlns:r="http://schemas.openxmlformats.org/officeDocument/2006/relationships" ref="L91" r:id="rId894"/>
    <hyperlink xmlns:r="http://schemas.openxmlformats.org/officeDocument/2006/relationships" ref="N91" r:id="rId895"/>
    <hyperlink xmlns:r="http://schemas.openxmlformats.org/officeDocument/2006/relationships" ref="P91" r:id="rId896"/>
    <hyperlink xmlns:r="http://schemas.openxmlformats.org/officeDocument/2006/relationships" ref="R91" r:id="rId897"/>
    <hyperlink xmlns:r="http://schemas.openxmlformats.org/officeDocument/2006/relationships" ref="T91" r:id="rId898"/>
    <hyperlink xmlns:r="http://schemas.openxmlformats.org/officeDocument/2006/relationships" ref="V91" r:id="rId899"/>
    <hyperlink xmlns:r="http://schemas.openxmlformats.org/officeDocument/2006/relationships" ref="X91" r:id="rId900"/>
    <hyperlink xmlns:r="http://schemas.openxmlformats.org/officeDocument/2006/relationships" ref="F92" r:id="rId901"/>
    <hyperlink xmlns:r="http://schemas.openxmlformats.org/officeDocument/2006/relationships" ref="H92" r:id="rId902"/>
    <hyperlink xmlns:r="http://schemas.openxmlformats.org/officeDocument/2006/relationships" ref="J92" r:id="rId903"/>
    <hyperlink xmlns:r="http://schemas.openxmlformats.org/officeDocument/2006/relationships" ref="L92" r:id="rId904"/>
    <hyperlink xmlns:r="http://schemas.openxmlformats.org/officeDocument/2006/relationships" ref="N92" r:id="rId905"/>
    <hyperlink xmlns:r="http://schemas.openxmlformats.org/officeDocument/2006/relationships" ref="P92" r:id="rId906"/>
    <hyperlink xmlns:r="http://schemas.openxmlformats.org/officeDocument/2006/relationships" ref="R92" r:id="rId907"/>
    <hyperlink xmlns:r="http://schemas.openxmlformats.org/officeDocument/2006/relationships" ref="T92" r:id="rId908"/>
    <hyperlink xmlns:r="http://schemas.openxmlformats.org/officeDocument/2006/relationships" ref="V92" r:id="rId909"/>
    <hyperlink xmlns:r="http://schemas.openxmlformats.org/officeDocument/2006/relationships" ref="X92" r:id="rId910"/>
    <hyperlink xmlns:r="http://schemas.openxmlformats.org/officeDocument/2006/relationships" ref="F93" r:id="rId911"/>
    <hyperlink xmlns:r="http://schemas.openxmlformats.org/officeDocument/2006/relationships" ref="H93" r:id="rId912"/>
    <hyperlink xmlns:r="http://schemas.openxmlformats.org/officeDocument/2006/relationships" ref="J93" r:id="rId913"/>
    <hyperlink xmlns:r="http://schemas.openxmlformats.org/officeDocument/2006/relationships" ref="L93" r:id="rId914"/>
    <hyperlink xmlns:r="http://schemas.openxmlformats.org/officeDocument/2006/relationships" ref="N93" r:id="rId915"/>
    <hyperlink xmlns:r="http://schemas.openxmlformats.org/officeDocument/2006/relationships" ref="P93" r:id="rId916"/>
    <hyperlink xmlns:r="http://schemas.openxmlformats.org/officeDocument/2006/relationships" ref="R93" r:id="rId917"/>
    <hyperlink xmlns:r="http://schemas.openxmlformats.org/officeDocument/2006/relationships" ref="T93" r:id="rId918"/>
    <hyperlink xmlns:r="http://schemas.openxmlformats.org/officeDocument/2006/relationships" ref="V93" r:id="rId919"/>
    <hyperlink xmlns:r="http://schemas.openxmlformats.org/officeDocument/2006/relationships" ref="X93" r:id="rId920"/>
    <hyperlink xmlns:r="http://schemas.openxmlformats.org/officeDocument/2006/relationships" ref="F94" r:id="rId921"/>
    <hyperlink xmlns:r="http://schemas.openxmlformats.org/officeDocument/2006/relationships" ref="H94" r:id="rId922"/>
    <hyperlink xmlns:r="http://schemas.openxmlformats.org/officeDocument/2006/relationships" ref="J94" r:id="rId923"/>
    <hyperlink xmlns:r="http://schemas.openxmlformats.org/officeDocument/2006/relationships" ref="L94" r:id="rId924"/>
    <hyperlink xmlns:r="http://schemas.openxmlformats.org/officeDocument/2006/relationships" ref="N94" r:id="rId925"/>
    <hyperlink xmlns:r="http://schemas.openxmlformats.org/officeDocument/2006/relationships" ref="P94" r:id="rId926"/>
    <hyperlink xmlns:r="http://schemas.openxmlformats.org/officeDocument/2006/relationships" ref="R94" r:id="rId927"/>
    <hyperlink xmlns:r="http://schemas.openxmlformats.org/officeDocument/2006/relationships" ref="T94" r:id="rId928"/>
    <hyperlink xmlns:r="http://schemas.openxmlformats.org/officeDocument/2006/relationships" ref="V94" r:id="rId929"/>
    <hyperlink xmlns:r="http://schemas.openxmlformats.org/officeDocument/2006/relationships" ref="X94" r:id="rId930"/>
    <hyperlink xmlns:r="http://schemas.openxmlformats.org/officeDocument/2006/relationships" ref="F95" r:id="rId931"/>
    <hyperlink xmlns:r="http://schemas.openxmlformats.org/officeDocument/2006/relationships" ref="H95" r:id="rId932"/>
    <hyperlink xmlns:r="http://schemas.openxmlformats.org/officeDocument/2006/relationships" ref="J95" r:id="rId933"/>
    <hyperlink xmlns:r="http://schemas.openxmlformats.org/officeDocument/2006/relationships" ref="L95" r:id="rId934"/>
    <hyperlink xmlns:r="http://schemas.openxmlformats.org/officeDocument/2006/relationships" ref="N95" r:id="rId935"/>
    <hyperlink xmlns:r="http://schemas.openxmlformats.org/officeDocument/2006/relationships" ref="P95" r:id="rId936"/>
    <hyperlink xmlns:r="http://schemas.openxmlformats.org/officeDocument/2006/relationships" ref="R95" r:id="rId937"/>
    <hyperlink xmlns:r="http://schemas.openxmlformats.org/officeDocument/2006/relationships" ref="T95" r:id="rId938"/>
    <hyperlink xmlns:r="http://schemas.openxmlformats.org/officeDocument/2006/relationships" ref="V95" r:id="rId939"/>
    <hyperlink xmlns:r="http://schemas.openxmlformats.org/officeDocument/2006/relationships" ref="X95" r:id="rId940"/>
    <hyperlink xmlns:r="http://schemas.openxmlformats.org/officeDocument/2006/relationships" ref="F96" r:id="rId941"/>
    <hyperlink xmlns:r="http://schemas.openxmlformats.org/officeDocument/2006/relationships" ref="H96" r:id="rId942"/>
    <hyperlink xmlns:r="http://schemas.openxmlformats.org/officeDocument/2006/relationships" ref="J96" r:id="rId943"/>
    <hyperlink xmlns:r="http://schemas.openxmlformats.org/officeDocument/2006/relationships" ref="L96" r:id="rId944"/>
    <hyperlink xmlns:r="http://schemas.openxmlformats.org/officeDocument/2006/relationships" ref="N96" r:id="rId945"/>
    <hyperlink xmlns:r="http://schemas.openxmlformats.org/officeDocument/2006/relationships" ref="P96" r:id="rId946"/>
    <hyperlink xmlns:r="http://schemas.openxmlformats.org/officeDocument/2006/relationships" ref="R96" r:id="rId947"/>
    <hyperlink xmlns:r="http://schemas.openxmlformats.org/officeDocument/2006/relationships" ref="T96" r:id="rId948"/>
    <hyperlink xmlns:r="http://schemas.openxmlformats.org/officeDocument/2006/relationships" ref="V96" r:id="rId949"/>
    <hyperlink xmlns:r="http://schemas.openxmlformats.org/officeDocument/2006/relationships" ref="X96" r:id="rId950"/>
    <hyperlink xmlns:r="http://schemas.openxmlformats.org/officeDocument/2006/relationships" ref="F97" r:id="rId951"/>
    <hyperlink xmlns:r="http://schemas.openxmlformats.org/officeDocument/2006/relationships" ref="H97" r:id="rId952"/>
    <hyperlink xmlns:r="http://schemas.openxmlformats.org/officeDocument/2006/relationships" ref="J97" r:id="rId953"/>
    <hyperlink xmlns:r="http://schemas.openxmlformats.org/officeDocument/2006/relationships" ref="L97" r:id="rId954"/>
    <hyperlink xmlns:r="http://schemas.openxmlformats.org/officeDocument/2006/relationships" ref="N97" r:id="rId955"/>
    <hyperlink xmlns:r="http://schemas.openxmlformats.org/officeDocument/2006/relationships" ref="P97" r:id="rId956"/>
    <hyperlink xmlns:r="http://schemas.openxmlformats.org/officeDocument/2006/relationships" ref="R97" r:id="rId957"/>
    <hyperlink xmlns:r="http://schemas.openxmlformats.org/officeDocument/2006/relationships" ref="T97" r:id="rId958"/>
    <hyperlink xmlns:r="http://schemas.openxmlformats.org/officeDocument/2006/relationships" ref="V97" r:id="rId959"/>
    <hyperlink xmlns:r="http://schemas.openxmlformats.org/officeDocument/2006/relationships" ref="X97" r:id="rId960"/>
    <hyperlink xmlns:r="http://schemas.openxmlformats.org/officeDocument/2006/relationships" ref="F98" r:id="rId961"/>
    <hyperlink xmlns:r="http://schemas.openxmlformats.org/officeDocument/2006/relationships" ref="H98" r:id="rId962"/>
    <hyperlink xmlns:r="http://schemas.openxmlformats.org/officeDocument/2006/relationships" ref="J98" r:id="rId963"/>
    <hyperlink xmlns:r="http://schemas.openxmlformats.org/officeDocument/2006/relationships" ref="L98" r:id="rId964"/>
    <hyperlink xmlns:r="http://schemas.openxmlformats.org/officeDocument/2006/relationships" ref="N98" r:id="rId965"/>
    <hyperlink xmlns:r="http://schemas.openxmlformats.org/officeDocument/2006/relationships" ref="P98" r:id="rId966"/>
    <hyperlink xmlns:r="http://schemas.openxmlformats.org/officeDocument/2006/relationships" ref="R98" r:id="rId967"/>
    <hyperlink xmlns:r="http://schemas.openxmlformats.org/officeDocument/2006/relationships" ref="T98" r:id="rId968"/>
    <hyperlink xmlns:r="http://schemas.openxmlformats.org/officeDocument/2006/relationships" ref="V98" r:id="rId969"/>
    <hyperlink xmlns:r="http://schemas.openxmlformats.org/officeDocument/2006/relationships" ref="X98" r:id="rId970"/>
    <hyperlink xmlns:r="http://schemas.openxmlformats.org/officeDocument/2006/relationships" ref="F99" r:id="rId971"/>
    <hyperlink xmlns:r="http://schemas.openxmlformats.org/officeDocument/2006/relationships" ref="H99" r:id="rId972"/>
    <hyperlink xmlns:r="http://schemas.openxmlformats.org/officeDocument/2006/relationships" ref="J99" r:id="rId973"/>
    <hyperlink xmlns:r="http://schemas.openxmlformats.org/officeDocument/2006/relationships" ref="L99" r:id="rId974"/>
    <hyperlink xmlns:r="http://schemas.openxmlformats.org/officeDocument/2006/relationships" ref="N99" r:id="rId975"/>
    <hyperlink xmlns:r="http://schemas.openxmlformats.org/officeDocument/2006/relationships" ref="P99" r:id="rId976"/>
    <hyperlink xmlns:r="http://schemas.openxmlformats.org/officeDocument/2006/relationships" ref="R99" r:id="rId977"/>
    <hyperlink xmlns:r="http://schemas.openxmlformats.org/officeDocument/2006/relationships" ref="T99" r:id="rId978"/>
    <hyperlink xmlns:r="http://schemas.openxmlformats.org/officeDocument/2006/relationships" ref="V99" r:id="rId979"/>
    <hyperlink xmlns:r="http://schemas.openxmlformats.org/officeDocument/2006/relationships" ref="X99" r:id="rId980"/>
    <hyperlink xmlns:r="http://schemas.openxmlformats.org/officeDocument/2006/relationships" ref="F100" r:id="rId981"/>
    <hyperlink xmlns:r="http://schemas.openxmlformats.org/officeDocument/2006/relationships" ref="H100" r:id="rId982"/>
    <hyperlink xmlns:r="http://schemas.openxmlformats.org/officeDocument/2006/relationships" ref="J100" r:id="rId983"/>
    <hyperlink xmlns:r="http://schemas.openxmlformats.org/officeDocument/2006/relationships" ref="L100" r:id="rId984"/>
    <hyperlink xmlns:r="http://schemas.openxmlformats.org/officeDocument/2006/relationships" ref="N100" r:id="rId985"/>
    <hyperlink xmlns:r="http://schemas.openxmlformats.org/officeDocument/2006/relationships" ref="P100" r:id="rId986"/>
    <hyperlink xmlns:r="http://schemas.openxmlformats.org/officeDocument/2006/relationships" ref="R100" r:id="rId987"/>
    <hyperlink xmlns:r="http://schemas.openxmlformats.org/officeDocument/2006/relationships" ref="T100" r:id="rId988"/>
    <hyperlink xmlns:r="http://schemas.openxmlformats.org/officeDocument/2006/relationships" ref="V100" r:id="rId989"/>
    <hyperlink xmlns:r="http://schemas.openxmlformats.org/officeDocument/2006/relationships" ref="X100" r:id="rId990"/>
    <hyperlink xmlns:r="http://schemas.openxmlformats.org/officeDocument/2006/relationships" ref="F101" r:id="rId991"/>
    <hyperlink xmlns:r="http://schemas.openxmlformats.org/officeDocument/2006/relationships" ref="H101" r:id="rId992"/>
    <hyperlink xmlns:r="http://schemas.openxmlformats.org/officeDocument/2006/relationships" ref="J101" r:id="rId993"/>
    <hyperlink xmlns:r="http://schemas.openxmlformats.org/officeDocument/2006/relationships" ref="L101" r:id="rId994"/>
    <hyperlink xmlns:r="http://schemas.openxmlformats.org/officeDocument/2006/relationships" ref="N101" r:id="rId995"/>
    <hyperlink xmlns:r="http://schemas.openxmlformats.org/officeDocument/2006/relationships" ref="P101" r:id="rId996"/>
    <hyperlink xmlns:r="http://schemas.openxmlformats.org/officeDocument/2006/relationships" ref="R101" r:id="rId997"/>
    <hyperlink xmlns:r="http://schemas.openxmlformats.org/officeDocument/2006/relationships" ref="T101" r:id="rId998"/>
    <hyperlink xmlns:r="http://schemas.openxmlformats.org/officeDocument/2006/relationships" ref="V101" r:id="rId999"/>
    <hyperlink xmlns:r="http://schemas.openxmlformats.org/officeDocument/2006/relationships" ref="X101" r:id="rId1000"/>
    <hyperlink xmlns:r="http://schemas.openxmlformats.org/officeDocument/2006/relationships" ref="F102" r:id="rId1001"/>
    <hyperlink xmlns:r="http://schemas.openxmlformats.org/officeDocument/2006/relationships" ref="H102" r:id="rId1002"/>
    <hyperlink xmlns:r="http://schemas.openxmlformats.org/officeDocument/2006/relationships" ref="J102" r:id="rId1003"/>
    <hyperlink xmlns:r="http://schemas.openxmlformats.org/officeDocument/2006/relationships" ref="L102" r:id="rId1004"/>
    <hyperlink xmlns:r="http://schemas.openxmlformats.org/officeDocument/2006/relationships" ref="N102" r:id="rId1005"/>
    <hyperlink xmlns:r="http://schemas.openxmlformats.org/officeDocument/2006/relationships" ref="P102" r:id="rId1006"/>
    <hyperlink xmlns:r="http://schemas.openxmlformats.org/officeDocument/2006/relationships" ref="R102" r:id="rId1007"/>
    <hyperlink xmlns:r="http://schemas.openxmlformats.org/officeDocument/2006/relationships" ref="T102" r:id="rId1008"/>
    <hyperlink xmlns:r="http://schemas.openxmlformats.org/officeDocument/2006/relationships" ref="V102" r:id="rId1009"/>
    <hyperlink xmlns:r="http://schemas.openxmlformats.org/officeDocument/2006/relationships" ref="X102" r:id="rId1010"/>
    <hyperlink xmlns:r="http://schemas.openxmlformats.org/officeDocument/2006/relationships" ref="F103" r:id="rId1011"/>
    <hyperlink xmlns:r="http://schemas.openxmlformats.org/officeDocument/2006/relationships" ref="H103" r:id="rId1012"/>
    <hyperlink xmlns:r="http://schemas.openxmlformats.org/officeDocument/2006/relationships" ref="J103" r:id="rId1013"/>
    <hyperlink xmlns:r="http://schemas.openxmlformats.org/officeDocument/2006/relationships" ref="L103" r:id="rId1014"/>
    <hyperlink xmlns:r="http://schemas.openxmlformats.org/officeDocument/2006/relationships" ref="N103" r:id="rId1015"/>
    <hyperlink xmlns:r="http://schemas.openxmlformats.org/officeDocument/2006/relationships" ref="P103" r:id="rId1016"/>
    <hyperlink xmlns:r="http://schemas.openxmlformats.org/officeDocument/2006/relationships" ref="R103" r:id="rId1017"/>
    <hyperlink xmlns:r="http://schemas.openxmlformats.org/officeDocument/2006/relationships" ref="T103" r:id="rId1018"/>
    <hyperlink xmlns:r="http://schemas.openxmlformats.org/officeDocument/2006/relationships" ref="V103" r:id="rId1019"/>
    <hyperlink xmlns:r="http://schemas.openxmlformats.org/officeDocument/2006/relationships" ref="X103" r:id="rId1020"/>
    <hyperlink xmlns:r="http://schemas.openxmlformats.org/officeDocument/2006/relationships" ref="F104" r:id="rId1021"/>
    <hyperlink xmlns:r="http://schemas.openxmlformats.org/officeDocument/2006/relationships" ref="H104" r:id="rId1022"/>
    <hyperlink xmlns:r="http://schemas.openxmlformats.org/officeDocument/2006/relationships" ref="J104" r:id="rId1023"/>
    <hyperlink xmlns:r="http://schemas.openxmlformats.org/officeDocument/2006/relationships" ref="L104" r:id="rId1024"/>
    <hyperlink xmlns:r="http://schemas.openxmlformats.org/officeDocument/2006/relationships" ref="N104" r:id="rId1025"/>
    <hyperlink xmlns:r="http://schemas.openxmlformats.org/officeDocument/2006/relationships" ref="P104" r:id="rId1026"/>
    <hyperlink xmlns:r="http://schemas.openxmlformats.org/officeDocument/2006/relationships" ref="R104" r:id="rId1027"/>
    <hyperlink xmlns:r="http://schemas.openxmlformats.org/officeDocument/2006/relationships" ref="T104" r:id="rId1028"/>
    <hyperlink xmlns:r="http://schemas.openxmlformats.org/officeDocument/2006/relationships" ref="V104" r:id="rId1029"/>
    <hyperlink xmlns:r="http://schemas.openxmlformats.org/officeDocument/2006/relationships" ref="X104" r:id="rId1030"/>
    <hyperlink xmlns:r="http://schemas.openxmlformats.org/officeDocument/2006/relationships" ref="F105" r:id="rId1031"/>
    <hyperlink xmlns:r="http://schemas.openxmlformats.org/officeDocument/2006/relationships" ref="H105" r:id="rId1032"/>
    <hyperlink xmlns:r="http://schemas.openxmlformats.org/officeDocument/2006/relationships" ref="J105" r:id="rId1033"/>
    <hyperlink xmlns:r="http://schemas.openxmlformats.org/officeDocument/2006/relationships" ref="L105" r:id="rId1034"/>
    <hyperlink xmlns:r="http://schemas.openxmlformats.org/officeDocument/2006/relationships" ref="N105" r:id="rId1035"/>
    <hyperlink xmlns:r="http://schemas.openxmlformats.org/officeDocument/2006/relationships" ref="P105" r:id="rId1036"/>
    <hyperlink xmlns:r="http://schemas.openxmlformats.org/officeDocument/2006/relationships" ref="R105" r:id="rId1037"/>
    <hyperlink xmlns:r="http://schemas.openxmlformats.org/officeDocument/2006/relationships" ref="T105" r:id="rId1038"/>
    <hyperlink xmlns:r="http://schemas.openxmlformats.org/officeDocument/2006/relationships" ref="V105" r:id="rId1039"/>
    <hyperlink xmlns:r="http://schemas.openxmlformats.org/officeDocument/2006/relationships" ref="X105" r:id="rId1040"/>
    <hyperlink xmlns:r="http://schemas.openxmlformats.org/officeDocument/2006/relationships" ref="F106" r:id="rId1041"/>
    <hyperlink xmlns:r="http://schemas.openxmlformats.org/officeDocument/2006/relationships" ref="H106" r:id="rId1042"/>
    <hyperlink xmlns:r="http://schemas.openxmlformats.org/officeDocument/2006/relationships" ref="J106" r:id="rId1043"/>
    <hyperlink xmlns:r="http://schemas.openxmlformats.org/officeDocument/2006/relationships" ref="L106" r:id="rId1044"/>
    <hyperlink xmlns:r="http://schemas.openxmlformats.org/officeDocument/2006/relationships" ref="N106" r:id="rId1045"/>
    <hyperlink xmlns:r="http://schemas.openxmlformats.org/officeDocument/2006/relationships" ref="P106" r:id="rId1046"/>
    <hyperlink xmlns:r="http://schemas.openxmlformats.org/officeDocument/2006/relationships" ref="R106" r:id="rId1047"/>
    <hyperlink xmlns:r="http://schemas.openxmlformats.org/officeDocument/2006/relationships" ref="T106" r:id="rId1048"/>
    <hyperlink xmlns:r="http://schemas.openxmlformats.org/officeDocument/2006/relationships" ref="V106" r:id="rId1049"/>
    <hyperlink xmlns:r="http://schemas.openxmlformats.org/officeDocument/2006/relationships" ref="X106" r:id="rId1050"/>
    <hyperlink xmlns:r="http://schemas.openxmlformats.org/officeDocument/2006/relationships" ref="F107" r:id="rId1051"/>
    <hyperlink xmlns:r="http://schemas.openxmlformats.org/officeDocument/2006/relationships" ref="H107" r:id="rId1052"/>
    <hyperlink xmlns:r="http://schemas.openxmlformats.org/officeDocument/2006/relationships" ref="J107" r:id="rId1053"/>
    <hyperlink xmlns:r="http://schemas.openxmlformats.org/officeDocument/2006/relationships" ref="L107" r:id="rId1054"/>
    <hyperlink xmlns:r="http://schemas.openxmlformats.org/officeDocument/2006/relationships" ref="N107" r:id="rId1055"/>
    <hyperlink xmlns:r="http://schemas.openxmlformats.org/officeDocument/2006/relationships" ref="P107" r:id="rId1056"/>
    <hyperlink xmlns:r="http://schemas.openxmlformats.org/officeDocument/2006/relationships" ref="R107" r:id="rId1057"/>
    <hyperlink xmlns:r="http://schemas.openxmlformats.org/officeDocument/2006/relationships" ref="T107" r:id="rId1058"/>
    <hyperlink xmlns:r="http://schemas.openxmlformats.org/officeDocument/2006/relationships" ref="V107" r:id="rId1059"/>
    <hyperlink xmlns:r="http://schemas.openxmlformats.org/officeDocument/2006/relationships" ref="X107" r:id="rId1060"/>
    <hyperlink xmlns:r="http://schemas.openxmlformats.org/officeDocument/2006/relationships" ref="F108" r:id="rId1061"/>
    <hyperlink xmlns:r="http://schemas.openxmlformats.org/officeDocument/2006/relationships" ref="H108" r:id="rId1062"/>
    <hyperlink xmlns:r="http://schemas.openxmlformats.org/officeDocument/2006/relationships" ref="J108" r:id="rId1063"/>
    <hyperlink xmlns:r="http://schemas.openxmlformats.org/officeDocument/2006/relationships" ref="L108" r:id="rId1064"/>
    <hyperlink xmlns:r="http://schemas.openxmlformats.org/officeDocument/2006/relationships" ref="N108" r:id="rId1065"/>
    <hyperlink xmlns:r="http://schemas.openxmlformats.org/officeDocument/2006/relationships" ref="P108" r:id="rId1066"/>
    <hyperlink xmlns:r="http://schemas.openxmlformats.org/officeDocument/2006/relationships" ref="R108" r:id="rId1067"/>
    <hyperlink xmlns:r="http://schemas.openxmlformats.org/officeDocument/2006/relationships" ref="T108" r:id="rId1068"/>
    <hyperlink xmlns:r="http://schemas.openxmlformats.org/officeDocument/2006/relationships" ref="V108" r:id="rId1069"/>
    <hyperlink xmlns:r="http://schemas.openxmlformats.org/officeDocument/2006/relationships" ref="X108" r:id="rId1070"/>
    <hyperlink xmlns:r="http://schemas.openxmlformats.org/officeDocument/2006/relationships" ref="F109" r:id="rId1071"/>
    <hyperlink xmlns:r="http://schemas.openxmlformats.org/officeDocument/2006/relationships" ref="H109" r:id="rId1072"/>
    <hyperlink xmlns:r="http://schemas.openxmlformats.org/officeDocument/2006/relationships" ref="J109" r:id="rId1073"/>
    <hyperlink xmlns:r="http://schemas.openxmlformats.org/officeDocument/2006/relationships" ref="L109" r:id="rId1074"/>
    <hyperlink xmlns:r="http://schemas.openxmlformats.org/officeDocument/2006/relationships" ref="N109" r:id="rId1075"/>
    <hyperlink xmlns:r="http://schemas.openxmlformats.org/officeDocument/2006/relationships" ref="P109" r:id="rId1076"/>
    <hyperlink xmlns:r="http://schemas.openxmlformats.org/officeDocument/2006/relationships" ref="R109" r:id="rId1077"/>
    <hyperlink xmlns:r="http://schemas.openxmlformats.org/officeDocument/2006/relationships" ref="T109" r:id="rId1078"/>
    <hyperlink xmlns:r="http://schemas.openxmlformats.org/officeDocument/2006/relationships" ref="V109" r:id="rId1079"/>
    <hyperlink xmlns:r="http://schemas.openxmlformats.org/officeDocument/2006/relationships" ref="X109" r:id="rId1080"/>
    <hyperlink xmlns:r="http://schemas.openxmlformats.org/officeDocument/2006/relationships" ref="F110" r:id="rId1081"/>
    <hyperlink xmlns:r="http://schemas.openxmlformats.org/officeDocument/2006/relationships" ref="H110" r:id="rId1082"/>
    <hyperlink xmlns:r="http://schemas.openxmlformats.org/officeDocument/2006/relationships" ref="J110" r:id="rId1083"/>
    <hyperlink xmlns:r="http://schemas.openxmlformats.org/officeDocument/2006/relationships" ref="L110" r:id="rId1084"/>
    <hyperlink xmlns:r="http://schemas.openxmlformats.org/officeDocument/2006/relationships" ref="N110" r:id="rId1085"/>
    <hyperlink xmlns:r="http://schemas.openxmlformats.org/officeDocument/2006/relationships" ref="P110" r:id="rId1086"/>
    <hyperlink xmlns:r="http://schemas.openxmlformats.org/officeDocument/2006/relationships" ref="R110" r:id="rId1087"/>
    <hyperlink xmlns:r="http://schemas.openxmlformats.org/officeDocument/2006/relationships" ref="T110" r:id="rId1088"/>
    <hyperlink xmlns:r="http://schemas.openxmlformats.org/officeDocument/2006/relationships" ref="V110" r:id="rId1089"/>
    <hyperlink xmlns:r="http://schemas.openxmlformats.org/officeDocument/2006/relationships" ref="X110" r:id="rId1090"/>
    <hyperlink xmlns:r="http://schemas.openxmlformats.org/officeDocument/2006/relationships" ref="F111" r:id="rId1091"/>
    <hyperlink xmlns:r="http://schemas.openxmlformats.org/officeDocument/2006/relationships" ref="H111" r:id="rId1092"/>
    <hyperlink xmlns:r="http://schemas.openxmlformats.org/officeDocument/2006/relationships" ref="J111" r:id="rId1093"/>
    <hyperlink xmlns:r="http://schemas.openxmlformats.org/officeDocument/2006/relationships" ref="L111" r:id="rId1094"/>
    <hyperlink xmlns:r="http://schemas.openxmlformats.org/officeDocument/2006/relationships" ref="N111" r:id="rId1095"/>
    <hyperlink xmlns:r="http://schemas.openxmlformats.org/officeDocument/2006/relationships" ref="P111" r:id="rId1096"/>
    <hyperlink xmlns:r="http://schemas.openxmlformats.org/officeDocument/2006/relationships" ref="R111" r:id="rId1097"/>
    <hyperlink xmlns:r="http://schemas.openxmlformats.org/officeDocument/2006/relationships" ref="T111" r:id="rId1098"/>
    <hyperlink xmlns:r="http://schemas.openxmlformats.org/officeDocument/2006/relationships" ref="V111" r:id="rId1099"/>
    <hyperlink xmlns:r="http://schemas.openxmlformats.org/officeDocument/2006/relationships" ref="X111" r:id="rId1100"/>
    <hyperlink xmlns:r="http://schemas.openxmlformats.org/officeDocument/2006/relationships" ref="F112" r:id="rId1101"/>
    <hyperlink xmlns:r="http://schemas.openxmlformats.org/officeDocument/2006/relationships" ref="H112" r:id="rId1102"/>
    <hyperlink xmlns:r="http://schemas.openxmlformats.org/officeDocument/2006/relationships" ref="J112" r:id="rId1103"/>
    <hyperlink xmlns:r="http://schemas.openxmlformats.org/officeDocument/2006/relationships" ref="L112" r:id="rId1104"/>
    <hyperlink xmlns:r="http://schemas.openxmlformats.org/officeDocument/2006/relationships" ref="N112" r:id="rId1105"/>
    <hyperlink xmlns:r="http://schemas.openxmlformats.org/officeDocument/2006/relationships" ref="P112" r:id="rId1106"/>
    <hyperlink xmlns:r="http://schemas.openxmlformats.org/officeDocument/2006/relationships" ref="R112" r:id="rId1107"/>
    <hyperlink xmlns:r="http://schemas.openxmlformats.org/officeDocument/2006/relationships" ref="T112" r:id="rId1108"/>
    <hyperlink xmlns:r="http://schemas.openxmlformats.org/officeDocument/2006/relationships" ref="V112" r:id="rId1109"/>
    <hyperlink xmlns:r="http://schemas.openxmlformats.org/officeDocument/2006/relationships" ref="X112" r:id="rId1110"/>
    <hyperlink xmlns:r="http://schemas.openxmlformats.org/officeDocument/2006/relationships" ref="F113" r:id="rId1111"/>
    <hyperlink xmlns:r="http://schemas.openxmlformats.org/officeDocument/2006/relationships" ref="H113" r:id="rId1112"/>
    <hyperlink xmlns:r="http://schemas.openxmlformats.org/officeDocument/2006/relationships" ref="J113" r:id="rId1113"/>
    <hyperlink xmlns:r="http://schemas.openxmlformats.org/officeDocument/2006/relationships" ref="L113" r:id="rId1114"/>
    <hyperlink xmlns:r="http://schemas.openxmlformats.org/officeDocument/2006/relationships" ref="N113" r:id="rId1115"/>
    <hyperlink xmlns:r="http://schemas.openxmlformats.org/officeDocument/2006/relationships" ref="P113" r:id="rId1116"/>
    <hyperlink xmlns:r="http://schemas.openxmlformats.org/officeDocument/2006/relationships" ref="R113" r:id="rId1117"/>
    <hyperlink xmlns:r="http://schemas.openxmlformats.org/officeDocument/2006/relationships" ref="T113" r:id="rId1118"/>
    <hyperlink xmlns:r="http://schemas.openxmlformats.org/officeDocument/2006/relationships" ref="V113" r:id="rId1119"/>
    <hyperlink xmlns:r="http://schemas.openxmlformats.org/officeDocument/2006/relationships" ref="X113" r:id="rId1120"/>
    <hyperlink xmlns:r="http://schemas.openxmlformats.org/officeDocument/2006/relationships" ref="F114" r:id="rId1121"/>
    <hyperlink xmlns:r="http://schemas.openxmlformats.org/officeDocument/2006/relationships" ref="H114" r:id="rId1122"/>
    <hyperlink xmlns:r="http://schemas.openxmlformats.org/officeDocument/2006/relationships" ref="J114" r:id="rId1123"/>
    <hyperlink xmlns:r="http://schemas.openxmlformats.org/officeDocument/2006/relationships" ref="L114" r:id="rId1124"/>
    <hyperlink xmlns:r="http://schemas.openxmlformats.org/officeDocument/2006/relationships" ref="N114" r:id="rId1125"/>
    <hyperlink xmlns:r="http://schemas.openxmlformats.org/officeDocument/2006/relationships" ref="P114" r:id="rId1126"/>
    <hyperlink xmlns:r="http://schemas.openxmlformats.org/officeDocument/2006/relationships" ref="R114" r:id="rId1127"/>
    <hyperlink xmlns:r="http://schemas.openxmlformats.org/officeDocument/2006/relationships" ref="T114" r:id="rId1128"/>
    <hyperlink xmlns:r="http://schemas.openxmlformats.org/officeDocument/2006/relationships" ref="V114" r:id="rId1129"/>
    <hyperlink xmlns:r="http://schemas.openxmlformats.org/officeDocument/2006/relationships" ref="X114" r:id="rId1130"/>
    <hyperlink xmlns:r="http://schemas.openxmlformats.org/officeDocument/2006/relationships" ref="F115" r:id="rId1131"/>
    <hyperlink xmlns:r="http://schemas.openxmlformats.org/officeDocument/2006/relationships" ref="H115" r:id="rId1132"/>
    <hyperlink xmlns:r="http://schemas.openxmlformats.org/officeDocument/2006/relationships" ref="J115" r:id="rId1133"/>
    <hyperlink xmlns:r="http://schemas.openxmlformats.org/officeDocument/2006/relationships" ref="L115" r:id="rId1134"/>
    <hyperlink xmlns:r="http://schemas.openxmlformats.org/officeDocument/2006/relationships" ref="N115" r:id="rId1135"/>
    <hyperlink xmlns:r="http://schemas.openxmlformats.org/officeDocument/2006/relationships" ref="P115" r:id="rId1136"/>
    <hyperlink xmlns:r="http://schemas.openxmlformats.org/officeDocument/2006/relationships" ref="R115" r:id="rId1137"/>
    <hyperlink xmlns:r="http://schemas.openxmlformats.org/officeDocument/2006/relationships" ref="T115" r:id="rId1138"/>
    <hyperlink xmlns:r="http://schemas.openxmlformats.org/officeDocument/2006/relationships" ref="V115" r:id="rId1139"/>
    <hyperlink xmlns:r="http://schemas.openxmlformats.org/officeDocument/2006/relationships" ref="X115" r:id="rId1140"/>
    <hyperlink xmlns:r="http://schemas.openxmlformats.org/officeDocument/2006/relationships" ref="F116" r:id="rId1141"/>
    <hyperlink xmlns:r="http://schemas.openxmlformats.org/officeDocument/2006/relationships" ref="H116" r:id="rId1142"/>
    <hyperlink xmlns:r="http://schemas.openxmlformats.org/officeDocument/2006/relationships" ref="J116" r:id="rId1143"/>
    <hyperlink xmlns:r="http://schemas.openxmlformats.org/officeDocument/2006/relationships" ref="L116" r:id="rId1144"/>
    <hyperlink xmlns:r="http://schemas.openxmlformats.org/officeDocument/2006/relationships" ref="N116" r:id="rId1145"/>
    <hyperlink xmlns:r="http://schemas.openxmlformats.org/officeDocument/2006/relationships" ref="P116" r:id="rId1146"/>
    <hyperlink xmlns:r="http://schemas.openxmlformats.org/officeDocument/2006/relationships" ref="R116" r:id="rId1147"/>
    <hyperlink xmlns:r="http://schemas.openxmlformats.org/officeDocument/2006/relationships" ref="T116" r:id="rId1148"/>
    <hyperlink xmlns:r="http://schemas.openxmlformats.org/officeDocument/2006/relationships" ref="V116" r:id="rId1149"/>
    <hyperlink xmlns:r="http://schemas.openxmlformats.org/officeDocument/2006/relationships" ref="X116" r:id="rId1150"/>
    <hyperlink xmlns:r="http://schemas.openxmlformats.org/officeDocument/2006/relationships" ref="F117" r:id="rId1151"/>
    <hyperlink xmlns:r="http://schemas.openxmlformats.org/officeDocument/2006/relationships" ref="H117" r:id="rId1152"/>
    <hyperlink xmlns:r="http://schemas.openxmlformats.org/officeDocument/2006/relationships" ref="J117" r:id="rId1153"/>
    <hyperlink xmlns:r="http://schemas.openxmlformats.org/officeDocument/2006/relationships" ref="L117" r:id="rId1154"/>
    <hyperlink xmlns:r="http://schemas.openxmlformats.org/officeDocument/2006/relationships" ref="N117" r:id="rId1155"/>
    <hyperlink xmlns:r="http://schemas.openxmlformats.org/officeDocument/2006/relationships" ref="P117" r:id="rId1156"/>
    <hyperlink xmlns:r="http://schemas.openxmlformats.org/officeDocument/2006/relationships" ref="R117" r:id="rId1157"/>
    <hyperlink xmlns:r="http://schemas.openxmlformats.org/officeDocument/2006/relationships" ref="T117" r:id="rId1158"/>
    <hyperlink xmlns:r="http://schemas.openxmlformats.org/officeDocument/2006/relationships" ref="V117" r:id="rId1159"/>
    <hyperlink xmlns:r="http://schemas.openxmlformats.org/officeDocument/2006/relationships" ref="X117" r:id="rId1160"/>
    <hyperlink xmlns:r="http://schemas.openxmlformats.org/officeDocument/2006/relationships" ref="F118" r:id="rId1161"/>
    <hyperlink xmlns:r="http://schemas.openxmlformats.org/officeDocument/2006/relationships" ref="H118" r:id="rId1162"/>
    <hyperlink xmlns:r="http://schemas.openxmlformats.org/officeDocument/2006/relationships" ref="J118" r:id="rId1163"/>
    <hyperlink xmlns:r="http://schemas.openxmlformats.org/officeDocument/2006/relationships" ref="L118" r:id="rId1164"/>
    <hyperlink xmlns:r="http://schemas.openxmlformats.org/officeDocument/2006/relationships" ref="N118" r:id="rId1165"/>
    <hyperlink xmlns:r="http://schemas.openxmlformats.org/officeDocument/2006/relationships" ref="P118" r:id="rId1166"/>
    <hyperlink xmlns:r="http://schemas.openxmlformats.org/officeDocument/2006/relationships" ref="R118" r:id="rId1167"/>
    <hyperlink xmlns:r="http://schemas.openxmlformats.org/officeDocument/2006/relationships" ref="T118" r:id="rId1168"/>
    <hyperlink xmlns:r="http://schemas.openxmlformats.org/officeDocument/2006/relationships" ref="V118" r:id="rId1169"/>
    <hyperlink xmlns:r="http://schemas.openxmlformats.org/officeDocument/2006/relationships" ref="X118" r:id="rId1170"/>
    <hyperlink xmlns:r="http://schemas.openxmlformats.org/officeDocument/2006/relationships" ref="F119" r:id="rId1171"/>
    <hyperlink xmlns:r="http://schemas.openxmlformats.org/officeDocument/2006/relationships" ref="H119" r:id="rId1172"/>
    <hyperlink xmlns:r="http://schemas.openxmlformats.org/officeDocument/2006/relationships" ref="J119" r:id="rId1173"/>
    <hyperlink xmlns:r="http://schemas.openxmlformats.org/officeDocument/2006/relationships" ref="L119" r:id="rId1174"/>
    <hyperlink xmlns:r="http://schemas.openxmlformats.org/officeDocument/2006/relationships" ref="N119" r:id="rId1175"/>
    <hyperlink xmlns:r="http://schemas.openxmlformats.org/officeDocument/2006/relationships" ref="P119" r:id="rId1176"/>
    <hyperlink xmlns:r="http://schemas.openxmlformats.org/officeDocument/2006/relationships" ref="R119" r:id="rId1177"/>
    <hyperlink xmlns:r="http://schemas.openxmlformats.org/officeDocument/2006/relationships" ref="T119" r:id="rId1178"/>
    <hyperlink xmlns:r="http://schemas.openxmlformats.org/officeDocument/2006/relationships" ref="V119" r:id="rId1179"/>
    <hyperlink xmlns:r="http://schemas.openxmlformats.org/officeDocument/2006/relationships" ref="X119" r:id="rId1180"/>
    <hyperlink xmlns:r="http://schemas.openxmlformats.org/officeDocument/2006/relationships" ref="F120" r:id="rId1181"/>
    <hyperlink xmlns:r="http://schemas.openxmlformats.org/officeDocument/2006/relationships" ref="H120" r:id="rId1182"/>
    <hyperlink xmlns:r="http://schemas.openxmlformats.org/officeDocument/2006/relationships" ref="J120" r:id="rId1183"/>
    <hyperlink xmlns:r="http://schemas.openxmlformats.org/officeDocument/2006/relationships" ref="L120" r:id="rId1184"/>
    <hyperlink xmlns:r="http://schemas.openxmlformats.org/officeDocument/2006/relationships" ref="N120" r:id="rId1185"/>
    <hyperlink xmlns:r="http://schemas.openxmlformats.org/officeDocument/2006/relationships" ref="P120" r:id="rId1186"/>
    <hyperlink xmlns:r="http://schemas.openxmlformats.org/officeDocument/2006/relationships" ref="R120" r:id="rId1187"/>
    <hyperlink xmlns:r="http://schemas.openxmlformats.org/officeDocument/2006/relationships" ref="T120" r:id="rId1188"/>
    <hyperlink xmlns:r="http://schemas.openxmlformats.org/officeDocument/2006/relationships" ref="V120" r:id="rId1189"/>
    <hyperlink xmlns:r="http://schemas.openxmlformats.org/officeDocument/2006/relationships" ref="X120" r:id="rId1190"/>
    <hyperlink xmlns:r="http://schemas.openxmlformats.org/officeDocument/2006/relationships" ref="F121" r:id="rId1191"/>
    <hyperlink xmlns:r="http://schemas.openxmlformats.org/officeDocument/2006/relationships" ref="H121" r:id="rId1192"/>
    <hyperlink xmlns:r="http://schemas.openxmlformats.org/officeDocument/2006/relationships" ref="J121" r:id="rId1193"/>
    <hyperlink xmlns:r="http://schemas.openxmlformats.org/officeDocument/2006/relationships" ref="L121" r:id="rId1194"/>
    <hyperlink xmlns:r="http://schemas.openxmlformats.org/officeDocument/2006/relationships" ref="N121" r:id="rId1195"/>
    <hyperlink xmlns:r="http://schemas.openxmlformats.org/officeDocument/2006/relationships" ref="P121" r:id="rId1196"/>
    <hyperlink xmlns:r="http://schemas.openxmlformats.org/officeDocument/2006/relationships" ref="R121" r:id="rId1197"/>
    <hyperlink xmlns:r="http://schemas.openxmlformats.org/officeDocument/2006/relationships" ref="T121" r:id="rId1198"/>
    <hyperlink xmlns:r="http://schemas.openxmlformats.org/officeDocument/2006/relationships" ref="V121" r:id="rId1199"/>
    <hyperlink xmlns:r="http://schemas.openxmlformats.org/officeDocument/2006/relationships" ref="X121" r:id="rId1200"/>
    <hyperlink xmlns:r="http://schemas.openxmlformats.org/officeDocument/2006/relationships" ref="F122" r:id="rId1201"/>
    <hyperlink xmlns:r="http://schemas.openxmlformats.org/officeDocument/2006/relationships" ref="H122" r:id="rId1202"/>
    <hyperlink xmlns:r="http://schemas.openxmlformats.org/officeDocument/2006/relationships" ref="J122" r:id="rId1203"/>
    <hyperlink xmlns:r="http://schemas.openxmlformats.org/officeDocument/2006/relationships" ref="L122" r:id="rId1204"/>
    <hyperlink xmlns:r="http://schemas.openxmlformats.org/officeDocument/2006/relationships" ref="N122" r:id="rId1205"/>
    <hyperlink xmlns:r="http://schemas.openxmlformats.org/officeDocument/2006/relationships" ref="P122" r:id="rId1206"/>
    <hyperlink xmlns:r="http://schemas.openxmlformats.org/officeDocument/2006/relationships" ref="R122" r:id="rId1207"/>
    <hyperlink xmlns:r="http://schemas.openxmlformats.org/officeDocument/2006/relationships" ref="T122" r:id="rId1208"/>
    <hyperlink xmlns:r="http://schemas.openxmlformats.org/officeDocument/2006/relationships" ref="V122" r:id="rId1209"/>
    <hyperlink xmlns:r="http://schemas.openxmlformats.org/officeDocument/2006/relationships" ref="X122" r:id="rId1210"/>
    <hyperlink xmlns:r="http://schemas.openxmlformats.org/officeDocument/2006/relationships" ref="F123" r:id="rId1211"/>
    <hyperlink xmlns:r="http://schemas.openxmlformats.org/officeDocument/2006/relationships" ref="H123" r:id="rId1212"/>
    <hyperlink xmlns:r="http://schemas.openxmlformats.org/officeDocument/2006/relationships" ref="J123" r:id="rId1213"/>
    <hyperlink xmlns:r="http://schemas.openxmlformats.org/officeDocument/2006/relationships" ref="L123" r:id="rId1214"/>
    <hyperlink xmlns:r="http://schemas.openxmlformats.org/officeDocument/2006/relationships" ref="N123" r:id="rId1215"/>
    <hyperlink xmlns:r="http://schemas.openxmlformats.org/officeDocument/2006/relationships" ref="P123" r:id="rId1216"/>
    <hyperlink xmlns:r="http://schemas.openxmlformats.org/officeDocument/2006/relationships" ref="R123" r:id="rId1217"/>
    <hyperlink xmlns:r="http://schemas.openxmlformats.org/officeDocument/2006/relationships" ref="T123" r:id="rId1218"/>
    <hyperlink xmlns:r="http://schemas.openxmlformats.org/officeDocument/2006/relationships" ref="V123" r:id="rId1219"/>
    <hyperlink xmlns:r="http://schemas.openxmlformats.org/officeDocument/2006/relationships" ref="X123" r:id="rId1220"/>
    <hyperlink xmlns:r="http://schemas.openxmlformats.org/officeDocument/2006/relationships" ref="F124" r:id="rId1221"/>
    <hyperlink xmlns:r="http://schemas.openxmlformats.org/officeDocument/2006/relationships" ref="H124" r:id="rId1222"/>
    <hyperlink xmlns:r="http://schemas.openxmlformats.org/officeDocument/2006/relationships" ref="J124" r:id="rId1223"/>
    <hyperlink xmlns:r="http://schemas.openxmlformats.org/officeDocument/2006/relationships" ref="L124" r:id="rId1224"/>
    <hyperlink xmlns:r="http://schemas.openxmlformats.org/officeDocument/2006/relationships" ref="N124" r:id="rId1225"/>
    <hyperlink xmlns:r="http://schemas.openxmlformats.org/officeDocument/2006/relationships" ref="P124" r:id="rId1226"/>
    <hyperlink xmlns:r="http://schemas.openxmlformats.org/officeDocument/2006/relationships" ref="R124" r:id="rId1227"/>
    <hyperlink xmlns:r="http://schemas.openxmlformats.org/officeDocument/2006/relationships" ref="T124" r:id="rId1228"/>
    <hyperlink xmlns:r="http://schemas.openxmlformats.org/officeDocument/2006/relationships" ref="V124" r:id="rId1229"/>
    <hyperlink xmlns:r="http://schemas.openxmlformats.org/officeDocument/2006/relationships" ref="X124" r:id="rId1230"/>
    <hyperlink xmlns:r="http://schemas.openxmlformats.org/officeDocument/2006/relationships" ref="F125" r:id="rId1231"/>
    <hyperlink xmlns:r="http://schemas.openxmlformats.org/officeDocument/2006/relationships" ref="H125" r:id="rId1232"/>
    <hyperlink xmlns:r="http://schemas.openxmlformats.org/officeDocument/2006/relationships" ref="J125" r:id="rId1233"/>
    <hyperlink xmlns:r="http://schemas.openxmlformats.org/officeDocument/2006/relationships" ref="L125" r:id="rId1234"/>
    <hyperlink xmlns:r="http://schemas.openxmlformats.org/officeDocument/2006/relationships" ref="N125" r:id="rId1235"/>
    <hyperlink xmlns:r="http://schemas.openxmlformats.org/officeDocument/2006/relationships" ref="P125" r:id="rId1236"/>
    <hyperlink xmlns:r="http://schemas.openxmlformats.org/officeDocument/2006/relationships" ref="R125" r:id="rId1237"/>
    <hyperlink xmlns:r="http://schemas.openxmlformats.org/officeDocument/2006/relationships" ref="T125" r:id="rId1238"/>
    <hyperlink xmlns:r="http://schemas.openxmlformats.org/officeDocument/2006/relationships" ref="V125" r:id="rId1239"/>
    <hyperlink xmlns:r="http://schemas.openxmlformats.org/officeDocument/2006/relationships" ref="X125" r:id="rId1240"/>
    <hyperlink xmlns:r="http://schemas.openxmlformats.org/officeDocument/2006/relationships" ref="F126" r:id="rId1241"/>
    <hyperlink xmlns:r="http://schemas.openxmlformats.org/officeDocument/2006/relationships" ref="H126" r:id="rId1242"/>
    <hyperlink xmlns:r="http://schemas.openxmlformats.org/officeDocument/2006/relationships" ref="J126" r:id="rId1243"/>
    <hyperlink xmlns:r="http://schemas.openxmlformats.org/officeDocument/2006/relationships" ref="L126" r:id="rId1244"/>
    <hyperlink xmlns:r="http://schemas.openxmlformats.org/officeDocument/2006/relationships" ref="N126" r:id="rId1245"/>
    <hyperlink xmlns:r="http://schemas.openxmlformats.org/officeDocument/2006/relationships" ref="P126" r:id="rId1246"/>
    <hyperlink xmlns:r="http://schemas.openxmlformats.org/officeDocument/2006/relationships" ref="R126" r:id="rId1247"/>
    <hyperlink xmlns:r="http://schemas.openxmlformats.org/officeDocument/2006/relationships" ref="T126" r:id="rId1248"/>
    <hyperlink xmlns:r="http://schemas.openxmlformats.org/officeDocument/2006/relationships" ref="V126" r:id="rId1249"/>
    <hyperlink xmlns:r="http://schemas.openxmlformats.org/officeDocument/2006/relationships" ref="X126" r:id="rId1250"/>
    <hyperlink xmlns:r="http://schemas.openxmlformats.org/officeDocument/2006/relationships" ref="F127" r:id="rId1251"/>
    <hyperlink xmlns:r="http://schemas.openxmlformats.org/officeDocument/2006/relationships" ref="H127" r:id="rId1252"/>
    <hyperlink xmlns:r="http://schemas.openxmlformats.org/officeDocument/2006/relationships" ref="J127" r:id="rId1253"/>
    <hyperlink xmlns:r="http://schemas.openxmlformats.org/officeDocument/2006/relationships" ref="L127" r:id="rId1254"/>
    <hyperlink xmlns:r="http://schemas.openxmlformats.org/officeDocument/2006/relationships" ref="N127" r:id="rId1255"/>
    <hyperlink xmlns:r="http://schemas.openxmlformats.org/officeDocument/2006/relationships" ref="P127" r:id="rId1256"/>
    <hyperlink xmlns:r="http://schemas.openxmlformats.org/officeDocument/2006/relationships" ref="R127" r:id="rId1257"/>
    <hyperlink xmlns:r="http://schemas.openxmlformats.org/officeDocument/2006/relationships" ref="T127" r:id="rId1258"/>
    <hyperlink xmlns:r="http://schemas.openxmlformats.org/officeDocument/2006/relationships" ref="V127" r:id="rId1259"/>
    <hyperlink xmlns:r="http://schemas.openxmlformats.org/officeDocument/2006/relationships" ref="X127" r:id="rId1260"/>
    <hyperlink xmlns:r="http://schemas.openxmlformats.org/officeDocument/2006/relationships" ref="F128" r:id="rId1261"/>
    <hyperlink xmlns:r="http://schemas.openxmlformats.org/officeDocument/2006/relationships" ref="H128" r:id="rId1262"/>
    <hyperlink xmlns:r="http://schemas.openxmlformats.org/officeDocument/2006/relationships" ref="J128" r:id="rId1263"/>
    <hyperlink xmlns:r="http://schemas.openxmlformats.org/officeDocument/2006/relationships" ref="L128" r:id="rId1264"/>
    <hyperlink xmlns:r="http://schemas.openxmlformats.org/officeDocument/2006/relationships" ref="N128" r:id="rId1265"/>
    <hyperlink xmlns:r="http://schemas.openxmlformats.org/officeDocument/2006/relationships" ref="P128" r:id="rId1266"/>
    <hyperlink xmlns:r="http://schemas.openxmlformats.org/officeDocument/2006/relationships" ref="R128" r:id="rId1267"/>
    <hyperlink xmlns:r="http://schemas.openxmlformats.org/officeDocument/2006/relationships" ref="T128" r:id="rId1268"/>
    <hyperlink xmlns:r="http://schemas.openxmlformats.org/officeDocument/2006/relationships" ref="V128" r:id="rId1269"/>
    <hyperlink xmlns:r="http://schemas.openxmlformats.org/officeDocument/2006/relationships" ref="X128" r:id="rId1270"/>
    <hyperlink xmlns:r="http://schemas.openxmlformats.org/officeDocument/2006/relationships" ref="F129" r:id="rId1271"/>
    <hyperlink xmlns:r="http://schemas.openxmlformats.org/officeDocument/2006/relationships" ref="H129" r:id="rId1272"/>
    <hyperlink xmlns:r="http://schemas.openxmlformats.org/officeDocument/2006/relationships" ref="J129" r:id="rId1273"/>
    <hyperlink xmlns:r="http://schemas.openxmlformats.org/officeDocument/2006/relationships" ref="L129" r:id="rId1274"/>
    <hyperlink xmlns:r="http://schemas.openxmlformats.org/officeDocument/2006/relationships" ref="N129" r:id="rId1275"/>
    <hyperlink xmlns:r="http://schemas.openxmlformats.org/officeDocument/2006/relationships" ref="P129" r:id="rId1276"/>
    <hyperlink xmlns:r="http://schemas.openxmlformats.org/officeDocument/2006/relationships" ref="R129" r:id="rId1277"/>
    <hyperlink xmlns:r="http://schemas.openxmlformats.org/officeDocument/2006/relationships" ref="T129" r:id="rId1278"/>
    <hyperlink xmlns:r="http://schemas.openxmlformats.org/officeDocument/2006/relationships" ref="V129" r:id="rId1279"/>
    <hyperlink xmlns:r="http://schemas.openxmlformats.org/officeDocument/2006/relationships" ref="X129" r:id="rId1280"/>
    <hyperlink xmlns:r="http://schemas.openxmlformats.org/officeDocument/2006/relationships" ref="F130" r:id="rId1281"/>
    <hyperlink xmlns:r="http://schemas.openxmlformats.org/officeDocument/2006/relationships" ref="H130" r:id="rId1282"/>
    <hyperlink xmlns:r="http://schemas.openxmlformats.org/officeDocument/2006/relationships" ref="J130" r:id="rId1283"/>
    <hyperlink xmlns:r="http://schemas.openxmlformats.org/officeDocument/2006/relationships" ref="L130" r:id="rId1284"/>
    <hyperlink xmlns:r="http://schemas.openxmlformats.org/officeDocument/2006/relationships" ref="N130" r:id="rId1285"/>
    <hyperlink xmlns:r="http://schemas.openxmlformats.org/officeDocument/2006/relationships" ref="P130" r:id="rId1286"/>
    <hyperlink xmlns:r="http://schemas.openxmlformats.org/officeDocument/2006/relationships" ref="R130" r:id="rId1287"/>
    <hyperlink xmlns:r="http://schemas.openxmlformats.org/officeDocument/2006/relationships" ref="T130" r:id="rId1288"/>
    <hyperlink xmlns:r="http://schemas.openxmlformats.org/officeDocument/2006/relationships" ref="V130" r:id="rId1289"/>
    <hyperlink xmlns:r="http://schemas.openxmlformats.org/officeDocument/2006/relationships" ref="X130" r:id="rId1290"/>
    <hyperlink xmlns:r="http://schemas.openxmlformats.org/officeDocument/2006/relationships" ref="F131" r:id="rId1291"/>
    <hyperlink xmlns:r="http://schemas.openxmlformats.org/officeDocument/2006/relationships" ref="H131" r:id="rId1292"/>
    <hyperlink xmlns:r="http://schemas.openxmlformats.org/officeDocument/2006/relationships" ref="J131" r:id="rId1293"/>
    <hyperlink xmlns:r="http://schemas.openxmlformats.org/officeDocument/2006/relationships" ref="L131" r:id="rId1294"/>
    <hyperlink xmlns:r="http://schemas.openxmlformats.org/officeDocument/2006/relationships" ref="N131" r:id="rId1295"/>
    <hyperlink xmlns:r="http://schemas.openxmlformats.org/officeDocument/2006/relationships" ref="P131" r:id="rId1296"/>
    <hyperlink xmlns:r="http://schemas.openxmlformats.org/officeDocument/2006/relationships" ref="R131" r:id="rId1297"/>
    <hyperlink xmlns:r="http://schemas.openxmlformats.org/officeDocument/2006/relationships" ref="T131" r:id="rId1298"/>
    <hyperlink xmlns:r="http://schemas.openxmlformats.org/officeDocument/2006/relationships" ref="V131" r:id="rId1299"/>
    <hyperlink xmlns:r="http://schemas.openxmlformats.org/officeDocument/2006/relationships" ref="X131" r:id="rId1300"/>
    <hyperlink xmlns:r="http://schemas.openxmlformats.org/officeDocument/2006/relationships" ref="F132" r:id="rId1301"/>
    <hyperlink xmlns:r="http://schemas.openxmlformats.org/officeDocument/2006/relationships" ref="H132" r:id="rId1302"/>
    <hyperlink xmlns:r="http://schemas.openxmlformats.org/officeDocument/2006/relationships" ref="J132" r:id="rId1303"/>
    <hyperlink xmlns:r="http://schemas.openxmlformats.org/officeDocument/2006/relationships" ref="L132" r:id="rId1304"/>
    <hyperlink xmlns:r="http://schemas.openxmlformats.org/officeDocument/2006/relationships" ref="N132" r:id="rId1305"/>
    <hyperlink xmlns:r="http://schemas.openxmlformats.org/officeDocument/2006/relationships" ref="P132" r:id="rId1306"/>
    <hyperlink xmlns:r="http://schemas.openxmlformats.org/officeDocument/2006/relationships" ref="R132" r:id="rId1307"/>
    <hyperlink xmlns:r="http://schemas.openxmlformats.org/officeDocument/2006/relationships" ref="T132" r:id="rId1308"/>
    <hyperlink xmlns:r="http://schemas.openxmlformats.org/officeDocument/2006/relationships" ref="V132" r:id="rId1309"/>
    <hyperlink xmlns:r="http://schemas.openxmlformats.org/officeDocument/2006/relationships" ref="X132" r:id="rId1310"/>
    <hyperlink xmlns:r="http://schemas.openxmlformats.org/officeDocument/2006/relationships" ref="F133" r:id="rId1311"/>
    <hyperlink xmlns:r="http://schemas.openxmlformats.org/officeDocument/2006/relationships" ref="H133" r:id="rId1312"/>
    <hyperlink xmlns:r="http://schemas.openxmlformats.org/officeDocument/2006/relationships" ref="J133" r:id="rId1313"/>
    <hyperlink xmlns:r="http://schemas.openxmlformats.org/officeDocument/2006/relationships" ref="L133" r:id="rId1314"/>
    <hyperlink xmlns:r="http://schemas.openxmlformats.org/officeDocument/2006/relationships" ref="N133" r:id="rId1315"/>
    <hyperlink xmlns:r="http://schemas.openxmlformats.org/officeDocument/2006/relationships" ref="P133" r:id="rId1316"/>
    <hyperlink xmlns:r="http://schemas.openxmlformats.org/officeDocument/2006/relationships" ref="R133" r:id="rId1317"/>
    <hyperlink xmlns:r="http://schemas.openxmlformats.org/officeDocument/2006/relationships" ref="T133" r:id="rId1318"/>
    <hyperlink xmlns:r="http://schemas.openxmlformats.org/officeDocument/2006/relationships" ref="V133" r:id="rId1319"/>
    <hyperlink xmlns:r="http://schemas.openxmlformats.org/officeDocument/2006/relationships" ref="X133" r:id="rId1320"/>
    <hyperlink xmlns:r="http://schemas.openxmlformats.org/officeDocument/2006/relationships" ref="F134" r:id="rId1321"/>
    <hyperlink xmlns:r="http://schemas.openxmlformats.org/officeDocument/2006/relationships" ref="H134" r:id="rId1322"/>
    <hyperlink xmlns:r="http://schemas.openxmlformats.org/officeDocument/2006/relationships" ref="J134" r:id="rId1323"/>
    <hyperlink xmlns:r="http://schemas.openxmlformats.org/officeDocument/2006/relationships" ref="L134" r:id="rId1324"/>
    <hyperlink xmlns:r="http://schemas.openxmlformats.org/officeDocument/2006/relationships" ref="N134" r:id="rId1325"/>
    <hyperlink xmlns:r="http://schemas.openxmlformats.org/officeDocument/2006/relationships" ref="P134" r:id="rId1326"/>
    <hyperlink xmlns:r="http://schemas.openxmlformats.org/officeDocument/2006/relationships" ref="R134" r:id="rId1327"/>
    <hyperlink xmlns:r="http://schemas.openxmlformats.org/officeDocument/2006/relationships" ref="T134" r:id="rId1328"/>
    <hyperlink xmlns:r="http://schemas.openxmlformats.org/officeDocument/2006/relationships" ref="V134" r:id="rId1329"/>
    <hyperlink xmlns:r="http://schemas.openxmlformats.org/officeDocument/2006/relationships" ref="X134" r:id="rId1330"/>
    <hyperlink xmlns:r="http://schemas.openxmlformats.org/officeDocument/2006/relationships" ref="F135" r:id="rId1331"/>
    <hyperlink xmlns:r="http://schemas.openxmlformats.org/officeDocument/2006/relationships" ref="H135" r:id="rId1332"/>
    <hyperlink xmlns:r="http://schemas.openxmlformats.org/officeDocument/2006/relationships" ref="J135" r:id="rId1333"/>
    <hyperlink xmlns:r="http://schemas.openxmlformats.org/officeDocument/2006/relationships" ref="L135" r:id="rId1334"/>
    <hyperlink xmlns:r="http://schemas.openxmlformats.org/officeDocument/2006/relationships" ref="N135" r:id="rId1335"/>
    <hyperlink xmlns:r="http://schemas.openxmlformats.org/officeDocument/2006/relationships" ref="P135" r:id="rId1336"/>
    <hyperlink xmlns:r="http://schemas.openxmlformats.org/officeDocument/2006/relationships" ref="R135" r:id="rId1337"/>
    <hyperlink xmlns:r="http://schemas.openxmlformats.org/officeDocument/2006/relationships" ref="T135" r:id="rId1338"/>
    <hyperlink xmlns:r="http://schemas.openxmlformats.org/officeDocument/2006/relationships" ref="V135" r:id="rId1339"/>
    <hyperlink xmlns:r="http://schemas.openxmlformats.org/officeDocument/2006/relationships" ref="X135" r:id="rId1340"/>
    <hyperlink xmlns:r="http://schemas.openxmlformats.org/officeDocument/2006/relationships" ref="F136" r:id="rId1341"/>
    <hyperlink xmlns:r="http://schemas.openxmlformats.org/officeDocument/2006/relationships" ref="H136" r:id="rId1342"/>
    <hyperlink xmlns:r="http://schemas.openxmlformats.org/officeDocument/2006/relationships" ref="J136" r:id="rId1343"/>
    <hyperlink xmlns:r="http://schemas.openxmlformats.org/officeDocument/2006/relationships" ref="L136" r:id="rId1344"/>
    <hyperlink xmlns:r="http://schemas.openxmlformats.org/officeDocument/2006/relationships" ref="N136" r:id="rId1345"/>
    <hyperlink xmlns:r="http://schemas.openxmlformats.org/officeDocument/2006/relationships" ref="P136" r:id="rId1346"/>
    <hyperlink xmlns:r="http://schemas.openxmlformats.org/officeDocument/2006/relationships" ref="R136" r:id="rId1347"/>
    <hyperlink xmlns:r="http://schemas.openxmlformats.org/officeDocument/2006/relationships" ref="T136" r:id="rId1348"/>
    <hyperlink xmlns:r="http://schemas.openxmlformats.org/officeDocument/2006/relationships" ref="V136" r:id="rId1349"/>
    <hyperlink xmlns:r="http://schemas.openxmlformats.org/officeDocument/2006/relationships" ref="X136" r:id="rId1350"/>
    <hyperlink xmlns:r="http://schemas.openxmlformats.org/officeDocument/2006/relationships" ref="F137" r:id="rId1351"/>
    <hyperlink xmlns:r="http://schemas.openxmlformats.org/officeDocument/2006/relationships" ref="H137" r:id="rId1352"/>
    <hyperlink xmlns:r="http://schemas.openxmlformats.org/officeDocument/2006/relationships" ref="J137" r:id="rId1353"/>
    <hyperlink xmlns:r="http://schemas.openxmlformats.org/officeDocument/2006/relationships" ref="L137" r:id="rId1354"/>
    <hyperlink xmlns:r="http://schemas.openxmlformats.org/officeDocument/2006/relationships" ref="N137" r:id="rId1355"/>
    <hyperlink xmlns:r="http://schemas.openxmlformats.org/officeDocument/2006/relationships" ref="P137" r:id="rId1356"/>
    <hyperlink xmlns:r="http://schemas.openxmlformats.org/officeDocument/2006/relationships" ref="R137" r:id="rId1357"/>
    <hyperlink xmlns:r="http://schemas.openxmlformats.org/officeDocument/2006/relationships" ref="T137" r:id="rId1358"/>
    <hyperlink xmlns:r="http://schemas.openxmlformats.org/officeDocument/2006/relationships" ref="V137" r:id="rId1359"/>
    <hyperlink xmlns:r="http://schemas.openxmlformats.org/officeDocument/2006/relationships" ref="X137" r:id="rId1360"/>
    <hyperlink xmlns:r="http://schemas.openxmlformats.org/officeDocument/2006/relationships" ref="F138" r:id="rId1361"/>
    <hyperlink xmlns:r="http://schemas.openxmlformats.org/officeDocument/2006/relationships" ref="H138" r:id="rId1362"/>
    <hyperlink xmlns:r="http://schemas.openxmlformats.org/officeDocument/2006/relationships" ref="J138" r:id="rId1363"/>
    <hyperlink xmlns:r="http://schemas.openxmlformats.org/officeDocument/2006/relationships" ref="L138" r:id="rId1364"/>
    <hyperlink xmlns:r="http://schemas.openxmlformats.org/officeDocument/2006/relationships" ref="N138" r:id="rId1365"/>
    <hyperlink xmlns:r="http://schemas.openxmlformats.org/officeDocument/2006/relationships" ref="P138" r:id="rId1366"/>
    <hyperlink xmlns:r="http://schemas.openxmlformats.org/officeDocument/2006/relationships" ref="R138" r:id="rId1367"/>
    <hyperlink xmlns:r="http://schemas.openxmlformats.org/officeDocument/2006/relationships" ref="T138" r:id="rId1368"/>
    <hyperlink xmlns:r="http://schemas.openxmlformats.org/officeDocument/2006/relationships" ref="V138" r:id="rId1369"/>
    <hyperlink xmlns:r="http://schemas.openxmlformats.org/officeDocument/2006/relationships" ref="X138" r:id="rId1370"/>
    <hyperlink xmlns:r="http://schemas.openxmlformats.org/officeDocument/2006/relationships" ref="F139" r:id="rId1371"/>
    <hyperlink xmlns:r="http://schemas.openxmlformats.org/officeDocument/2006/relationships" ref="H139" r:id="rId1372"/>
    <hyperlink xmlns:r="http://schemas.openxmlformats.org/officeDocument/2006/relationships" ref="J139" r:id="rId1373"/>
    <hyperlink xmlns:r="http://schemas.openxmlformats.org/officeDocument/2006/relationships" ref="L139" r:id="rId1374"/>
    <hyperlink xmlns:r="http://schemas.openxmlformats.org/officeDocument/2006/relationships" ref="N139" r:id="rId1375"/>
    <hyperlink xmlns:r="http://schemas.openxmlformats.org/officeDocument/2006/relationships" ref="P139" r:id="rId1376"/>
    <hyperlink xmlns:r="http://schemas.openxmlformats.org/officeDocument/2006/relationships" ref="R139" r:id="rId1377"/>
    <hyperlink xmlns:r="http://schemas.openxmlformats.org/officeDocument/2006/relationships" ref="T139" r:id="rId1378"/>
    <hyperlink xmlns:r="http://schemas.openxmlformats.org/officeDocument/2006/relationships" ref="V139" r:id="rId1379"/>
    <hyperlink xmlns:r="http://schemas.openxmlformats.org/officeDocument/2006/relationships" ref="X139" r:id="rId1380"/>
    <hyperlink xmlns:r="http://schemas.openxmlformats.org/officeDocument/2006/relationships" ref="F140" r:id="rId1381"/>
    <hyperlink xmlns:r="http://schemas.openxmlformats.org/officeDocument/2006/relationships" ref="H140" r:id="rId1382"/>
    <hyperlink xmlns:r="http://schemas.openxmlformats.org/officeDocument/2006/relationships" ref="J140" r:id="rId1383"/>
    <hyperlink xmlns:r="http://schemas.openxmlformats.org/officeDocument/2006/relationships" ref="L140" r:id="rId1384"/>
    <hyperlink xmlns:r="http://schemas.openxmlformats.org/officeDocument/2006/relationships" ref="N140" r:id="rId1385"/>
    <hyperlink xmlns:r="http://schemas.openxmlformats.org/officeDocument/2006/relationships" ref="P140" r:id="rId1386"/>
    <hyperlink xmlns:r="http://schemas.openxmlformats.org/officeDocument/2006/relationships" ref="R140" r:id="rId1387"/>
    <hyperlink xmlns:r="http://schemas.openxmlformats.org/officeDocument/2006/relationships" ref="T140" r:id="rId1388"/>
    <hyperlink xmlns:r="http://schemas.openxmlformats.org/officeDocument/2006/relationships" ref="V140" r:id="rId1389"/>
    <hyperlink xmlns:r="http://schemas.openxmlformats.org/officeDocument/2006/relationships" ref="X140" r:id="rId1390"/>
    <hyperlink xmlns:r="http://schemas.openxmlformats.org/officeDocument/2006/relationships" ref="F141" r:id="rId1391"/>
    <hyperlink xmlns:r="http://schemas.openxmlformats.org/officeDocument/2006/relationships" ref="H141" r:id="rId1392"/>
    <hyperlink xmlns:r="http://schemas.openxmlformats.org/officeDocument/2006/relationships" ref="J141" r:id="rId1393"/>
    <hyperlink xmlns:r="http://schemas.openxmlformats.org/officeDocument/2006/relationships" ref="L141" r:id="rId1394"/>
    <hyperlink xmlns:r="http://schemas.openxmlformats.org/officeDocument/2006/relationships" ref="N141" r:id="rId1395"/>
    <hyperlink xmlns:r="http://schemas.openxmlformats.org/officeDocument/2006/relationships" ref="P141" r:id="rId1396"/>
    <hyperlink xmlns:r="http://schemas.openxmlformats.org/officeDocument/2006/relationships" ref="R141" r:id="rId1397"/>
    <hyperlink xmlns:r="http://schemas.openxmlformats.org/officeDocument/2006/relationships" ref="T141" r:id="rId1398"/>
    <hyperlink xmlns:r="http://schemas.openxmlformats.org/officeDocument/2006/relationships" ref="V141" r:id="rId1399"/>
    <hyperlink xmlns:r="http://schemas.openxmlformats.org/officeDocument/2006/relationships" ref="X141" r:id="rId1400"/>
    <hyperlink xmlns:r="http://schemas.openxmlformats.org/officeDocument/2006/relationships" ref="F142" r:id="rId1401"/>
    <hyperlink xmlns:r="http://schemas.openxmlformats.org/officeDocument/2006/relationships" ref="H142" r:id="rId1402"/>
    <hyperlink xmlns:r="http://schemas.openxmlformats.org/officeDocument/2006/relationships" ref="J142" r:id="rId1403"/>
    <hyperlink xmlns:r="http://schemas.openxmlformats.org/officeDocument/2006/relationships" ref="L142" r:id="rId1404"/>
    <hyperlink xmlns:r="http://schemas.openxmlformats.org/officeDocument/2006/relationships" ref="N142" r:id="rId1405"/>
    <hyperlink xmlns:r="http://schemas.openxmlformats.org/officeDocument/2006/relationships" ref="P142" r:id="rId1406"/>
    <hyperlink xmlns:r="http://schemas.openxmlformats.org/officeDocument/2006/relationships" ref="R142" r:id="rId1407"/>
    <hyperlink xmlns:r="http://schemas.openxmlformats.org/officeDocument/2006/relationships" ref="T142" r:id="rId1408"/>
    <hyperlink xmlns:r="http://schemas.openxmlformats.org/officeDocument/2006/relationships" ref="V142" r:id="rId1409"/>
    <hyperlink xmlns:r="http://schemas.openxmlformats.org/officeDocument/2006/relationships" ref="X142" r:id="rId1410"/>
    <hyperlink xmlns:r="http://schemas.openxmlformats.org/officeDocument/2006/relationships" ref="F143" r:id="rId1411"/>
    <hyperlink xmlns:r="http://schemas.openxmlformats.org/officeDocument/2006/relationships" ref="H143" r:id="rId1412"/>
    <hyperlink xmlns:r="http://schemas.openxmlformats.org/officeDocument/2006/relationships" ref="J143" r:id="rId1413"/>
    <hyperlink xmlns:r="http://schemas.openxmlformats.org/officeDocument/2006/relationships" ref="L143" r:id="rId1414"/>
    <hyperlink xmlns:r="http://schemas.openxmlformats.org/officeDocument/2006/relationships" ref="N143" r:id="rId1415"/>
    <hyperlink xmlns:r="http://schemas.openxmlformats.org/officeDocument/2006/relationships" ref="P143" r:id="rId1416"/>
    <hyperlink xmlns:r="http://schemas.openxmlformats.org/officeDocument/2006/relationships" ref="R143" r:id="rId1417"/>
    <hyperlink xmlns:r="http://schemas.openxmlformats.org/officeDocument/2006/relationships" ref="T143" r:id="rId1418"/>
    <hyperlink xmlns:r="http://schemas.openxmlformats.org/officeDocument/2006/relationships" ref="V143" r:id="rId1419"/>
    <hyperlink xmlns:r="http://schemas.openxmlformats.org/officeDocument/2006/relationships" ref="X143" r:id="rId1420"/>
    <hyperlink xmlns:r="http://schemas.openxmlformats.org/officeDocument/2006/relationships" ref="F144" r:id="rId1421"/>
    <hyperlink xmlns:r="http://schemas.openxmlformats.org/officeDocument/2006/relationships" ref="H144" r:id="rId1422"/>
    <hyperlink xmlns:r="http://schemas.openxmlformats.org/officeDocument/2006/relationships" ref="J144" r:id="rId1423"/>
    <hyperlink xmlns:r="http://schemas.openxmlformats.org/officeDocument/2006/relationships" ref="L144" r:id="rId1424"/>
    <hyperlink xmlns:r="http://schemas.openxmlformats.org/officeDocument/2006/relationships" ref="N144" r:id="rId1425"/>
    <hyperlink xmlns:r="http://schemas.openxmlformats.org/officeDocument/2006/relationships" ref="P144" r:id="rId1426"/>
    <hyperlink xmlns:r="http://schemas.openxmlformats.org/officeDocument/2006/relationships" ref="R144" r:id="rId1427"/>
    <hyperlink xmlns:r="http://schemas.openxmlformats.org/officeDocument/2006/relationships" ref="T144" r:id="rId1428"/>
    <hyperlink xmlns:r="http://schemas.openxmlformats.org/officeDocument/2006/relationships" ref="V144" r:id="rId1429"/>
    <hyperlink xmlns:r="http://schemas.openxmlformats.org/officeDocument/2006/relationships" ref="X144" r:id="rId1430"/>
    <hyperlink xmlns:r="http://schemas.openxmlformats.org/officeDocument/2006/relationships" ref="F145" r:id="rId1431"/>
    <hyperlink xmlns:r="http://schemas.openxmlformats.org/officeDocument/2006/relationships" ref="H145" r:id="rId1432"/>
    <hyperlink xmlns:r="http://schemas.openxmlformats.org/officeDocument/2006/relationships" ref="J145" r:id="rId1433"/>
    <hyperlink xmlns:r="http://schemas.openxmlformats.org/officeDocument/2006/relationships" ref="L145" r:id="rId1434"/>
    <hyperlink xmlns:r="http://schemas.openxmlformats.org/officeDocument/2006/relationships" ref="N145" r:id="rId1435"/>
    <hyperlink xmlns:r="http://schemas.openxmlformats.org/officeDocument/2006/relationships" ref="P145" r:id="rId1436"/>
    <hyperlink xmlns:r="http://schemas.openxmlformats.org/officeDocument/2006/relationships" ref="R145" r:id="rId1437"/>
    <hyperlink xmlns:r="http://schemas.openxmlformats.org/officeDocument/2006/relationships" ref="T145" r:id="rId1438"/>
    <hyperlink xmlns:r="http://schemas.openxmlformats.org/officeDocument/2006/relationships" ref="V145" r:id="rId1439"/>
    <hyperlink xmlns:r="http://schemas.openxmlformats.org/officeDocument/2006/relationships" ref="X145" r:id="rId1440"/>
    <hyperlink xmlns:r="http://schemas.openxmlformats.org/officeDocument/2006/relationships" ref="F146" r:id="rId1441"/>
    <hyperlink xmlns:r="http://schemas.openxmlformats.org/officeDocument/2006/relationships" ref="H146" r:id="rId1442"/>
    <hyperlink xmlns:r="http://schemas.openxmlformats.org/officeDocument/2006/relationships" ref="J146" r:id="rId1443"/>
    <hyperlink xmlns:r="http://schemas.openxmlformats.org/officeDocument/2006/relationships" ref="L146" r:id="rId1444"/>
    <hyperlink xmlns:r="http://schemas.openxmlformats.org/officeDocument/2006/relationships" ref="N146" r:id="rId1445"/>
    <hyperlink xmlns:r="http://schemas.openxmlformats.org/officeDocument/2006/relationships" ref="P146" r:id="rId1446"/>
    <hyperlink xmlns:r="http://schemas.openxmlformats.org/officeDocument/2006/relationships" ref="R146" r:id="rId1447"/>
    <hyperlink xmlns:r="http://schemas.openxmlformats.org/officeDocument/2006/relationships" ref="T146" r:id="rId1448"/>
    <hyperlink xmlns:r="http://schemas.openxmlformats.org/officeDocument/2006/relationships" ref="V146" r:id="rId1449"/>
    <hyperlink xmlns:r="http://schemas.openxmlformats.org/officeDocument/2006/relationships" ref="X146" r:id="rId1450"/>
    <hyperlink xmlns:r="http://schemas.openxmlformats.org/officeDocument/2006/relationships" ref="F147" r:id="rId1451"/>
    <hyperlink xmlns:r="http://schemas.openxmlformats.org/officeDocument/2006/relationships" ref="H147" r:id="rId1452"/>
    <hyperlink xmlns:r="http://schemas.openxmlformats.org/officeDocument/2006/relationships" ref="J147" r:id="rId1453"/>
    <hyperlink xmlns:r="http://schemas.openxmlformats.org/officeDocument/2006/relationships" ref="L147" r:id="rId1454"/>
    <hyperlink xmlns:r="http://schemas.openxmlformats.org/officeDocument/2006/relationships" ref="N147" r:id="rId1455"/>
    <hyperlink xmlns:r="http://schemas.openxmlformats.org/officeDocument/2006/relationships" ref="P147" r:id="rId1456"/>
    <hyperlink xmlns:r="http://schemas.openxmlformats.org/officeDocument/2006/relationships" ref="R147" r:id="rId1457"/>
    <hyperlink xmlns:r="http://schemas.openxmlformats.org/officeDocument/2006/relationships" ref="T147" r:id="rId1458"/>
    <hyperlink xmlns:r="http://schemas.openxmlformats.org/officeDocument/2006/relationships" ref="V147" r:id="rId1459"/>
    <hyperlink xmlns:r="http://schemas.openxmlformats.org/officeDocument/2006/relationships" ref="X147" r:id="rId1460"/>
    <hyperlink xmlns:r="http://schemas.openxmlformats.org/officeDocument/2006/relationships" ref="F148" r:id="rId1461"/>
    <hyperlink xmlns:r="http://schemas.openxmlformats.org/officeDocument/2006/relationships" ref="H148" r:id="rId1462"/>
    <hyperlink xmlns:r="http://schemas.openxmlformats.org/officeDocument/2006/relationships" ref="J148" r:id="rId1463"/>
    <hyperlink xmlns:r="http://schemas.openxmlformats.org/officeDocument/2006/relationships" ref="L148" r:id="rId1464"/>
    <hyperlink xmlns:r="http://schemas.openxmlformats.org/officeDocument/2006/relationships" ref="N148" r:id="rId1465"/>
    <hyperlink xmlns:r="http://schemas.openxmlformats.org/officeDocument/2006/relationships" ref="P148" r:id="rId1466"/>
    <hyperlink xmlns:r="http://schemas.openxmlformats.org/officeDocument/2006/relationships" ref="R148" r:id="rId1467"/>
    <hyperlink xmlns:r="http://schemas.openxmlformats.org/officeDocument/2006/relationships" ref="T148" r:id="rId1468"/>
    <hyperlink xmlns:r="http://schemas.openxmlformats.org/officeDocument/2006/relationships" ref="V148" r:id="rId1469"/>
    <hyperlink xmlns:r="http://schemas.openxmlformats.org/officeDocument/2006/relationships" ref="X148" r:id="rId1470"/>
    <hyperlink xmlns:r="http://schemas.openxmlformats.org/officeDocument/2006/relationships" ref="F149" r:id="rId1471"/>
    <hyperlink xmlns:r="http://schemas.openxmlformats.org/officeDocument/2006/relationships" ref="H149" r:id="rId1472"/>
    <hyperlink xmlns:r="http://schemas.openxmlformats.org/officeDocument/2006/relationships" ref="J149" r:id="rId1473"/>
    <hyperlink xmlns:r="http://schemas.openxmlformats.org/officeDocument/2006/relationships" ref="L149" r:id="rId1474"/>
    <hyperlink xmlns:r="http://schemas.openxmlformats.org/officeDocument/2006/relationships" ref="N149" r:id="rId1475"/>
    <hyperlink xmlns:r="http://schemas.openxmlformats.org/officeDocument/2006/relationships" ref="P149" r:id="rId1476"/>
    <hyperlink xmlns:r="http://schemas.openxmlformats.org/officeDocument/2006/relationships" ref="R149" r:id="rId1477"/>
    <hyperlink xmlns:r="http://schemas.openxmlformats.org/officeDocument/2006/relationships" ref="T149" r:id="rId1478"/>
    <hyperlink xmlns:r="http://schemas.openxmlformats.org/officeDocument/2006/relationships" ref="V149" r:id="rId1479"/>
    <hyperlink xmlns:r="http://schemas.openxmlformats.org/officeDocument/2006/relationships" ref="X149" r:id="rId1480"/>
    <hyperlink xmlns:r="http://schemas.openxmlformats.org/officeDocument/2006/relationships" ref="F150" r:id="rId1481"/>
    <hyperlink xmlns:r="http://schemas.openxmlformats.org/officeDocument/2006/relationships" ref="H150" r:id="rId1482"/>
    <hyperlink xmlns:r="http://schemas.openxmlformats.org/officeDocument/2006/relationships" ref="J150" r:id="rId1483"/>
    <hyperlink xmlns:r="http://schemas.openxmlformats.org/officeDocument/2006/relationships" ref="L150" r:id="rId1484"/>
    <hyperlink xmlns:r="http://schemas.openxmlformats.org/officeDocument/2006/relationships" ref="N150" r:id="rId1485"/>
    <hyperlink xmlns:r="http://schemas.openxmlformats.org/officeDocument/2006/relationships" ref="P150" r:id="rId1486"/>
    <hyperlink xmlns:r="http://schemas.openxmlformats.org/officeDocument/2006/relationships" ref="R150" r:id="rId1487"/>
    <hyperlink xmlns:r="http://schemas.openxmlformats.org/officeDocument/2006/relationships" ref="T150" r:id="rId1488"/>
    <hyperlink xmlns:r="http://schemas.openxmlformats.org/officeDocument/2006/relationships" ref="V150" r:id="rId1489"/>
    <hyperlink xmlns:r="http://schemas.openxmlformats.org/officeDocument/2006/relationships" ref="X150" r:id="rId1490"/>
    <hyperlink xmlns:r="http://schemas.openxmlformats.org/officeDocument/2006/relationships" ref="F151" r:id="rId1491"/>
    <hyperlink xmlns:r="http://schemas.openxmlformats.org/officeDocument/2006/relationships" ref="H151" r:id="rId1492"/>
    <hyperlink xmlns:r="http://schemas.openxmlformats.org/officeDocument/2006/relationships" ref="J151" r:id="rId1493"/>
    <hyperlink xmlns:r="http://schemas.openxmlformats.org/officeDocument/2006/relationships" ref="L151" r:id="rId1494"/>
    <hyperlink xmlns:r="http://schemas.openxmlformats.org/officeDocument/2006/relationships" ref="N151" r:id="rId1495"/>
    <hyperlink xmlns:r="http://schemas.openxmlformats.org/officeDocument/2006/relationships" ref="P151" r:id="rId1496"/>
    <hyperlink xmlns:r="http://schemas.openxmlformats.org/officeDocument/2006/relationships" ref="R151" r:id="rId1497"/>
    <hyperlink xmlns:r="http://schemas.openxmlformats.org/officeDocument/2006/relationships" ref="T151" r:id="rId1498"/>
    <hyperlink xmlns:r="http://schemas.openxmlformats.org/officeDocument/2006/relationships" ref="V151" r:id="rId1499"/>
    <hyperlink xmlns:r="http://schemas.openxmlformats.org/officeDocument/2006/relationships" ref="X151" r:id="rId1500"/>
    <hyperlink xmlns:r="http://schemas.openxmlformats.org/officeDocument/2006/relationships" ref="F152" r:id="rId1501"/>
    <hyperlink xmlns:r="http://schemas.openxmlformats.org/officeDocument/2006/relationships" ref="H152" r:id="rId1502"/>
    <hyperlink xmlns:r="http://schemas.openxmlformats.org/officeDocument/2006/relationships" ref="J152" r:id="rId1503"/>
    <hyperlink xmlns:r="http://schemas.openxmlformats.org/officeDocument/2006/relationships" ref="L152" r:id="rId1504"/>
    <hyperlink xmlns:r="http://schemas.openxmlformats.org/officeDocument/2006/relationships" ref="N152" r:id="rId1505"/>
    <hyperlink xmlns:r="http://schemas.openxmlformats.org/officeDocument/2006/relationships" ref="P152" r:id="rId1506"/>
    <hyperlink xmlns:r="http://schemas.openxmlformats.org/officeDocument/2006/relationships" ref="R152" r:id="rId1507"/>
    <hyperlink xmlns:r="http://schemas.openxmlformats.org/officeDocument/2006/relationships" ref="T152" r:id="rId1508"/>
    <hyperlink xmlns:r="http://schemas.openxmlformats.org/officeDocument/2006/relationships" ref="V152" r:id="rId1509"/>
    <hyperlink xmlns:r="http://schemas.openxmlformats.org/officeDocument/2006/relationships" ref="X152" r:id="rId1510"/>
    <hyperlink xmlns:r="http://schemas.openxmlformats.org/officeDocument/2006/relationships" ref="F153" r:id="rId1511"/>
    <hyperlink xmlns:r="http://schemas.openxmlformats.org/officeDocument/2006/relationships" ref="H153" r:id="rId1512"/>
    <hyperlink xmlns:r="http://schemas.openxmlformats.org/officeDocument/2006/relationships" ref="J153" r:id="rId1513"/>
    <hyperlink xmlns:r="http://schemas.openxmlformats.org/officeDocument/2006/relationships" ref="L153" r:id="rId1514"/>
    <hyperlink xmlns:r="http://schemas.openxmlformats.org/officeDocument/2006/relationships" ref="N153" r:id="rId1515"/>
    <hyperlink xmlns:r="http://schemas.openxmlformats.org/officeDocument/2006/relationships" ref="P153" r:id="rId1516"/>
    <hyperlink xmlns:r="http://schemas.openxmlformats.org/officeDocument/2006/relationships" ref="R153" r:id="rId1517"/>
    <hyperlink xmlns:r="http://schemas.openxmlformats.org/officeDocument/2006/relationships" ref="T153" r:id="rId1518"/>
    <hyperlink xmlns:r="http://schemas.openxmlformats.org/officeDocument/2006/relationships" ref="V153" r:id="rId1519"/>
    <hyperlink xmlns:r="http://schemas.openxmlformats.org/officeDocument/2006/relationships" ref="X153" r:id="rId1520"/>
    <hyperlink xmlns:r="http://schemas.openxmlformats.org/officeDocument/2006/relationships" ref="F154" r:id="rId1521"/>
    <hyperlink xmlns:r="http://schemas.openxmlformats.org/officeDocument/2006/relationships" ref="H154" r:id="rId1522"/>
    <hyperlink xmlns:r="http://schemas.openxmlformats.org/officeDocument/2006/relationships" ref="J154" r:id="rId1523"/>
    <hyperlink xmlns:r="http://schemas.openxmlformats.org/officeDocument/2006/relationships" ref="L154" r:id="rId1524"/>
    <hyperlink xmlns:r="http://schemas.openxmlformats.org/officeDocument/2006/relationships" ref="N154" r:id="rId1525"/>
    <hyperlink xmlns:r="http://schemas.openxmlformats.org/officeDocument/2006/relationships" ref="P154" r:id="rId1526"/>
    <hyperlink xmlns:r="http://schemas.openxmlformats.org/officeDocument/2006/relationships" ref="R154" r:id="rId1527"/>
    <hyperlink xmlns:r="http://schemas.openxmlformats.org/officeDocument/2006/relationships" ref="T154" r:id="rId1528"/>
    <hyperlink xmlns:r="http://schemas.openxmlformats.org/officeDocument/2006/relationships" ref="V154" r:id="rId1529"/>
    <hyperlink xmlns:r="http://schemas.openxmlformats.org/officeDocument/2006/relationships" ref="X154" r:id="rId1530"/>
    <hyperlink xmlns:r="http://schemas.openxmlformats.org/officeDocument/2006/relationships" ref="F155" r:id="rId1531"/>
    <hyperlink xmlns:r="http://schemas.openxmlformats.org/officeDocument/2006/relationships" ref="H155" r:id="rId1532"/>
    <hyperlink xmlns:r="http://schemas.openxmlformats.org/officeDocument/2006/relationships" ref="J155" r:id="rId1533"/>
    <hyperlink xmlns:r="http://schemas.openxmlformats.org/officeDocument/2006/relationships" ref="L155" r:id="rId1534"/>
    <hyperlink xmlns:r="http://schemas.openxmlformats.org/officeDocument/2006/relationships" ref="N155" r:id="rId1535"/>
    <hyperlink xmlns:r="http://schemas.openxmlformats.org/officeDocument/2006/relationships" ref="P155" r:id="rId1536"/>
    <hyperlink xmlns:r="http://schemas.openxmlformats.org/officeDocument/2006/relationships" ref="R155" r:id="rId1537"/>
    <hyperlink xmlns:r="http://schemas.openxmlformats.org/officeDocument/2006/relationships" ref="T155" r:id="rId1538"/>
    <hyperlink xmlns:r="http://schemas.openxmlformats.org/officeDocument/2006/relationships" ref="V155" r:id="rId1539"/>
    <hyperlink xmlns:r="http://schemas.openxmlformats.org/officeDocument/2006/relationships" ref="X155" r:id="rId1540"/>
    <hyperlink xmlns:r="http://schemas.openxmlformats.org/officeDocument/2006/relationships" ref="F156" r:id="rId1541"/>
    <hyperlink xmlns:r="http://schemas.openxmlformats.org/officeDocument/2006/relationships" ref="H156" r:id="rId1542"/>
    <hyperlink xmlns:r="http://schemas.openxmlformats.org/officeDocument/2006/relationships" ref="J156" r:id="rId1543"/>
    <hyperlink xmlns:r="http://schemas.openxmlformats.org/officeDocument/2006/relationships" ref="L156" r:id="rId1544"/>
    <hyperlink xmlns:r="http://schemas.openxmlformats.org/officeDocument/2006/relationships" ref="N156" r:id="rId1545"/>
    <hyperlink xmlns:r="http://schemas.openxmlformats.org/officeDocument/2006/relationships" ref="P156" r:id="rId1546"/>
    <hyperlink xmlns:r="http://schemas.openxmlformats.org/officeDocument/2006/relationships" ref="R156" r:id="rId1547"/>
    <hyperlink xmlns:r="http://schemas.openxmlformats.org/officeDocument/2006/relationships" ref="T156" r:id="rId1548"/>
    <hyperlink xmlns:r="http://schemas.openxmlformats.org/officeDocument/2006/relationships" ref="V156" r:id="rId1549"/>
    <hyperlink xmlns:r="http://schemas.openxmlformats.org/officeDocument/2006/relationships" ref="X156" r:id="rId1550"/>
    <hyperlink xmlns:r="http://schemas.openxmlformats.org/officeDocument/2006/relationships" ref="F157" r:id="rId1551"/>
    <hyperlink xmlns:r="http://schemas.openxmlformats.org/officeDocument/2006/relationships" ref="H157" r:id="rId1552"/>
    <hyperlink xmlns:r="http://schemas.openxmlformats.org/officeDocument/2006/relationships" ref="J157" r:id="rId1553"/>
    <hyperlink xmlns:r="http://schemas.openxmlformats.org/officeDocument/2006/relationships" ref="L157" r:id="rId1554"/>
    <hyperlink xmlns:r="http://schemas.openxmlformats.org/officeDocument/2006/relationships" ref="N157" r:id="rId1555"/>
    <hyperlink xmlns:r="http://schemas.openxmlformats.org/officeDocument/2006/relationships" ref="P157" r:id="rId1556"/>
    <hyperlink xmlns:r="http://schemas.openxmlformats.org/officeDocument/2006/relationships" ref="R157" r:id="rId1557"/>
    <hyperlink xmlns:r="http://schemas.openxmlformats.org/officeDocument/2006/relationships" ref="T157" r:id="rId1558"/>
    <hyperlink xmlns:r="http://schemas.openxmlformats.org/officeDocument/2006/relationships" ref="V157" r:id="rId1559"/>
    <hyperlink xmlns:r="http://schemas.openxmlformats.org/officeDocument/2006/relationships" ref="X157" r:id="rId1560"/>
    <hyperlink xmlns:r="http://schemas.openxmlformats.org/officeDocument/2006/relationships" ref="F158" r:id="rId1561"/>
    <hyperlink xmlns:r="http://schemas.openxmlformats.org/officeDocument/2006/relationships" ref="H158" r:id="rId1562"/>
    <hyperlink xmlns:r="http://schemas.openxmlformats.org/officeDocument/2006/relationships" ref="J158" r:id="rId1563"/>
    <hyperlink xmlns:r="http://schemas.openxmlformats.org/officeDocument/2006/relationships" ref="L158" r:id="rId1564"/>
    <hyperlink xmlns:r="http://schemas.openxmlformats.org/officeDocument/2006/relationships" ref="N158" r:id="rId1565"/>
    <hyperlink xmlns:r="http://schemas.openxmlformats.org/officeDocument/2006/relationships" ref="P158" r:id="rId1566"/>
    <hyperlink xmlns:r="http://schemas.openxmlformats.org/officeDocument/2006/relationships" ref="R158" r:id="rId1567"/>
    <hyperlink xmlns:r="http://schemas.openxmlformats.org/officeDocument/2006/relationships" ref="T158" r:id="rId1568"/>
    <hyperlink xmlns:r="http://schemas.openxmlformats.org/officeDocument/2006/relationships" ref="V158" r:id="rId1569"/>
    <hyperlink xmlns:r="http://schemas.openxmlformats.org/officeDocument/2006/relationships" ref="X158" r:id="rId1570"/>
    <hyperlink xmlns:r="http://schemas.openxmlformats.org/officeDocument/2006/relationships" ref="F159" r:id="rId1571"/>
    <hyperlink xmlns:r="http://schemas.openxmlformats.org/officeDocument/2006/relationships" ref="H159" r:id="rId1572"/>
    <hyperlink xmlns:r="http://schemas.openxmlformats.org/officeDocument/2006/relationships" ref="J159" r:id="rId1573"/>
    <hyperlink xmlns:r="http://schemas.openxmlformats.org/officeDocument/2006/relationships" ref="L159" r:id="rId1574"/>
    <hyperlink xmlns:r="http://schemas.openxmlformats.org/officeDocument/2006/relationships" ref="N159" r:id="rId1575"/>
    <hyperlink xmlns:r="http://schemas.openxmlformats.org/officeDocument/2006/relationships" ref="P159" r:id="rId1576"/>
    <hyperlink xmlns:r="http://schemas.openxmlformats.org/officeDocument/2006/relationships" ref="R159" r:id="rId1577"/>
    <hyperlink xmlns:r="http://schemas.openxmlformats.org/officeDocument/2006/relationships" ref="T159" r:id="rId1578"/>
    <hyperlink xmlns:r="http://schemas.openxmlformats.org/officeDocument/2006/relationships" ref="V159" r:id="rId1579"/>
    <hyperlink xmlns:r="http://schemas.openxmlformats.org/officeDocument/2006/relationships" ref="X159" r:id="rId1580"/>
    <hyperlink xmlns:r="http://schemas.openxmlformats.org/officeDocument/2006/relationships" ref="F160" r:id="rId1581"/>
    <hyperlink xmlns:r="http://schemas.openxmlformats.org/officeDocument/2006/relationships" ref="H160" r:id="rId1582"/>
    <hyperlink xmlns:r="http://schemas.openxmlformats.org/officeDocument/2006/relationships" ref="J160" r:id="rId1583"/>
    <hyperlink xmlns:r="http://schemas.openxmlformats.org/officeDocument/2006/relationships" ref="L160" r:id="rId1584"/>
    <hyperlink xmlns:r="http://schemas.openxmlformats.org/officeDocument/2006/relationships" ref="N160" r:id="rId1585"/>
    <hyperlink xmlns:r="http://schemas.openxmlformats.org/officeDocument/2006/relationships" ref="P160" r:id="rId1586"/>
    <hyperlink xmlns:r="http://schemas.openxmlformats.org/officeDocument/2006/relationships" ref="R160" r:id="rId1587"/>
    <hyperlink xmlns:r="http://schemas.openxmlformats.org/officeDocument/2006/relationships" ref="T160" r:id="rId1588"/>
    <hyperlink xmlns:r="http://schemas.openxmlformats.org/officeDocument/2006/relationships" ref="V160" r:id="rId1589"/>
    <hyperlink xmlns:r="http://schemas.openxmlformats.org/officeDocument/2006/relationships" ref="X160" r:id="rId1590"/>
    <hyperlink xmlns:r="http://schemas.openxmlformats.org/officeDocument/2006/relationships" ref="F161" r:id="rId1591"/>
    <hyperlink xmlns:r="http://schemas.openxmlformats.org/officeDocument/2006/relationships" ref="H161" r:id="rId1592"/>
    <hyperlink xmlns:r="http://schemas.openxmlformats.org/officeDocument/2006/relationships" ref="J161" r:id="rId1593"/>
    <hyperlink xmlns:r="http://schemas.openxmlformats.org/officeDocument/2006/relationships" ref="L161" r:id="rId1594"/>
    <hyperlink xmlns:r="http://schemas.openxmlformats.org/officeDocument/2006/relationships" ref="N161" r:id="rId1595"/>
    <hyperlink xmlns:r="http://schemas.openxmlformats.org/officeDocument/2006/relationships" ref="P161" r:id="rId1596"/>
    <hyperlink xmlns:r="http://schemas.openxmlformats.org/officeDocument/2006/relationships" ref="R161" r:id="rId1597"/>
    <hyperlink xmlns:r="http://schemas.openxmlformats.org/officeDocument/2006/relationships" ref="T161" r:id="rId1598"/>
    <hyperlink xmlns:r="http://schemas.openxmlformats.org/officeDocument/2006/relationships" ref="V161" r:id="rId1599"/>
    <hyperlink xmlns:r="http://schemas.openxmlformats.org/officeDocument/2006/relationships" ref="X161" r:id="rId1600"/>
    <hyperlink xmlns:r="http://schemas.openxmlformats.org/officeDocument/2006/relationships" ref="F162" r:id="rId1601"/>
    <hyperlink xmlns:r="http://schemas.openxmlformats.org/officeDocument/2006/relationships" ref="H162" r:id="rId1602"/>
    <hyperlink xmlns:r="http://schemas.openxmlformats.org/officeDocument/2006/relationships" ref="J162" r:id="rId1603"/>
    <hyperlink xmlns:r="http://schemas.openxmlformats.org/officeDocument/2006/relationships" ref="L162" r:id="rId1604"/>
    <hyperlink xmlns:r="http://schemas.openxmlformats.org/officeDocument/2006/relationships" ref="N162" r:id="rId1605"/>
    <hyperlink xmlns:r="http://schemas.openxmlformats.org/officeDocument/2006/relationships" ref="P162" r:id="rId1606"/>
    <hyperlink xmlns:r="http://schemas.openxmlformats.org/officeDocument/2006/relationships" ref="R162" r:id="rId1607"/>
    <hyperlink xmlns:r="http://schemas.openxmlformats.org/officeDocument/2006/relationships" ref="T162" r:id="rId1608"/>
    <hyperlink xmlns:r="http://schemas.openxmlformats.org/officeDocument/2006/relationships" ref="V162" r:id="rId1609"/>
    <hyperlink xmlns:r="http://schemas.openxmlformats.org/officeDocument/2006/relationships" ref="X162" r:id="rId1610"/>
    <hyperlink xmlns:r="http://schemas.openxmlformats.org/officeDocument/2006/relationships" ref="F163" r:id="rId1611"/>
    <hyperlink xmlns:r="http://schemas.openxmlformats.org/officeDocument/2006/relationships" ref="H163" r:id="rId1612"/>
    <hyperlink xmlns:r="http://schemas.openxmlformats.org/officeDocument/2006/relationships" ref="J163" r:id="rId1613"/>
    <hyperlink xmlns:r="http://schemas.openxmlformats.org/officeDocument/2006/relationships" ref="L163" r:id="rId1614"/>
    <hyperlink xmlns:r="http://schemas.openxmlformats.org/officeDocument/2006/relationships" ref="N163" r:id="rId1615"/>
    <hyperlink xmlns:r="http://schemas.openxmlformats.org/officeDocument/2006/relationships" ref="P163" r:id="rId1616"/>
    <hyperlink xmlns:r="http://schemas.openxmlformats.org/officeDocument/2006/relationships" ref="R163" r:id="rId1617"/>
    <hyperlink xmlns:r="http://schemas.openxmlformats.org/officeDocument/2006/relationships" ref="T163" r:id="rId1618"/>
    <hyperlink xmlns:r="http://schemas.openxmlformats.org/officeDocument/2006/relationships" ref="V163" r:id="rId1619"/>
    <hyperlink xmlns:r="http://schemas.openxmlformats.org/officeDocument/2006/relationships" ref="X163" r:id="rId1620"/>
    <hyperlink xmlns:r="http://schemas.openxmlformats.org/officeDocument/2006/relationships" ref="F164" r:id="rId1621"/>
    <hyperlink xmlns:r="http://schemas.openxmlformats.org/officeDocument/2006/relationships" ref="H164" r:id="rId1622"/>
    <hyperlink xmlns:r="http://schemas.openxmlformats.org/officeDocument/2006/relationships" ref="J164" r:id="rId1623"/>
    <hyperlink xmlns:r="http://schemas.openxmlformats.org/officeDocument/2006/relationships" ref="L164" r:id="rId1624"/>
    <hyperlink xmlns:r="http://schemas.openxmlformats.org/officeDocument/2006/relationships" ref="N164" r:id="rId1625"/>
    <hyperlink xmlns:r="http://schemas.openxmlformats.org/officeDocument/2006/relationships" ref="P164" r:id="rId1626"/>
    <hyperlink xmlns:r="http://schemas.openxmlformats.org/officeDocument/2006/relationships" ref="R164" r:id="rId1627"/>
    <hyperlink xmlns:r="http://schemas.openxmlformats.org/officeDocument/2006/relationships" ref="T164" r:id="rId1628"/>
    <hyperlink xmlns:r="http://schemas.openxmlformats.org/officeDocument/2006/relationships" ref="V164" r:id="rId1629"/>
    <hyperlink xmlns:r="http://schemas.openxmlformats.org/officeDocument/2006/relationships" ref="X164" r:id="rId1630"/>
    <hyperlink xmlns:r="http://schemas.openxmlformats.org/officeDocument/2006/relationships" ref="F165" r:id="rId1631"/>
    <hyperlink xmlns:r="http://schemas.openxmlformats.org/officeDocument/2006/relationships" ref="H165" r:id="rId1632"/>
    <hyperlink xmlns:r="http://schemas.openxmlformats.org/officeDocument/2006/relationships" ref="J165" r:id="rId1633"/>
    <hyperlink xmlns:r="http://schemas.openxmlformats.org/officeDocument/2006/relationships" ref="L165" r:id="rId1634"/>
    <hyperlink xmlns:r="http://schemas.openxmlformats.org/officeDocument/2006/relationships" ref="N165" r:id="rId1635"/>
    <hyperlink xmlns:r="http://schemas.openxmlformats.org/officeDocument/2006/relationships" ref="P165" r:id="rId1636"/>
    <hyperlink xmlns:r="http://schemas.openxmlformats.org/officeDocument/2006/relationships" ref="R165" r:id="rId1637"/>
    <hyperlink xmlns:r="http://schemas.openxmlformats.org/officeDocument/2006/relationships" ref="T165" r:id="rId1638"/>
    <hyperlink xmlns:r="http://schemas.openxmlformats.org/officeDocument/2006/relationships" ref="V165" r:id="rId1639"/>
    <hyperlink xmlns:r="http://schemas.openxmlformats.org/officeDocument/2006/relationships" ref="X165" r:id="rId1640"/>
    <hyperlink xmlns:r="http://schemas.openxmlformats.org/officeDocument/2006/relationships" ref="F166" r:id="rId1641"/>
    <hyperlink xmlns:r="http://schemas.openxmlformats.org/officeDocument/2006/relationships" ref="H166" r:id="rId1642"/>
    <hyperlink xmlns:r="http://schemas.openxmlformats.org/officeDocument/2006/relationships" ref="J166" r:id="rId1643"/>
    <hyperlink xmlns:r="http://schemas.openxmlformats.org/officeDocument/2006/relationships" ref="L166" r:id="rId1644"/>
    <hyperlink xmlns:r="http://schemas.openxmlformats.org/officeDocument/2006/relationships" ref="N166" r:id="rId1645"/>
    <hyperlink xmlns:r="http://schemas.openxmlformats.org/officeDocument/2006/relationships" ref="P166" r:id="rId1646"/>
    <hyperlink xmlns:r="http://schemas.openxmlformats.org/officeDocument/2006/relationships" ref="R166" r:id="rId1647"/>
    <hyperlink xmlns:r="http://schemas.openxmlformats.org/officeDocument/2006/relationships" ref="T166" r:id="rId1648"/>
    <hyperlink xmlns:r="http://schemas.openxmlformats.org/officeDocument/2006/relationships" ref="V166" r:id="rId1649"/>
    <hyperlink xmlns:r="http://schemas.openxmlformats.org/officeDocument/2006/relationships" ref="X166" r:id="rId1650"/>
    <hyperlink xmlns:r="http://schemas.openxmlformats.org/officeDocument/2006/relationships" ref="F167" r:id="rId1651"/>
    <hyperlink xmlns:r="http://schemas.openxmlformats.org/officeDocument/2006/relationships" ref="H167" r:id="rId1652"/>
    <hyperlink xmlns:r="http://schemas.openxmlformats.org/officeDocument/2006/relationships" ref="J167" r:id="rId1653"/>
    <hyperlink xmlns:r="http://schemas.openxmlformats.org/officeDocument/2006/relationships" ref="L167" r:id="rId1654"/>
    <hyperlink xmlns:r="http://schemas.openxmlformats.org/officeDocument/2006/relationships" ref="N167" r:id="rId1655"/>
    <hyperlink xmlns:r="http://schemas.openxmlformats.org/officeDocument/2006/relationships" ref="P167" r:id="rId1656"/>
    <hyperlink xmlns:r="http://schemas.openxmlformats.org/officeDocument/2006/relationships" ref="R167" r:id="rId1657"/>
    <hyperlink xmlns:r="http://schemas.openxmlformats.org/officeDocument/2006/relationships" ref="T167" r:id="rId1658"/>
    <hyperlink xmlns:r="http://schemas.openxmlformats.org/officeDocument/2006/relationships" ref="V167" r:id="rId1659"/>
    <hyperlink xmlns:r="http://schemas.openxmlformats.org/officeDocument/2006/relationships" ref="X167" r:id="rId1660"/>
    <hyperlink xmlns:r="http://schemas.openxmlformats.org/officeDocument/2006/relationships" ref="F168" r:id="rId1661"/>
    <hyperlink xmlns:r="http://schemas.openxmlformats.org/officeDocument/2006/relationships" ref="H168" r:id="rId1662"/>
    <hyperlink xmlns:r="http://schemas.openxmlformats.org/officeDocument/2006/relationships" ref="J168" r:id="rId1663"/>
    <hyperlink xmlns:r="http://schemas.openxmlformats.org/officeDocument/2006/relationships" ref="L168" r:id="rId1664"/>
    <hyperlink xmlns:r="http://schemas.openxmlformats.org/officeDocument/2006/relationships" ref="N168" r:id="rId1665"/>
    <hyperlink xmlns:r="http://schemas.openxmlformats.org/officeDocument/2006/relationships" ref="P168" r:id="rId1666"/>
    <hyperlink xmlns:r="http://schemas.openxmlformats.org/officeDocument/2006/relationships" ref="R168" r:id="rId1667"/>
    <hyperlink xmlns:r="http://schemas.openxmlformats.org/officeDocument/2006/relationships" ref="T168" r:id="rId1668"/>
    <hyperlink xmlns:r="http://schemas.openxmlformats.org/officeDocument/2006/relationships" ref="V168" r:id="rId1669"/>
    <hyperlink xmlns:r="http://schemas.openxmlformats.org/officeDocument/2006/relationships" ref="X168" r:id="rId1670"/>
    <hyperlink xmlns:r="http://schemas.openxmlformats.org/officeDocument/2006/relationships" ref="F169" r:id="rId1671"/>
    <hyperlink xmlns:r="http://schemas.openxmlformats.org/officeDocument/2006/relationships" ref="H169" r:id="rId1672"/>
    <hyperlink xmlns:r="http://schemas.openxmlformats.org/officeDocument/2006/relationships" ref="J169" r:id="rId1673"/>
    <hyperlink xmlns:r="http://schemas.openxmlformats.org/officeDocument/2006/relationships" ref="L169" r:id="rId1674"/>
    <hyperlink xmlns:r="http://schemas.openxmlformats.org/officeDocument/2006/relationships" ref="N169" r:id="rId1675"/>
    <hyperlink xmlns:r="http://schemas.openxmlformats.org/officeDocument/2006/relationships" ref="P169" r:id="rId1676"/>
    <hyperlink xmlns:r="http://schemas.openxmlformats.org/officeDocument/2006/relationships" ref="R169" r:id="rId1677"/>
    <hyperlink xmlns:r="http://schemas.openxmlformats.org/officeDocument/2006/relationships" ref="T169" r:id="rId1678"/>
    <hyperlink xmlns:r="http://schemas.openxmlformats.org/officeDocument/2006/relationships" ref="V169" r:id="rId1679"/>
    <hyperlink xmlns:r="http://schemas.openxmlformats.org/officeDocument/2006/relationships" ref="X169" r:id="rId1680"/>
    <hyperlink xmlns:r="http://schemas.openxmlformats.org/officeDocument/2006/relationships" ref="F170" r:id="rId1681"/>
    <hyperlink xmlns:r="http://schemas.openxmlformats.org/officeDocument/2006/relationships" ref="H170" r:id="rId1682"/>
    <hyperlink xmlns:r="http://schemas.openxmlformats.org/officeDocument/2006/relationships" ref="J170" r:id="rId1683"/>
    <hyperlink xmlns:r="http://schemas.openxmlformats.org/officeDocument/2006/relationships" ref="L170" r:id="rId1684"/>
    <hyperlink xmlns:r="http://schemas.openxmlformats.org/officeDocument/2006/relationships" ref="N170" r:id="rId1685"/>
    <hyperlink xmlns:r="http://schemas.openxmlformats.org/officeDocument/2006/relationships" ref="P170" r:id="rId1686"/>
    <hyperlink xmlns:r="http://schemas.openxmlformats.org/officeDocument/2006/relationships" ref="R170" r:id="rId1687"/>
    <hyperlink xmlns:r="http://schemas.openxmlformats.org/officeDocument/2006/relationships" ref="T170" r:id="rId1688"/>
    <hyperlink xmlns:r="http://schemas.openxmlformats.org/officeDocument/2006/relationships" ref="V170" r:id="rId1689"/>
    <hyperlink xmlns:r="http://schemas.openxmlformats.org/officeDocument/2006/relationships" ref="X170" r:id="rId1690"/>
    <hyperlink xmlns:r="http://schemas.openxmlformats.org/officeDocument/2006/relationships" ref="F171" r:id="rId1691"/>
    <hyperlink xmlns:r="http://schemas.openxmlformats.org/officeDocument/2006/relationships" ref="H171" r:id="rId1692"/>
    <hyperlink xmlns:r="http://schemas.openxmlformats.org/officeDocument/2006/relationships" ref="J171" r:id="rId1693"/>
    <hyperlink xmlns:r="http://schemas.openxmlformats.org/officeDocument/2006/relationships" ref="L171" r:id="rId1694"/>
    <hyperlink xmlns:r="http://schemas.openxmlformats.org/officeDocument/2006/relationships" ref="N171" r:id="rId1695"/>
    <hyperlink xmlns:r="http://schemas.openxmlformats.org/officeDocument/2006/relationships" ref="P171" r:id="rId1696"/>
    <hyperlink xmlns:r="http://schemas.openxmlformats.org/officeDocument/2006/relationships" ref="R171" r:id="rId1697"/>
    <hyperlink xmlns:r="http://schemas.openxmlformats.org/officeDocument/2006/relationships" ref="T171" r:id="rId1698"/>
    <hyperlink xmlns:r="http://schemas.openxmlformats.org/officeDocument/2006/relationships" ref="V171" r:id="rId1699"/>
    <hyperlink xmlns:r="http://schemas.openxmlformats.org/officeDocument/2006/relationships" ref="X171" r:id="rId1700"/>
    <hyperlink xmlns:r="http://schemas.openxmlformats.org/officeDocument/2006/relationships" ref="F172" r:id="rId1701"/>
    <hyperlink xmlns:r="http://schemas.openxmlformats.org/officeDocument/2006/relationships" ref="H172" r:id="rId1702"/>
    <hyperlink xmlns:r="http://schemas.openxmlformats.org/officeDocument/2006/relationships" ref="J172" r:id="rId1703"/>
    <hyperlink xmlns:r="http://schemas.openxmlformats.org/officeDocument/2006/relationships" ref="L172" r:id="rId1704"/>
    <hyperlink xmlns:r="http://schemas.openxmlformats.org/officeDocument/2006/relationships" ref="N172" r:id="rId1705"/>
    <hyperlink xmlns:r="http://schemas.openxmlformats.org/officeDocument/2006/relationships" ref="P172" r:id="rId1706"/>
    <hyperlink xmlns:r="http://schemas.openxmlformats.org/officeDocument/2006/relationships" ref="R172" r:id="rId1707"/>
    <hyperlink xmlns:r="http://schemas.openxmlformats.org/officeDocument/2006/relationships" ref="T172" r:id="rId1708"/>
    <hyperlink xmlns:r="http://schemas.openxmlformats.org/officeDocument/2006/relationships" ref="V172" r:id="rId1709"/>
    <hyperlink xmlns:r="http://schemas.openxmlformats.org/officeDocument/2006/relationships" ref="X172" r:id="rId1710"/>
    <hyperlink xmlns:r="http://schemas.openxmlformats.org/officeDocument/2006/relationships" ref="F173" r:id="rId1711"/>
    <hyperlink xmlns:r="http://schemas.openxmlformats.org/officeDocument/2006/relationships" ref="H173" r:id="rId1712"/>
    <hyperlink xmlns:r="http://schemas.openxmlformats.org/officeDocument/2006/relationships" ref="J173" r:id="rId1713"/>
    <hyperlink xmlns:r="http://schemas.openxmlformats.org/officeDocument/2006/relationships" ref="L173" r:id="rId1714"/>
    <hyperlink xmlns:r="http://schemas.openxmlformats.org/officeDocument/2006/relationships" ref="N173" r:id="rId1715"/>
    <hyperlink xmlns:r="http://schemas.openxmlformats.org/officeDocument/2006/relationships" ref="P173" r:id="rId1716"/>
    <hyperlink xmlns:r="http://schemas.openxmlformats.org/officeDocument/2006/relationships" ref="R173" r:id="rId1717"/>
    <hyperlink xmlns:r="http://schemas.openxmlformats.org/officeDocument/2006/relationships" ref="T173" r:id="rId1718"/>
    <hyperlink xmlns:r="http://schemas.openxmlformats.org/officeDocument/2006/relationships" ref="V173" r:id="rId1719"/>
    <hyperlink xmlns:r="http://schemas.openxmlformats.org/officeDocument/2006/relationships" ref="X173" r:id="rId1720"/>
    <hyperlink xmlns:r="http://schemas.openxmlformats.org/officeDocument/2006/relationships" ref="F174" r:id="rId1721"/>
    <hyperlink xmlns:r="http://schemas.openxmlformats.org/officeDocument/2006/relationships" ref="H174" r:id="rId1722"/>
    <hyperlink xmlns:r="http://schemas.openxmlformats.org/officeDocument/2006/relationships" ref="J174" r:id="rId1723"/>
    <hyperlink xmlns:r="http://schemas.openxmlformats.org/officeDocument/2006/relationships" ref="L174" r:id="rId1724"/>
    <hyperlink xmlns:r="http://schemas.openxmlformats.org/officeDocument/2006/relationships" ref="N174" r:id="rId1725"/>
    <hyperlink xmlns:r="http://schemas.openxmlformats.org/officeDocument/2006/relationships" ref="P174" r:id="rId1726"/>
    <hyperlink xmlns:r="http://schemas.openxmlformats.org/officeDocument/2006/relationships" ref="R174" r:id="rId1727"/>
    <hyperlink xmlns:r="http://schemas.openxmlformats.org/officeDocument/2006/relationships" ref="T174" r:id="rId1728"/>
    <hyperlink xmlns:r="http://schemas.openxmlformats.org/officeDocument/2006/relationships" ref="V174" r:id="rId1729"/>
    <hyperlink xmlns:r="http://schemas.openxmlformats.org/officeDocument/2006/relationships" ref="X174" r:id="rId1730"/>
    <hyperlink xmlns:r="http://schemas.openxmlformats.org/officeDocument/2006/relationships" ref="F175" r:id="rId1731"/>
    <hyperlink xmlns:r="http://schemas.openxmlformats.org/officeDocument/2006/relationships" ref="H175" r:id="rId1732"/>
    <hyperlink xmlns:r="http://schemas.openxmlformats.org/officeDocument/2006/relationships" ref="J175" r:id="rId1733"/>
    <hyperlink xmlns:r="http://schemas.openxmlformats.org/officeDocument/2006/relationships" ref="L175" r:id="rId1734"/>
    <hyperlink xmlns:r="http://schemas.openxmlformats.org/officeDocument/2006/relationships" ref="N175" r:id="rId1735"/>
    <hyperlink xmlns:r="http://schemas.openxmlformats.org/officeDocument/2006/relationships" ref="P175" r:id="rId1736"/>
    <hyperlink xmlns:r="http://schemas.openxmlformats.org/officeDocument/2006/relationships" ref="R175" r:id="rId1737"/>
    <hyperlink xmlns:r="http://schemas.openxmlformats.org/officeDocument/2006/relationships" ref="T175" r:id="rId1738"/>
    <hyperlink xmlns:r="http://schemas.openxmlformats.org/officeDocument/2006/relationships" ref="V175" r:id="rId1739"/>
    <hyperlink xmlns:r="http://schemas.openxmlformats.org/officeDocument/2006/relationships" ref="X175" r:id="rId1740"/>
    <hyperlink xmlns:r="http://schemas.openxmlformats.org/officeDocument/2006/relationships" ref="F176" r:id="rId1741"/>
    <hyperlink xmlns:r="http://schemas.openxmlformats.org/officeDocument/2006/relationships" ref="H176" r:id="rId1742"/>
    <hyperlink xmlns:r="http://schemas.openxmlformats.org/officeDocument/2006/relationships" ref="J176" r:id="rId1743"/>
    <hyperlink xmlns:r="http://schemas.openxmlformats.org/officeDocument/2006/relationships" ref="L176" r:id="rId1744"/>
    <hyperlink xmlns:r="http://schemas.openxmlformats.org/officeDocument/2006/relationships" ref="N176" r:id="rId1745"/>
    <hyperlink xmlns:r="http://schemas.openxmlformats.org/officeDocument/2006/relationships" ref="P176" r:id="rId1746"/>
    <hyperlink xmlns:r="http://schemas.openxmlformats.org/officeDocument/2006/relationships" ref="R176" r:id="rId1747"/>
    <hyperlink xmlns:r="http://schemas.openxmlformats.org/officeDocument/2006/relationships" ref="T176" r:id="rId1748"/>
    <hyperlink xmlns:r="http://schemas.openxmlformats.org/officeDocument/2006/relationships" ref="V176" r:id="rId1749"/>
    <hyperlink xmlns:r="http://schemas.openxmlformats.org/officeDocument/2006/relationships" ref="X176" r:id="rId1750"/>
    <hyperlink xmlns:r="http://schemas.openxmlformats.org/officeDocument/2006/relationships" ref="F177" r:id="rId1751"/>
    <hyperlink xmlns:r="http://schemas.openxmlformats.org/officeDocument/2006/relationships" ref="H177" r:id="rId1752"/>
    <hyperlink xmlns:r="http://schemas.openxmlformats.org/officeDocument/2006/relationships" ref="J177" r:id="rId1753"/>
    <hyperlink xmlns:r="http://schemas.openxmlformats.org/officeDocument/2006/relationships" ref="L177" r:id="rId1754"/>
    <hyperlink xmlns:r="http://schemas.openxmlformats.org/officeDocument/2006/relationships" ref="N177" r:id="rId1755"/>
    <hyperlink xmlns:r="http://schemas.openxmlformats.org/officeDocument/2006/relationships" ref="P177" r:id="rId1756"/>
    <hyperlink xmlns:r="http://schemas.openxmlformats.org/officeDocument/2006/relationships" ref="R177" r:id="rId1757"/>
    <hyperlink xmlns:r="http://schemas.openxmlformats.org/officeDocument/2006/relationships" ref="T177" r:id="rId1758"/>
    <hyperlink xmlns:r="http://schemas.openxmlformats.org/officeDocument/2006/relationships" ref="V177" r:id="rId1759"/>
    <hyperlink xmlns:r="http://schemas.openxmlformats.org/officeDocument/2006/relationships" ref="X177" r:id="rId1760"/>
    <hyperlink xmlns:r="http://schemas.openxmlformats.org/officeDocument/2006/relationships" ref="F178" r:id="rId1761"/>
    <hyperlink xmlns:r="http://schemas.openxmlformats.org/officeDocument/2006/relationships" ref="H178" r:id="rId1762"/>
    <hyperlink xmlns:r="http://schemas.openxmlformats.org/officeDocument/2006/relationships" ref="J178" r:id="rId1763"/>
    <hyperlink xmlns:r="http://schemas.openxmlformats.org/officeDocument/2006/relationships" ref="L178" r:id="rId1764"/>
    <hyperlink xmlns:r="http://schemas.openxmlformats.org/officeDocument/2006/relationships" ref="N178" r:id="rId1765"/>
    <hyperlink xmlns:r="http://schemas.openxmlformats.org/officeDocument/2006/relationships" ref="P178" r:id="rId1766"/>
    <hyperlink xmlns:r="http://schemas.openxmlformats.org/officeDocument/2006/relationships" ref="R178" r:id="rId1767"/>
    <hyperlink xmlns:r="http://schemas.openxmlformats.org/officeDocument/2006/relationships" ref="T178" r:id="rId1768"/>
    <hyperlink xmlns:r="http://schemas.openxmlformats.org/officeDocument/2006/relationships" ref="V178" r:id="rId1769"/>
    <hyperlink xmlns:r="http://schemas.openxmlformats.org/officeDocument/2006/relationships" ref="X178" r:id="rId1770"/>
    <hyperlink xmlns:r="http://schemas.openxmlformats.org/officeDocument/2006/relationships" ref="F179" r:id="rId1771"/>
    <hyperlink xmlns:r="http://schemas.openxmlformats.org/officeDocument/2006/relationships" ref="H179" r:id="rId1772"/>
    <hyperlink xmlns:r="http://schemas.openxmlformats.org/officeDocument/2006/relationships" ref="J179" r:id="rId1773"/>
    <hyperlink xmlns:r="http://schemas.openxmlformats.org/officeDocument/2006/relationships" ref="L179" r:id="rId1774"/>
    <hyperlink xmlns:r="http://schemas.openxmlformats.org/officeDocument/2006/relationships" ref="N179" r:id="rId1775"/>
    <hyperlink xmlns:r="http://schemas.openxmlformats.org/officeDocument/2006/relationships" ref="P179" r:id="rId1776"/>
    <hyperlink xmlns:r="http://schemas.openxmlformats.org/officeDocument/2006/relationships" ref="R179" r:id="rId1777"/>
    <hyperlink xmlns:r="http://schemas.openxmlformats.org/officeDocument/2006/relationships" ref="T179" r:id="rId1778"/>
    <hyperlink xmlns:r="http://schemas.openxmlformats.org/officeDocument/2006/relationships" ref="V179" r:id="rId1779"/>
    <hyperlink xmlns:r="http://schemas.openxmlformats.org/officeDocument/2006/relationships" ref="X179" r:id="rId1780"/>
    <hyperlink xmlns:r="http://schemas.openxmlformats.org/officeDocument/2006/relationships" ref="F180" r:id="rId1781"/>
    <hyperlink xmlns:r="http://schemas.openxmlformats.org/officeDocument/2006/relationships" ref="H180" r:id="rId1782"/>
    <hyperlink xmlns:r="http://schemas.openxmlformats.org/officeDocument/2006/relationships" ref="J180" r:id="rId1783"/>
    <hyperlink xmlns:r="http://schemas.openxmlformats.org/officeDocument/2006/relationships" ref="L180" r:id="rId1784"/>
    <hyperlink xmlns:r="http://schemas.openxmlformats.org/officeDocument/2006/relationships" ref="N180" r:id="rId1785"/>
    <hyperlink xmlns:r="http://schemas.openxmlformats.org/officeDocument/2006/relationships" ref="P180" r:id="rId1786"/>
    <hyperlink xmlns:r="http://schemas.openxmlformats.org/officeDocument/2006/relationships" ref="R180" r:id="rId1787"/>
    <hyperlink xmlns:r="http://schemas.openxmlformats.org/officeDocument/2006/relationships" ref="T180" r:id="rId1788"/>
    <hyperlink xmlns:r="http://schemas.openxmlformats.org/officeDocument/2006/relationships" ref="V180" r:id="rId1789"/>
    <hyperlink xmlns:r="http://schemas.openxmlformats.org/officeDocument/2006/relationships" ref="X180" r:id="rId1790"/>
    <hyperlink xmlns:r="http://schemas.openxmlformats.org/officeDocument/2006/relationships" ref="F181" r:id="rId1791"/>
    <hyperlink xmlns:r="http://schemas.openxmlformats.org/officeDocument/2006/relationships" ref="H181" r:id="rId1792"/>
    <hyperlink xmlns:r="http://schemas.openxmlformats.org/officeDocument/2006/relationships" ref="J181" r:id="rId1793"/>
    <hyperlink xmlns:r="http://schemas.openxmlformats.org/officeDocument/2006/relationships" ref="L181" r:id="rId1794"/>
    <hyperlink xmlns:r="http://schemas.openxmlformats.org/officeDocument/2006/relationships" ref="N181" r:id="rId1795"/>
    <hyperlink xmlns:r="http://schemas.openxmlformats.org/officeDocument/2006/relationships" ref="P181" r:id="rId1796"/>
    <hyperlink xmlns:r="http://schemas.openxmlformats.org/officeDocument/2006/relationships" ref="R181" r:id="rId1797"/>
    <hyperlink xmlns:r="http://schemas.openxmlformats.org/officeDocument/2006/relationships" ref="T181" r:id="rId1798"/>
    <hyperlink xmlns:r="http://schemas.openxmlformats.org/officeDocument/2006/relationships" ref="V181" r:id="rId1799"/>
    <hyperlink xmlns:r="http://schemas.openxmlformats.org/officeDocument/2006/relationships" ref="X181" r:id="rId1800"/>
    <hyperlink xmlns:r="http://schemas.openxmlformats.org/officeDocument/2006/relationships" ref="F182" r:id="rId1801"/>
    <hyperlink xmlns:r="http://schemas.openxmlformats.org/officeDocument/2006/relationships" ref="H182" r:id="rId1802"/>
    <hyperlink xmlns:r="http://schemas.openxmlformats.org/officeDocument/2006/relationships" ref="J182" r:id="rId1803"/>
    <hyperlink xmlns:r="http://schemas.openxmlformats.org/officeDocument/2006/relationships" ref="L182" r:id="rId1804"/>
    <hyperlink xmlns:r="http://schemas.openxmlformats.org/officeDocument/2006/relationships" ref="N182" r:id="rId1805"/>
    <hyperlink xmlns:r="http://schemas.openxmlformats.org/officeDocument/2006/relationships" ref="P182" r:id="rId1806"/>
    <hyperlink xmlns:r="http://schemas.openxmlformats.org/officeDocument/2006/relationships" ref="R182" r:id="rId1807"/>
    <hyperlink xmlns:r="http://schemas.openxmlformats.org/officeDocument/2006/relationships" ref="T182" r:id="rId1808"/>
    <hyperlink xmlns:r="http://schemas.openxmlformats.org/officeDocument/2006/relationships" ref="V182" r:id="rId1809"/>
    <hyperlink xmlns:r="http://schemas.openxmlformats.org/officeDocument/2006/relationships" ref="X182" r:id="rId1810"/>
    <hyperlink xmlns:r="http://schemas.openxmlformats.org/officeDocument/2006/relationships" ref="F183" r:id="rId1811"/>
    <hyperlink xmlns:r="http://schemas.openxmlformats.org/officeDocument/2006/relationships" ref="H183" r:id="rId1812"/>
    <hyperlink xmlns:r="http://schemas.openxmlformats.org/officeDocument/2006/relationships" ref="J183" r:id="rId1813"/>
    <hyperlink xmlns:r="http://schemas.openxmlformats.org/officeDocument/2006/relationships" ref="L183" r:id="rId1814"/>
    <hyperlink xmlns:r="http://schemas.openxmlformats.org/officeDocument/2006/relationships" ref="N183" r:id="rId1815"/>
    <hyperlink xmlns:r="http://schemas.openxmlformats.org/officeDocument/2006/relationships" ref="P183" r:id="rId1816"/>
    <hyperlink xmlns:r="http://schemas.openxmlformats.org/officeDocument/2006/relationships" ref="R183" r:id="rId1817"/>
    <hyperlink xmlns:r="http://schemas.openxmlformats.org/officeDocument/2006/relationships" ref="T183" r:id="rId1818"/>
    <hyperlink xmlns:r="http://schemas.openxmlformats.org/officeDocument/2006/relationships" ref="V183" r:id="rId1819"/>
    <hyperlink xmlns:r="http://schemas.openxmlformats.org/officeDocument/2006/relationships" ref="X183" r:id="rId1820"/>
    <hyperlink xmlns:r="http://schemas.openxmlformats.org/officeDocument/2006/relationships" ref="F184" r:id="rId1821"/>
    <hyperlink xmlns:r="http://schemas.openxmlformats.org/officeDocument/2006/relationships" ref="H184" r:id="rId1822"/>
    <hyperlink xmlns:r="http://schemas.openxmlformats.org/officeDocument/2006/relationships" ref="J184" r:id="rId1823"/>
    <hyperlink xmlns:r="http://schemas.openxmlformats.org/officeDocument/2006/relationships" ref="L184" r:id="rId1824"/>
    <hyperlink xmlns:r="http://schemas.openxmlformats.org/officeDocument/2006/relationships" ref="N184" r:id="rId1825"/>
    <hyperlink xmlns:r="http://schemas.openxmlformats.org/officeDocument/2006/relationships" ref="P184" r:id="rId1826"/>
    <hyperlink xmlns:r="http://schemas.openxmlformats.org/officeDocument/2006/relationships" ref="R184" r:id="rId1827"/>
    <hyperlink xmlns:r="http://schemas.openxmlformats.org/officeDocument/2006/relationships" ref="T184" r:id="rId1828"/>
    <hyperlink xmlns:r="http://schemas.openxmlformats.org/officeDocument/2006/relationships" ref="V184" r:id="rId1829"/>
    <hyperlink xmlns:r="http://schemas.openxmlformats.org/officeDocument/2006/relationships" ref="X184" r:id="rId1830"/>
    <hyperlink xmlns:r="http://schemas.openxmlformats.org/officeDocument/2006/relationships" ref="F185" r:id="rId1831"/>
    <hyperlink xmlns:r="http://schemas.openxmlformats.org/officeDocument/2006/relationships" ref="H185" r:id="rId1832"/>
    <hyperlink xmlns:r="http://schemas.openxmlformats.org/officeDocument/2006/relationships" ref="J185" r:id="rId1833"/>
    <hyperlink xmlns:r="http://schemas.openxmlformats.org/officeDocument/2006/relationships" ref="L185" r:id="rId1834"/>
    <hyperlink xmlns:r="http://schemas.openxmlformats.org/officeDocument/2006/relationships" ref="N185" r:id="rId1835"/>
    <hyperlink xmlns:r="http://schemas.openxmlformats.org/officeDocument/2006/relationships" ref="P185" r:id="rId1836"/>
    <hyperlink xmlns:r="http://schemas.openxmlformats.org/officeDocument/2006/relationships" ref="R185" r:id="rId1837"/>
    <hyperlink xmlns:r="http://schemas.openxmlformats.org/officeDocument/2006/relationships" ref="T185" r:id="rId1838"/>
    <hyperlink xmlns:r="http://schemas.openxmlformats.org/officeDocument/2006/relationships" ref="V185" r:id="rId1839"/>
    <hyperlink xmlns:r="http://schemas.openxmlformats.org/officeDocument/2006/relationships" ref="X185" r:id="rId1840"/>
    <hyperlink xmlns:r="http://schemas.openxmlformats.org/officeDocument/2006/relationships" ref="F186" r:id="rId1841"/>
    <hyperlink xmlns:r="http://schemas.openxmlformats.org/officeDocument/2006/relationships" ref="H186" r:id="rId1842"/>
    <hyperlink xmlns:r="http://schemas.openxmlformats.org/officeDocument/2006/relationships" ref="J186" r:id="rId1843"/>
    <hyperlink xmlns:r="http://schemas.openxmlformats.org/officeDocument/2006/relationships" ref="L186" r:id="rId1844"/>
    <hyperlink xmlns:r="http://schemas.openxmlformats.org/officeDocument/2006/relationships" ref="N186" r:id="rId1845"/>
    <hyperlink xmlns:r="http://schemas.openxmlformats.org/officeDocument/2006/relationships" ref="P186" r:id="rId1846"/>
    <hyperlink xmlns:r="http://schemas.openxmlformats.org/officeDocument/2006/relationships" ref="R186" r:id="rId1847"/>
    <hyperlink xmlns:r="http://schemas.openxmlformats.org/officeDocument/2006/relationships" ref="T186" r:id="rId1848"/>
    <hyperlink xmlns:r="http://schemas.openxmlformats.org/officeDocument/2006/relationships" ref="V186" r:id="rId1849"/>
    <hyperlink xmlns:r="http://schemas.openxmlformats.org/officeDocument/2006/relationships" ref="X186" r:id="rId1850"/>
    <hyperlink xmlns:r="http://schemas.openxmlformats.org/officeDocument/2006/relationships" ref="F187" r:id="rId1851"/>
    <hyperlink xmlns:r="http://schemas.openxmlformats.org/officeDocument/2006/relationships" ref="H187" r:id="rId1852"/>
    <hyperlink xmlns:r="http://schemas.openxmlformats.org/officeDocument/2006/relationships" ref="J187" r:id="rId1853"/>
    <hyperlink xmlns:r="http://schemas.openxmlformats.org/officeDocument/2006/relationships" ref="L187" r:id="rId1854"/>
    <hyperlink xmlns:r="http://schemas.openxmlformats.org/officeDocument/2006/relationships" ref="N187" r:id="rId1855"/>
    <hyperlink xmlns:r="http://schemas.openxmlformats.org/officeDocument/2006/relationships" ref="P187" r:id="rId1856"/>
    <hyperlink xmlns:r="http://schemas.openxmlformats.org/officeDocument/2006/relationships" ref="R187" r:id="rId1857"/>
    <hyperlink xmlns:r="http://schemas.openxmlformats.org/officeDocument/2006/relationships" ref="T187" r:id="rId1858"/>
    <hyperlink xmlns:r="http://schemas.openxmlformats.org/officeDocument/2006/relationships" ref="V187" r:id="rId1859"/>
    <hyperlink xmlns:r="http://schemas.openxmlformats.org/officeDocument/2006/relationships" ref="X187" r:id="rId1860"/>
    <hyperlink xmlns:r="http://schemas.openxmlformats.org/officeDocument/2006/relationships" ref="F188" r:id="rId1861"/>
    <hyperlink xmlns:r="http://schemas.openxmlformats.org/officeDocument/2006/relationships" ref="H188" r:id="rId1862"/>
    <hyperlink xmlns:r="http://schemas.openxmlformats.org/officeDocument/2006/relationships" ref="J188" r:id="rId1863"/>
    <hyperlink xmlns:r="http://schemas.openxmlformats.org/officeDocument/2006/relationships" ref="L188" r:id="rId1864"/>
    <hyperlink xmlns:r="http://schemas.openxmlformats.org/officeDocument/2006/relationships" ref="N188" r:id="rId1865"/>
    <hyperlink xmlns:r="http://schemas.openxmlformats.org/officeDocument/2006/relationships" ref="P188" r:id="rId1866"/>
    <hyperlink xmlns:r="http://schemas.openxmlformats.org/officeDocument/2006/relationships" ref="R188" r:id="rId1867"/>
    <hyperlink xmlns:r="http://schemas.openxmlformats.org/officeDocument/2006/relationships" ref="T188" r:id="rId1868"/>
    <hyperlink xmlns:r="http://schemas.openxmlformats.org/officeDocument/2006/relationships" ref="V188" r:id="rId1869"/>
    <hyperlink xmlns:r="http://schemas.openxmlformats.org/officeDocument/2006/relationships" ref="X188" r:id="rId1870"/>
    <hyperlink xmlns:r="http://schemas.openxmlformats.org/officeDocument/2006/relationships" ref="F189" r:id="rId1871"/>
    <hyperlink xmlns:r="http://schemas.openxmlformats.org/officeDocument/2006/relationships" ref="H189" r:id="rId1872"/>
    <hyperlink xmlns:r="http://schemas.openxmlformats.org/officeDocument/2006/relationships" ref="J189" r:id="rId1873"/>
    <hyperlink xmlns:r="http://schemas.openxmlformats.org/officeDocument/2006/relationships" ref="L189" r:id="rId1874"/>
    <hyperlink xmlns:r="http://schemas.openxmlformats.org/officeDocument/2006/relationships" ref="N189" r:id="rId1875"/>
    <hyperlink xmlns:r="http://schemas.openxmlformats.org/officeDocument/2006/relationships" ref="P189" r:id="rId1876"/>
    <hyperlink xmlns:r="http://schemas.openxmlformats.org/officeDocument/2006/relationships" ref="R189" r:id="rId1877"/>
    <hyperlink xmlns:r="http://schemas.openxmlformats.org/officeDocument/2006/relationships" ref="T189" r:id="rId1878"/>
    <hyperlink xmlns:r="http://schemas.openxmlformats.org/officeDocument/2006/relationships" ref="V189" r:id="rId1879"/>
    <hyperlink xmlns:r="http://schemas.openxmlformats.org/officeDocument/2006/relationships" ref="X189" r:id="rId1880"/>
    <hyperlink xmlns:r="http://schemas.openxmlformats.org/officeDocument/2006/relationships" ref="F190" r:id="rId1881"/>
    <hyperlink xmlns:r="http://schemas.openxmlformats.org/officeDocument/2006/relationships" ref="H190" r:id="rId1882"/>
    <hyperlink xmlns:r="http://schemas.openxmlformats.org/officeDocument/2006/relationships" ref="J190" r:id="rId1883"/>
    <hyperlink xmlns:r="http://schemas.openxmlformats.org/officeDocument/2006/relationships" ref="L190" r:id="rId1884"/>
    <hyperlink xmlns:r="http://schemas.openxmlformats.org/officeDocument/2006/relationships" ref="N190" r:id="rId1885"/>
    <hyperlink xmlns:r="http://schemas.openxmlformats.org/officeDocument/2006/relationships" ref="P190" r:id="rId1886"/>
    <hyperlink xmlns:r="http://schemas.openxmlformats.org/officeDocument/2006/relationships" ref="R190" r:id="rId1887"/>
    <hyperlink xmlns:r="http://schemas.openxmlformats.org/officeDocument/2006/relationships" ref="T190" r:id="rId1888"/>
    <hyperlink xmlns:r="http://schemas.openxmlformats.org/officeDocument/2006/relationships" ref="V190" r:id="rId1889"/>
    <hyperlink xmlns:r="http://schemas.openxmlformats.org/officeDocument/2006/relationships" ref="X190" r:id="rId1890"/>
    <hyperlink xmlns:r="http://schemas.openxmlformats.org/officeDocument/2006/relationships" ref="F191" r:id="rId1891"/>
    <hyperlink xmlns:r="http://schemas.openxmlformats.org/officeDocument/2006/relationships" ref="H191" r:id="rId1892"/>
    <hyperlink xmlns:r="http://schemas.openxmlformats.org/officeDocument/2006/relationships" ref="J191" r:id="rId1893"/>
    <hyperlink xmlns:r="http://schemas.openxmlformats.org/officeDocument/2006/relationships" ref="L191" r:id="rId1894"/>
    <hyperlink xmlns:r="http://schemas.openxmlformats.org/officeDocument/2006/relationships" ref="N191" r:id="rId1895"/>
    <hyperlink xmlns:r="http://schemas.openxmlformats.org/officeDocument/2006/relationships" ref="P191" r:id="rId1896"/>
    <hyperlink xmlns:r="http://schemas.openxmlformats.org/officeDocument/2006/relationships" ref="R191" r:id="rId1897"/>
    <hyperlink xmlns:r="http://schemas.openxmlformats.org/officeDocument/2006/relationships" ref="T191" r:id="rId1898"/>
    <hyperlink xmlns:r="http://schemas.openxmlformats.org/officeDocument/2006/relationships" ref="V191" r:id="rId1899"/>
    <hyperlink xmlns:r="http://schemas.openxmlformats.org/officeDocument/2006/relationships" ref="X191" r:id="rId1900"/>
    <hyperlink xmlns:r="http://schemas.openxmlformats.org/officeDocument/2006/relationships" ref="F192" r:id="rId1901"/>
    <hyperlink xmlns:r="http://schemas.openxmlformats.org/officeDocument/2006/relationships" ref="H192" r:id="rId1902"/>
    <hyperlink xmlns:r="http://schemas.openxmlformats.org/officeDocument/2006/relationships" ref="J192" r:id="rId1903"/>
    <hyperlink xmlns:r="http://schemas.openxmlformats.org/officeDocument/2006/relationships" ref="L192" r:id="rId1904"/>
    <hyperlink xmlns:r="http://schemas.openxmlformats.org/officeDocument/2006/relationships" ref="N192" r:id="rId1905"/>
    <hyperlink xmlns:r="http://schemas.openxmlformats.org/officeDocument/2006/relationships" ref="P192" r:id="rId1906"/>
    <hyperlink xmlns:r="http://schemas.openxmlformats.org/officeDocument/2006/relationships" ref="R192" r:id="rId1907"/>
    <hyperlink xmlns:r="http://schemas.openxmlformats.org/officeDocument/2006/relationships" ref="T192" r:id="rId1908"/>
    <hyperlink xmlns:r="http://schemas.openxmlformats.org/officeDocument/2006/relationships" ref="V192" r:id="rId1909"/>
    <hyperlink xmlns:r="http://schemas.openxmlformats.org/officeDocument/2006/relationships" ref="X192" r:id="rId1910"/>
    <hyperlink xmlns:r="http://schemas.openxmlformats.org/officeDocument/2006/relationships" ref="F193" r:id="rId1911"/>
    <hyperlink xmlns:r="http://schemas.openxmlformats.org/officeDocument/2006/relationships" ref="H193" r:id="rId1912"/>
    <hyperlink xmlns:r="http://schemas.openxmlformats.org/officeDocument/2006/relationships" ref="J193" r:id="rId1913"/>
    <hyperlink xmlns:r="http://schemas.openxmlformats.org/officeDocument/2006/relationships" ref="L193" r:id="rId1914"/>
    <hyperlink xmlns:r="http://schemas.openxmlformats.org/officeDocument/2006/relationships" ref="N193" r:id="rId1915"/>
    <hyperlink xmlns:r="http://schemas.openxmlformats.org/officeDocument/2006/relationships" ref="P193" r:id="rId1916"/>
    <hyperlink xmlns:r="http://schemas.openxmlformats.org/officeDocument/2006/relationships" ref="R193" r:id="rId1917"/>
    <hyperlink xmlns:r="http://schemas.openxmlformats.org/officeDocument/2006/relationships" ref="T193" r:id="rId1918"/>
    <hyperlink xmlns:r="http://schemas.openxmlformats.org/officeDocument/2006/relationships" ref="V193" r:id="rId1919"/>
    <hyperlink xmlns:r="http://schemas.openxmlformats.org/officeDocument/2006/relationships" ref="X193" r:id="rId1920"/>
    <hyperlink xmlns:r="http://schemas.openxmlformats.org/officeDocument/2006/relationships" ref="F194" r:id="rId1921"/>
    <hyperlink xmlns:r="http://schemas.openxmlformats.org/officeDocument/2006/relationships" ref="H194" r:id="rId1922"/>
    <hyperlink xmlns:r="http://schemas.openxmlformats.org/officeDocument/2006/relationships" ref="J194" r:id="rId1923"/>
    <hyperlink xmlns:r="http://schemas.openxmlformats.org/officeDocument/2006/relationships" ref="L194" r:id="rId1924"/>
    <hyperlink xmlns:r="http://schemas.openxmlformats.org/officeDocument/2006/relationships" ref="N194" r:id="rId1925"/>
    <hyperlink xmlns:r="http://schemas.openxmlformats.org/officeDocument/2006/relationships" ref="P194" r:id="rId1926"/>
    <hyperlink xmlns:r="http://schemas.openxmlformats.org/officeDocument/2006/relationships" ref="R194" r:id="rId1927"/>
    <hyperlink xmlns:r="http://schemas.openxmlformats.org/officeDocument/2006/relationships" ref="T194" r:id="rId1928"/>
    <hyperlink xmlns:r="http://schemas.openxmlformats.org/officeDocument/2006/relationships" ref="V194" r:id="rId1929"/>
    <hyperlink xmlns:r="http://schemas.openxmlformats.org/officeDocument/2006/relationships" ref="X194" r:id="rId1930"/>
    <hyperlink xmlns:r="http://schemas.openxmlformats.org/officeDocument/2006/relationships" ref="F195" r:id="rId1931"/>
    <hyperlink xmlns:r="http://schemas.openxmlformats.org/officeDocument/2006/relationships" ref="H195" r:id="rId1932"/>
    <hyperlink xmlns:r="http://schemas.openxmlformats.org/officeDocument/2006/relationships" ref="J195" r:id="rId1933"/>
    <hyperlink xmlns:r="http://schemas.openxmlformats.org/officeDocument/2006/relationships" ref="L195" r:id="rId1934"/>
    <hyperlink xmlns:r="http://schemas.openxmlformats.org/officeDocument/2006/relationships" ref="N195" r:id="rId1935"/>
    <hyperlink xmlns:r="http://schemas.openxmlformats.org/officeDocument/2006/relationships" ref="P195" r:id="rId1936"/>
    <hyperlink xmlns:r="http://schemas.openxmlformats.org/officeDocument/2006/relationships" ref="R195" r:id="rId1937"/>
    <hyperlink xmlns:r="http://schemas.openxmlformats.org/officeDocument/2006/relationships" ref="T195" r:id="rId1938"/>
    <hyperlink xmlns:r="http://schemas.openxmlformats.org/officeDocument/2006/relationships" ref="V195" r:id="rId1939"/>
    <hyperlink xmlns:r="http://schemas.openxmlformats.org/officeDocument/2006/relationships" ref="X195" r:id="rId1940"/>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17"/>
  <sheetViews>
    <sheetView zoomScaleNormal="150" zoomScaleSheetLayoutView="100" workbookViewId="0">
      <selection activeCell="A1" sqref="A1:B17"/>
    </sheetView>
  </sheetViews>
  <sheetFormatPr baseColWidth="8" defaultRowHeight="15"/>
  <cols>
    <col width="11.296875" bestFit="1" customWidth="1" style="48" min="1" max="1"/>
    <col width="28.515625" bestFit="1" customWidth="1" style="48" min="2" max="2"/>
    <col width="12.9140625" bestFit="1" customWidth="1" style="48" min="3" max="3"/>
    <col width="14.2578125" bestFit="1" customWidth="1" style="48" min="4" max="4"/>
    <col width="65.109375" bestFit="1" customWidth="1" style="48" min="5" max="5"/>
    <col width="106.67578125" bestFit="1" customWidth="1" style="48" min="6" max="6"/>
    <col width="56.23046875" bestFit="1" customWidth="1" style="48" min="7" max="7"/>
    <col width="62.8203125" bestFit="1" customWidth="1" style="48" min="8" max="8"/>
    <col width="46.140625" bestFit="1" customWidth="1" style="48" min="9" max="9"/>
    <col width="112.59375" bestFit="1" customWidth="1" style="48" min="10" max="10"/>
    <col width="18.29296875" bestFit="1" customWidth="1" style="48" min="11" max="11"/>
    <col width="62.8203125" bestFit="1" customWidth="1" style="48" min="12" max="12"/>
    <col width="49.234375" bestFit="1" customWidth="1" style="48" min="13" max="13"/>
    <col width="62.8203125" bestFit="1" customWidth="1" style="48" min="14" max="14"/>
    <col width="25.421875" bestFit="1" customWidth="1" style="48" min="15" max="15"/>
    <col width="62.8203125" bestFit="1" customWidth="1" style="48" min="16" max="16"/>
    <col width="52.4609375" bestFit="1" customWidth="1" style="48" min="17" max="17"/>
    <col width="100.890625" bestFit="1" customWidth="1" style="48" min="18" max="18"/>
    <col width="32.1484375" bestFit="1" customWidth="1" style="48" min="19" max="19"/>
    <col width="35.6484375" bestFit="1" customWidth="1" style="48" min="20" max="20"/>
    <col width="22.05859375" bestFit="1" customWidth="1" style="48" min="21" max="21"/>
    <col width="49.50390625" bestFit="1" customWidth="1" style="48" min="22" max="22"/>
    <col width="46.2734375" bestFit="1" customWidth="1" style="48" min="23" max="23"/>
    <col width="191.15625" bestFit="1" customWidth="1" style="48" min="24" max="24"/>
    <col width="12.77734375" bestFit="1" customWidth="1" style="48" min="25" max="25"/>
    <col width="8.609375" customWidth="1" style="48" min="26" max="16384"/>
  </cols>
  <sheetData>
    <row r="1">
      <c r="A1" s="5" t="inlineStr">
        <is>
          <t>RowNumber</t>
        </is>
      </c>
      <c r="B1" s="5" t="inlineStr">
        <is>
          <t>Country</t>
        </is>
      </c>
      <c r="C1" s="5" t="inlineStr">
        <is>
          <t>Region - Broad</t>
        </is>
      </c>
      <c r="D1" s="5" t="inlineStr">
        <is>
          <t>Region - Specific</t>
        </is>
      </c>
      <c r="E1" s="5" t="inlineStr">
        <is>
          <t>AI_Policy_Status</t>
        </is>
      </c>
      <c r="F1" s="5" t="inlineStr">
        <is>
          <t>AI_Policy_Status_Source</t>
        </is>
      </c>
      <c r="G1" s="5" t="inlineStr">
        <is>
          <t>Data_Protection_Law</t>
        </is>
      </c>
      <c r="H1" s="5" t="inlineStr">
        <is>
          <t>Data_Protection_Law_Source</t>
        </is>
      </c>
      <c r="I1" s="5" t="inlineStr">
        <is>
          <t>Children_Data_Safeguards</t>
        </is>
      </c>
      <c r="J1" s="5" t="inlineStr">
        <is>
          <t>Children_Data_Safeguards_Source</t>
        </is>
      </c>
      <c r="K1" s="5" t="inlineStr">
        <is>
          <t>SOGI_Sensitive_Data</t>
        </is>
      </c>
      <c r="L1" s="5" t="inlineStr">
        <is>
          <t>SOGI_Sensitive_Data_Source</t>
        </is>
      </c>
      <c r="M1" s="5" t="inlineStr">
        <is>
          <t>DPA_Independence</t>
        </is>
      </c>
      <c r="N1" s="5" t="inlineStr">
        <is>
          <t>DPA_Independence_Source</t>
        </is>
      </c>
      <c r="O1" s="5" t="inlineStr">
        <is>
          <t>DPIA_Required_High_Risk_AI</t>
        </is>
      </c>
      <c r="P1" s="5" t="inlineStr">
        <is>
          <t>DPIA_Required_High_Risk_AI_Source</t>
        </is>
      </c>
      <c r="Q1" s="5" t="inlineStr">
        <is>
          <t>LGBTQ_Legal_Status</t>
        </is>
      </c>
      <c r="R1" s="5" t="inlineStr">
        <is>
          <t>LGBTQ_Legal_Status_Source</t>
        </is>
      </c>
      <c r="S1" s="5" t="inlineStr">
        <is>
          <t>Promotion_Propaganda_Offences</t>
        </is>
      </c>
      <c r="T1" s="5" t="inlineStr">
        <is>
          <t>Promotion_Propaganda_Offences_Source</t>
        </is>
      </c>
      <c r="U1" s="5" t="inlineStr">
        <is>
          <t>COP_Strategy</t>
        </is>
      </c>
      <c r="V1" s="5" t="inlineStr">
        <is>
          <t>COP_Strategy_Source</t>
        </is>
      </c>
      <c r="W1" s="5" t="inlineStr">
        <is>
          <t>SIM_Biometric_ID_Linkage</t>
        </is>
      </c>
      <c r="X1" s="5" t="inlineStr">
        <is>
          <t>SIM_Biometric_ID_Linkage_Source</t>
        </is>
      </c>
      <c r="Y1" s="5" t="inlineStr">
        <is>
          <t>RowNumber.1</t>
        </is>
      </c>
    </row>
    <row r="2">
      <c r="A2" s="1" t="n">
        <v>6</v>
      </c>
      <c r="B2" s="1" t="inlineStr">
        <is>
          <t>Angola</t>
        </is>
      </c>
      <c r="C2" s="1" t="inlineStr">
        <is>
          <t>Africa</t>
        </is>
      </c>
      <c r="D2" s="1" t="inlineStr">
        <is>
          <t>SADC</t>
        </is>
      </c>
      <c r="E2" s="1" t="inlineStr">
        <is>
          <t>White Paper on ICT 2023–2027 (Presidential Decree No. 272/24, Dec 2024). Not a dedicated AI law.</t>
        </is>
      </c>
      <c r="F2" s="2" t="inlineStr">
        <is>
          <t>https://en.unesco.org/artificial-intelligence/observatory/policies?country=AO ; https://www.unesco.org/ethics-ai/en/global-hub ; https://lex.ao/docs/presidente-da-republica/2024/decreto-presidencial-no-272-24-de-05-de-dezembro/ ; https://rna.ao/2024/03/23/mintics-poe-a-disposicao-dos-cidadaos-livro-branco-das-ictic-2023-2027/</t>
        </is>
      </c>
      <c r="G2" s="1" t="inlineStr">
        <is>
          <t>In force — Law No. 22/11 of 17 June 2011 on Personal Data Protection (establishes APD).</t>
        </is>
      </c>
      <c r="H2" s="2" t="inlineStr">
        <is>
          <t>https://unctad.org/page/data-protection-and-privacy-legislation-worldwide ; https://lex.ao/docs/assembleia-nacional/2011/lei-n-o-22-11-de-17-de-junho/</t>
        </is>
      </c>
      <c r="I2" s="1" t="inlineStr">
        <is>
          <t>Law No. 25/12 (2012), Articles 30, 32–33: online safety, harmful content, misuse of children’s data, protection from exploitation.</t>
        </is>
      </c>
      <c r="J2" s="2" t="inlineStr">
        <is>
          <t>https://www.unicef.org/angola/ ; https://unctad.org/page/data-protection-and-privacy-legislation-worldwide ; https://files.lex.ao/assembleia-nacional/2012/lei-n-o-25-12-de-22-de-agosto/download/lei-n-o-25-12-de-22-de-agosto_assembleia-nacional_lex.ao.pdf</t>
        </is>
      </c>
      <c r="K2" s="1" t="inlineStr">
        <is>
          <t>Yes — Law 22/11 defines “sensitive data” to include sex life (“vida sexual”), widely read as covering sexual orientation.</t>
        </is>
      </c>
      <c r="L2" s="2" t="inlineStr">
        <is>
          <t>https://unctad.org/page/data-protection-and-privacy-legislation-worldwide ; https://lex.ao/docs/assembleia-nacional/2011/lei-n-o-22-11-de-17-de-junho/</t>
        </is>
      </c>
      <c r="M2" s="1" t="inlineStr">
        <is>
          <t>Independent public-law body (APD) with legal/financial autonomy; structure in Decree 214/16 and board appointment in Decree 277/19.</t>
        </is>
      </c>
      <c r="N2" s="2" t="inlineStr">
        <is>
          <t>https://unctad.org/page/data-protection-and-privacy-legislation-worldwide ; https://lex.ao/docs/presidente-da-republica/2016/decreto-presidencial-n-o-214-16-de-10-de-outubro/ ; https://lex.ao/docs/presidente-da-republica/2019/decreto-presidencial-n-o-277-19-de-06-de-setembro/</t>
        </is>
      </c>
      <c r="O2" s="1" t="inlineStr">
        <is>
          <t>No AI-specific DPIA regime. Law 22/11 requires prior notification/authorisation for certain processing, which functions as partial risk assessment.</t>
        </is>
      </c>
      <c r="P2" s="2" t="inlineStr">
        <is>
          <t>https://unctad.org/page/data-protection-and-privacy-legislation-worldwide ; https://lex.ao/docs/assembleia-nacional/2011/lei-n-o-22-11-de-17-de-junho/</t>
        </is>
      </c>
      <c r="Q2" s="1" t="inlineStr">
        <is>
          <t>Decriminalised — Penal Code Law No. 38/20 (2020, in force 2021). Discrimination based on sexual orientation criminalised.</t>
        </is>
      </c>
      <c r="R2" s="2" t="inlineStr">
        <is>
          <t>https://www.humandignitytrust.org/country-profile/angola/ ; https://ilga.org/ilga-world-maps/ ; https://lex.ao/docs/assembleia-nacional/2020/lei-n-o-38-20-de-11-de-novembro/ ; https://tribunaisuperior.ao/wp-content/uploads/2023/03/C%C3%B3digo-Penal-do-Processo-Penal-Angolanos-2020-DRI-179_11-Novembro-176_230110_151357-1.pdf</t>
        </is>
      </c>
      <c r="S2" s="1" t="inlineStr">
        <is>
          <t>No — 2020 Penal Code contains no “propaganda/promotion of homosexuality”.</t>
        </is>
      </c>
      <c r="T2" s="2" t="inlineStr">
        <is>
          <t>https://ilga.org/ilga-world-maps/</t>
        </is>
      </c>
      <c r="U2" s="1" t="inlineStr">
        <is>
          <t>Partial</t>
        </is>
      </c>
      <c r="V2" s="2" t="inlineStr">
        <is>
          <t>https://www.unicef.org/angola/</t>
        </is>
      </c>
      <c r="W2" s="1" t="inlineStr">
        <is>
          <t>No</t>
        </is>
      </c>
      <c r="X2" s="2" t="inlineStr">
        <is>
          <t>https://www.gsma.com/solutions-and-impact/connectivity-for-good/public-policy/mobile-policy-handbook/consumer-protection/mandatory-registration-of-prepaid-sims/</t>
        </is>
      </c>
      <c r="Y2" s="1" t="n">
        <v>6</v>
      </c>
    </row>
    <row r="3">
      <c r="A3" s="1" t="n">
        <v>24</v>
      </c>
      <c r="B3" s="1" t="inlineStr">
        <is>
          <t>Botswana</t>
        </is>
      </c>
      <c r="C3" s="1" t="inlineStr">
        <is>
          <t>Africa</t>
        </is>
      </c>
      <c r="D3" s="1" t="inlineStr">
        <is>
          <t>SADC</t>
        </is>
      </c>
      <c r="E3" s="1" t="inlineStr">
        <is>
          <t>Draft/Early (AI policy referenced in National ICT Policy 2020)</t>
        </is>
      </c>
      <c r="F3" s="2" t="inlineStr">
        <is>
          <t>https://en.unesco.org/artificial-intelligence/observatory/policies?country=BW; https://www.unesco.org/ethics-ai/en/global-hub</t>
        </is>
      </c>
      <c r="G3" s="1" t="inlineStr">
        <is>
          <t>In force (Data Protection Act 2018; DPA launched 2021)</t>
        </is>
      </c>
      <c r="H3" s="2" t="inlineStr">
        <is>
          <t>https://unctad.org/page/data-protection-and-privacy-legislation-worldwide</t>
        </is>
      </c>
      <c r="I3" s="1" t="inlineStr">
        <is>
          <t>Partial (Children’s Act 2009; no dedicated COP strategy)</t>
        </is>
      </c>
      <c r="J3" s="2" t="inlineStr">
        <is>
          <t>https://unctad.org/page/data-protection-and-privacy-legislation-worldwide; https://www.unicef.org/botswana/</t>
        </is>
      </c>
      <c r="K3" s="1" t="inlineStr">
        <is>
          <t>No</t>
        </is>
      </c>
      <c r="L3" s="2" t="inlineStr">
        <is>
          <t>https://unctad.org/page/data-protection-and-privacy-legislation-worldwide</t>
        </is>
      </c>
      <c r="M3" s="1" t="inlineStr">
        <is>
          <t>Moderate (Data Protection Commissioner under executive)</t>
        </is>
      </c>
      <c r="N3" s="2" t="inlineStr">
        <is>
          <t>https://unctad.org/page/data-protection-and-privacy-legislation-worldwide</t>
        </is>
      </c>
      <c r="O3" s="1" t="inlineStr">
        <is>
          <t>No</t>
        </is>
      </c>
      <c r="P3" s="2" t="inlineStr">
        <is>
          <t>https://unctad.org/page/data-protection-and-privacy-legislation-worldwide</t>
        </is>
      </c>
      <c r="Q3" s="1" t="inlineStr">
        <is>
          <t>Legal (High Court decriminalised same-sex relations 2019)</t>
        </is>
      </c>
      <c r="R3" s="2" t="inlineStr">
        <is>
          <t>https://www.humandignitytrust.org/country-profile/botswana/; https://ilga.org/ilga-world-maps/</t>
        </is>
      </c>
      <c r="S3" s="1" t="inlineStr">
        <is>
          <t>No/Annulled</t>
        </is>
      </c>
      <c r="T3" s="2" t="inlineStr">
        <is>
          <t>https://ilga.org/ilga-world-maps/</t>
        </is>
      </c>
      <c r="U3" s="1" t="inlineStr">
        <is>
          <t>No</t>
        </is>
      </c>
      <c r="V3" s="2" t="inlineStr">
        <is>
          <t>https://www.unicef.org/botswana/</t>
        </is>
      </c>
      <c r="W3" s="1" t="inlineStr">
        <is>
          <t>Yes (SIM biometric registration mandatory)</t>
        </is>
      </c>
      <c r="X3" s="2" t="inlineStr">
        <is>
          <t>https://www.gsma.com/solutions-and-impact/connectivity-for-good/public-policy/mobile-policy-handbook/consumer-protection/mandatory-registration-of-prepaid-sims/; https://privacyinternational.org/learn/sim-card-registration</t>
        </is>
      </c>
      <c r="Y3" s="1" t="n">
        <v>24</v>
      </c>
    </row>
    <row r="4">
      <c r="A4" s="1" t="n">
        <v>39</v>
      </c>
      <c r="B4" s="1" t="inlineStr">
        <is>
          <t>Comoros</t>
        </is>
      </c>
      <c r="C4" s="1" t="inlineStr">
        <is>
          <t>Africa</t>
        </is>
      </c>
      <c r="D4" s="1" t="inlineStr">
        <is>
          <t>SADC</t>
        </is>
      </c>
      <c r="E4" s="1" t="inlineStr">
        <is>
          <t>None (no AI strategy identified)</t>
        </is>
      </c>
      <c r="F4" s="2" t="inlineStr">
        <is>
          <t>https://en.unesco.org/artificial-intelligence/observatory/policies?country=KM; https://www.unesco.org/ethics-ai/en/global-hub</t>
        </is>
      </c>
      <c r="G4" s="1" t="inlineStr">
        <is>
          <t>Draft (no comprehensive law yet)</t>
        </is>
      </c>
      <c r="H4" s="2" t="inlineStr">
        <is>
          <t>https://unctad.org/page/data-protection-and-privacy-legislation-worldwide</t>
        </is>
      </c>
      <c r="I4" s="1" t="inlineStr">
        <is>
          <t>Partial (Child Code; no national COP strategy)</t>
        </is>
      </c>
      <c r="J4" s="2" t="inlineStr">
        <is>
          <t>https://unctad.org/page/data-protection-and-privacy-legislation-worldwide; https://www.unicef.org/comoros/</t>
        </is>
      </c>
      <c r="K4" s="1" t="inlineStr">
        <is>
          <t>No</t>
        </is>
      </c>
      <c r="L4" s="2" t="inlineStr">
        <is>
          <t>https://unctad.org/page/data-protection-and-privacy-legislation-worldwide</t>
        </is>
      </c>
      <c r="M4" s="1" t="inlineStr">
        <is>
          <t>Weak (no operational independent authority)</t>
        </is>
      </c>
      <c r="N4" s="2" t="inlineStr">
        <is>
          <t>https://unctad.org/page/data-protection-and-privacy-legislation-worldwide</t>
        </is>
      </c>
      <c r="O4" s="1" t="inlineStr">
        <is>
          <t>No</t>
        </is>
      </c>
      <c r="P4" s="2" t="inlineStr">
        <is>
          <t>https://unctad.org/page/data-protection-and-privacy-legislation-worldwide</t>
        </is>
      </c>
      <c r="Q4" s="1" t="inlineStr">
        <is>
          <t>Criminalised (same-sex conduct criminalised under Penal Code)</t>
        </is>
      </c>
      <c r="R4" s="2" t="inlineStr">
        <is>
          <t>https://www.humandignitytrust.org/country-profile/comoros/; https://ilga.org/ilga-world-maps/</t>
        </is>
      </c>
      <c r="S4" s="1" t="inlineStr">
        <is>
          <t>Yes (restrictions on LGBTQ expression)</t>
        </is>
      </c>
      <c r="T4" s="2" t="inlineStr">
        <is>
          <t>https://ilga.org/ilga-world-maps/</t>
        </is>
      </c>
      <c r="U4" s="1" t="inlineStr">
        <is>
          <t>No</t>
        </is>
      </c>
      <c r="V4" s="2" t="inlineStr">
        <is>
          <t>https://www.unicef.org/comoros/</t>
        </is>
      </c>
      <c r="W4" s="1" t="inlineStr">
        <is>
          <t>Yes (biometric SIM registration required)</t>
        </is>
      </c>
      <c r="X4" s="2" t="inlineStr">
        <is>
          <t>https://www.gsma.com/solutions-and-impact/connectivity-for-good/public-policy/mobile-policy-handbook/consumer-protection/mandatory-registration-of-prepaid-sims/; https://privacyinternational.org/learn/sim-card-registration</t>
        </is>
      </c>
      <c r="Y4" s="1" t="n">
        <v>39</v>
      </c>
    </row>
    <row r="5">
      <c r="A5" s="1" t="n">
        <v>48</v>
      </c>
      <c r="B5" s="1" t="inlineStr">
        <is>
          <t>Democratic Republic of the Congo</t>
        </is>
      </c>
      <c r="C5" s="1" t="inlineStr">
        <is>
          <t>Africa</t>
        </is>
      </c>
      <c r="D5" s="1" t="inlineStr">
        <is>
          <t>SADC</t>
        </is>
      </c>
      <c r="E5" s="1" t="inlineStr">
        <is>
          <t>None (no AI strategy)</t>
        </is>
      </c>
      <c r="F5" s="2" t="inlineStr">
        <is>
          <t>https://www.unesco.org/ethics-ai/en/global-hub</t>
        </is>
      </c>
      <c r="G5" s="1" t="inlineStr">
        <is>
          <t>In force (Law No. 18/019 of 2018 on Personal Data Protection)</t>
        </is>
      </c>
      <c r="H5" s="2" t="inlineStr">
        <is>
          <t>https://unctad.org/page/data-protection-and-privacy-legislation-worldwide</t>
        </is>
      </c>
      <c r="I5" s="1" t="inlineStr">
        <is>
          <t>Partial (laws exist; no national COP strategy)</t>
        </is>
      </c>
      <c r="J5" s="2" t="inlineStr">
        <is>
          <t>https://unctad.org/page/data-protection-and-privacy-legislation-worldwide; https://www.unicef.org/democratic-republic-of-the-congo/</t>
        </is>
      </c>
      <c r="K5" s="1" t="inlineStr">
        <is>
          <t>No</t>
        </is>
      </c>
      <c r="L5" s="2" t="inlineStr">
        <is>
          <t>https://unctad.org/page/data-protection-and-privacy-legislation-worldwide</t>
        </is>
      </c>
      <c r="M5" s="1" t="inlineStr">
        <is>
          <t>Moderate (new authority; limited effectiveness)</t>
        </is>
      </c>
      <c r="N5" s="2" t="inlineStr">
        <is>
          <t>https://unctad.org/page/data-protection-and-privacy-legislation-worldwide</t>
        </is>
      </c>
      <c r="O5" s="1" t="inlineStr">
        <is>
          <t>No</t>
        </is>
      </c>
      <c r="P5" s="2" t="inlineStr">
        <is>
          <t>https://unctad.org/page/data-protection-and-privacy-legislation-worldwide</t>
        </is>
      </c>
      <c r="Q5" s="1" t="inlineStr">
        <is>
          <t>Criminalised</t>
        </is>
      </c>
      <c r="R5" s="2" t="inlineStr">
        <is>
          <t>https://www.humandignitytrust.org/country-profile/democratic-republic-of-the-congo/; https://ilga.org/ilga-world-maps/</t>
        </is>
      </c>
      <c r="S5" s="1" t="inlineStr">
        <is>
          <t>Yes (restrictions in Penal Code)</t>
        </is>
      </c>
      <c r="T5" s="2" t="inlineStr">
        <is>
          <t>https://ilga.org/ilga-world-maps/</t>
        </is>
      </c>
      <c r="U5" s="1" t="inlineStr">
        <is>
          <t>No</t>
        </is>
      </c>
      <c r="V5" s="2" t="inlineStr">
        <is>
          <t>https://www.unicef.org/democratic-republic-of-the-congo/</t>
        </is>
      </c>
      <c r="W5" s="1" t="inlineStr">
        <is>
          <t>Yes (mandatory biometric SIM registration)</t>
        </is>
      </c>
      <c r="X5" s="2" t="inlineStr">
        <is>
          <t>https://www.gsma.com/solutions-and-impact/connectivity-for-good/public-policy/mobile-policy-handbook/consumer-protection/mandatory-registration-of-prepaid-sims/; https://privacyinternational.org/learn/sim-card-registration</t>
        </is>
      </c>
      <c r="Y5" s="1" t="n">
        <v>48</v>
      </c>
    </row>
    <row r="6">
      <c r="A6" s="1" t="n">
        <v>59</v>
      </c>
      <c r="B6" s="1" t="inlineStr">
        <is>
          <t>Eswatini</t>
        </is>
      </c>
      <c r="C6" s="1" t="inlineStr">
        <is>
          <t>Africa</t>
        </is>
      </c>
      <c r="D6" s="1" t="inlineStr">
        <is>
          <t>SADC</t>
        </is>
      </c>
      <c r="E6" s="1" t="inlineStr">
        <is>
          <t>No national AI law or strategy identified. Eswatini participates in AU-level digital and AI initiatives.</t>
        </is>
      </c>
      <c r="F6" s="2" t="inlineStr">
        <is>
          <t>https://en.unesco.org/artificial-intelligence/observatory/policies?country=SZ ; https://au.int/en/documents/20240620/continental-strategy-artificial-intelligence-africa-2024</t>
        </is>
      </c>
      <c r="G6" s="1" t="inlineStr">
        <is>
          <t>Data Protection Act, 2022 — in force, establishes principles for processing and creates the Data Protection Commissioner.</t>
        </is>
      </c>
      <c r="H6" s="2" t="inlineStr">
        <is>
          <t>https://eswatinilii.org/sz/legislation/act/2022/5/ ; https://unctad.org/page/data-protection-and-privacy-legislation-worldwide</t>
        </is>
      </c>
      <c r="I6" s="1" t="inlineStr">
        <is>
          <t>Data Protection Act 2022 includes child-protection provisions. Broader protections in Children’s Protection and Welfare Act 2012.</t>
        </is>
      </c>
      <c r="J6" s="2" t="inlineStr">
        <is>
          <t>https://eswatinilii.org/sz/legislation/act/2022/5/ ; https://www.unicef.org/eswatini/child-protection</t>
        </is>
      </c>
      <c r="K6" s="1" t="inlineStr">
        <is>
          <t>Law defines sensitive data, but sexual orientation is not expressly included.</t>
        </is>
      </c>
      <c r="L6" s="2" t="inlineStr">
        <is>
          <t>https://eswatinilii.org/sz/legislation/act/2022/5/</t>
        </is>
      </c>
      <c r="M6" s="1" t="inlineStr">
        <is>
          <t>The Act establishes a Data Protection Commissioner. While legally independent, appointment and budgetary dependence suggest moderate autonomy.</t>
        </is>
      </c>
      <c r="N6" s="2" t="inlineStr">
        <is>
          <t>https://eswatinilii.org/sz/legislation/act/2022/5/</t>
        </is>
      </c>
      <c r="O6" s="1" t="inlineStr">
        <is>
          <t>No AI-specific DPIA regime. Data Protection Act requires certain processing notifications but not structured DPIAs.</t>
        </is>
      </c>
      <c r="P6" s="2" t="inlineStr">
        <is>
          <t>https://eswatinilii.org/sz/legislation/act/2022/5/</t>
        </is>
      </c>
      <c r="Q6" s="1" t="inlineStr">
        <is>
          <t>Same-sex sexual conduct remains criminalised under Penal Code. No anti-discrimination protections for SOGI.</t>
        </is>
      </c>
      <c r="R6" s="2" t="inlineStr">
        <is>
          <t>https://www.humandignitytrust.org/country-profile/eswatini/ ; https://ilga.org/ilga-world-maps/</t>
        </is>
      </c>
      <c r="S6" s="1" t="inlineStr">
        <is>
          <t>No explicit propaganda law, but Broadcasting Guidelines (2003) prohibit programmes vilifying based on “sexual preference” — indicating indirect restrictions.</t>
        </is>
      </c>
      <c r="T6" s="2" t="inlineStr">
        <is>
          <t>https://eswatinibroadcasting.org/ ; https://ilga.org/ilga-world-maps/</t>
        </is>
      </c>
      <c r="U6" s="1" t="inlineStr">
        <is>
          <t>No stand-alone COP strategy, but UNICEF and government initiatives promote online child protection.</t>
        </is>
      </c>
      <c r="V6" s="2" t="inlineStr">
        <is>
          <t>https://www.unicef.org/eswatini/child-protection</t>
        </is>
      </c>
      <c r="W6" s="1" t="inlineStr">
        <is>
          <t>SIM registration mandatory using national ID. National ID system includes biometrics, linking SIMs indirectly to biometric data.</t>
        </is>
      </c>
      <c r="X6" s="2" t="inlineStr">
        <is>
          <t>https://www.gsma.com/solutions-and-impact/connectivity-for-good/public-policy/mobile-policy-handbook/consumer-protection/mandatory-registration-of-prepaid-sims/</t>
        </is>
      </c>
      <c r="Y6" s="1" t="n">
        <v>59</v>
      </c>
    </row>
    <row r="7">
      <c r="A7" s="1" t="n">
        <v>97</v>
      </c>
      <c r="B7" s="1" t="inlineStr">
        <is>
          <t>Lesotho</t>
        </is>
      </c>
      <c r="C7" s="1" t="inlineStr">
        <is>
          <t>Africa</t>
        </is>
      </c>
      <c r="D7" s="1" t="inlineStr">
        <is>
          <t>SADC</t>
        </is>
      </c>
      <c r="E7" s="1" t="inlineStr">
        <is>
          <t>None</t>
        </is>
      </c>
      <c r="F7" s="2" t="inlineStr">
        <is>
          <t>https://en.unesco.org/artificial-intelligence/observatory/policies?country=LS; https://www.unesco.org/ethics-ai/en/global-hub</t>
        </is>
      </c>
      <c r="G7" s="1" t="inlineStr">
        <is>
          <t>In force (Data Protection Act, 2012)</t>
        </is>
      </c>
      <c r="H7" s="2" t="inlineStr">
        <is>
          <t>https://unctad.org/page/data-protection-and-privacy-legislation-worldwide</t>
        </is>
      </c>
      <c r="I7" s="1" t="inlineStr">
        <is>
          <t>Partial (general child protections)</t>
        </is>
      </c>
      <c r="J7" s="2" t="inlineStr">
        <is>
          <t>https://unctad.org/page/data-protection-and-privacy-legislation-worldwide; https://www.unicef.org/lesotho/</t>
        </is>
      </c>
      <c r="K7" s="1" t="inlineStr">
        <is>
          <t>No</t>
        </is>
      </c>
      <c r="L7" s="2" t="inlineStr">
        <is>
          <t>https://unctad.org/page/data-protection-and-privacy-legislation-worldwide</t>
        </is>
      </c>
      <c r="M7" s="1" t="inlineStr">
        <is>
          <t>Moderate (Data Protection Commissioner established)</t>
        </is>
      </c>
      <c r="N7" s="2" t="inlineStr">
        <is>
          <t>https://unctad.org/page/data-protection-and-privacy-legislation-worldwide</t>
        </is>
      </c>
      <c r="O7" s="1" t="inlineStr">
        <is>
          <t>No</t>
        </is>
      </c>
      <c r="P7" s="2" t="inlineStr">
        <is>
          <t>https://unctad.org/page/data-protection-and-privacy-legislation-worldwide</t>
        </is>
      </c>
      <c r="Q7" s="1" t="inlineStr">
        <is>
          <t>Legal (decriminalised 2012; no recognition)</t>
        </is>
      </c>
      <c r="R7" s="2" t="inlineStr">
        <is>
          <t>https://www.humandignitytrust.org/country-profile/lesotho/; https://ilga.org/ilga-world-maps/</t>
        </is>
      </c>
      <c r="S7" s="1" t="inlineStr">
        <is>
          <t>No</t>
        </is>
      </c>
      <c r="T7" s="2" t="inlineStr">
        <is>
          <t>https://ilga.org/ilga-world-maps/</t>
        </is>
      </c>
      <c r="U7" s="1" t="inlineStr">
        <is>
          <t>No</t>
        </is>
      </c>
      <c r="V7" s="2" t="inlineStr">
        <is>
          <t>https://www.unicef.org/lesotho/</t>
        </is>
      </c>
      <c r="W7" s="1" t="inlineStr">
        <is>
          <t>Yes (mandatory SIM registration)</t>
        </is>
      </c>
      <c r="X7" s="2" t="inlineStr">
        <is>
          <t>https://www.gsma.com/solutions-and-impact/connectivity-for-good/public-policy/mobile-policy-handbook/consumer-protection/mandatory-registration-of-prepaid-sims/</t>
        </is>
      </c>
      <c r="Y7" s="1" t="n">
        <v>97</v>
      </c>
    </row>
    <row r="8">
      <c r="A8" s="1" t="n">
        <v>103</v>
      </c>
      <c r="B8" s="1" t="inlineStr">
        <is>
          <t>Madagascar</t>
        </is>
      </c>
      <c r="C8" s="1" t="inlineStr">
        <is>
          <t>Africa</t>
        </is>
      </c>
      <c r="D8" s="1" t="inlineStr">
        <is>
          <t>SADC</t>
        </is>
      </c>
      <c r="E8" s="1" t="inlineStr">
        <is>
          <t>None</t>
        </is>
      </c>
      <c r="F8" s="2" t="inlineStr">
        <is>
          <t>https://en.unesco.org/artificial-intelligence/observatory/policies?country=MG; https://www.unesco.org/ethics-ai/en/global-hub</t>
        </is>
      </c>
      <c r="G8" s="1" t="inlineStr">
        <is>
          <t>In force (Law No. 2014-038)</t>
        </is>
      </c>
      <c r="H8" s="2" t="inlineStr">
        <is>
          <t>https://unctad.org/page/data-protection-and-privacy-legislation-worldwide</t>
        </is>
      </c>
      <c r="I8" s="1" t="inlineStr">
        <is>
          <t>No</t>
        </is>
      </c>
      <c r="J8" s="2" t="inlineStr">
        <is>
          <t>https://www.unicef.org/madagascar/</t>
        </is>
      </c>
      <c r="K8" s="1" t="inlineStr">
        <is>
          <t>No</t>
        </is>
      </c>
      <c r="L8" s="2" t="inlineStr">
        <is>
          <t>https://unctad.org/page/data-protection-and-privacy-legislation-worldwide</t>
        </is>
      </c>
      <c r="M8" s="1" t="inlineStr">
        <is>
          <t>Weak (regulator under government)</t>
        </is>
      </c>
      <c r="N8" s="2" t="inlineStr">
        <is>
          <t>https://unctad.org/page/data-protection-and-privacy-legislation-worldwide</t>
        </is>
      </c>
      <c r="O8" s="1" t="inlineStr">
        <is>
          <t>No</t>
        </is>
      </c>
      <c r="P8" s="2" t="inlineStr">
        <is>
          <t>https://unctad.org/page/data-protection-and-privacy-legislation-worldwide</t>
        </is>
      </c>
      <c r="Q8" s="1" t="inlineStr">
        <is>
          <t>Criminalised (Penal Code provisions)</t>
        </is>
      </c>
      <c r="R8" s="2" t="inlineStr">
        <is>
          <t>https://www.humandignitytrust.org/country-profile/madagascar/; https://ilga.org/ilga-world-maps/</t>
        </is>
      </c>
      <c r="S8" s="1" t="inlineStr">
        <is>
          <t>Yes</t>
        </is>
      </c>
      <c r="T8" s="2" t="inlineStr">
        <is>
          <t>https://ilga.org/ilga-world-maps/</t>
        </is>
      </c>
      <c r="U8" s="1" t="inlineStr">
        <is>
          <t>No</t>
        </is>
      </c>
      <c r="V8" s="2" t="inlineStr">
        <is>
          <t>https://www.unicef.org/madagascar/</t>
        </is>
      </c>
      <c r="W8" s="1" t="inlineStr">
        <is>
          <t>Yes (mandatory SIM ID)</t>
        </is>
      </c>
      <c r="X8" s="2" t="inlineStr">
        <is>
          <t>https://www.gsma.com/solutions-and-impact/connectivity-for-good/public-policy/mobile-policy-handbook/consumer-protection/mandatory-registration-of-prepaid-sims/</t>
        </is>
      </c>
      <c r="Y8" s="1" t="n">
        <v>103</v>
      </c>
    </row>
    <row r="9">
      <c r="A9" s="1" t="n">
        <v>104</v>
      </c>
      <c r="B9" s="1" t="inlineStr">
        <is>
          <t>Malawi</t>
        </is>
      </c>
      <c r="C9" s="1" t="inlineStr">
        <is>
          <t>Africa</t>
        </is>
      </c>
      <c r="D9" s="1" t="inlineStr">
        <is>
          <t>SADC</t>
        </is>
      </c>
      <c r="E9" s="1" t="inlineStr">
        <is>
          <t>Draft/Early (Digital Malawi Program)</t>
        </is>
      </c>
      <c r="F9" s="2" t="inlineStr">
        <is>
          <t>https://en.unesco.org/artificial-intelligence/observatory/policies?country=MW; https://www.unesco.org/ethics-ai/en/global-hub</t>
        </is>
      </c>
      <c r="G9" s="1" t="inlineStr">
        <is>
          <t>In force (Data Protection Act, 2021)</t>
        </is>
      </c>
      <c r="H9" s="2" t="inlineStr">
        <is>
          <t>https://unctad.org/page/data-protection-and-privacy-legislation-worldwide</t>
        </is>
      </c>
      <c r="I9" s="1" t="inlineStr">
        <is>
          <t>Partial (general child protections)</t>
        </is>
      </c>
      <c r="J9" s="2" t="inlineStr">
        <is>
          <t>https://unctad.org/page/data-protection-and-privacy-legislation-worldwide; https://www.unicef.org/malawi/</t>
        </is>
      </c>
      <c r="K9" s="1" t="inlineStr">
        <is>
          <t>No</t>
        </is>
      </c>
      <c r="L9" s="2" t="inlineStr">
        <is>
          <t>https://unctad.org/page/data-protection-and-privacy-legislation-worldwide</t>
        </is>
      </c>
      <c r="M9" s="1" t="inlineStr">
        <is>
          <t>Moderate (framework established; limited independence)</t>
        </is>
      </c>
      <c r="N9" s="2" t="inlineStr">
        <is>
          <t>https://unctad.org/page/data-protection-and-privacy-legislation-worldwide</t>
        </is>
      </c>
      <c r="O9" s="1" t="inlineStr">
        <is>
          <t>No</t>
        </is>
      </c>
      <c r="P9" s="2" t="inlineStr">
        <is>
          <t>https://unctad.org/page/data-protection-and-privacy-legislation-worldwide</t>
        </is>
      </c>
      <c r="Q9" s="1" t="inlineStr">
        <is>
          <t>Criminalised (Penal Code Section 153)</t>
        </is>
      </c>
      <c r="R9" s="2" t="inlineStr">
        <is>
          <t>https://www.humandignitytrust.org/country-profile/malawi/; https://ilga.org/ilga-world-maps/</t>
        </is>
      </c>
      <c r="S9" s="1" t="inlineStr">
        <is>
          <t>Yes</t>
        </is>
      </c>
      <c r="T9" s="2" t="inlineStr">
        <is>
          <t>https://ilga.org/ilga-world-maps/</t>
        </is>
      </c>
      <c r="U9" s="1" t="inlineStr">
        <is>
          <t>No</t>
        </is>
      </c>
      <c r="V9" s="2" t="inlineStr">
        <is>
          <t>https://www.unicef.org/malawi/</t>
        </is>
      </c>
      <c r="W9" s="1" t="inlineStr">
        <is>
          <t>Yes (SIM tied to biometric ID)</t>
        </is>
      </c>
      <c r="X9" s="2" t="inlineStr">
        <is>
          <t>https://www.gsma.com/solutions-and-impact/connectivity-for-good/public-policy/mobile-policy-handbook/consumer-protection/mandatory-registration-of-prepaid-sims/; https://privacyinternational.org/learn/sim-card-registration</t>
        </is>
      </c>
      <c r="Y9" s="1" t="n">
        <v>104</v>
      </c>
    </row>
    <row r="10">
      <c r="A10" s="1" t="n">
        <v>111</v>
      </c>
      <c r="B10" s="1" t="inlineStr">
        <is>
          <t>Mauritius</t>
        </is>
      </c>
      <c r="C10" s="1" t="inlineStr">
        <is>
          <t>Africa</t>
        </is>
      </c>
      <c r="D10" s="1" t="inlineStr">
        <is>
          <t>SADC</t>
        </is>
      </c>
      <c r="E10" s="1" t="inlineStr">
        <is>
          <t>Draft/Early (Digital Mauritius 2030 agenda)</t>
        </is>
      </c>
      <c r="F10" s="2" t="inlineStr">
        <is>
          <t>https://en.unesco.org/artificial-intelligence/observatory/policies?country=MU; https://www.unesco.org/ethics-ai/en/global-hub</t>
        </is>
      </c>
      <c r="G10" s="1" t="inlineStr">
        <is>
          <t>In force (Data Protection Act, 2017)</t>
        </is>
      </c>
      <c r="H10" s="2" t="inlineStr">
        <is>
          <t>https://unctad.org/page/data-protection-and-privacy-legislation-worldwide</t>
        </is>
      </c>
      <c r="I10" s="1" t="inlineStr">
        <is>
          <t>Partial</t>
        </is>
      </c>
      <c r="J10" s="2" t="inlineStr">
        <is>
          <t>https://unctad.org/page/data-protection-and-privacy-legislation-worldwide; https://www.unicef.org/mauritius/</t>
        </is>
      </c>
      <c r="K10" s="1" t="inlineStr">
        <is>
          <t>No explicit provisions</t>
        </is>
      </c>
      <c r="L10" s="2" t="inlineStr">
        <is>
          <t>https://unctad.org/page/data-protection-and-privacy-legislation-worldwide</t>
        </is>
      </c>
      <c r="M10" s="1" t="inlineStr">
        <is>
          <t>Strong/Independent (Data Protection Commissioner)</t>
        </is>
      </c>
      <c r="N10" s="2" t="inlineStr">
        <is>
          <t>https://unctad.org/page/data-protection-and-privacy-legislation-worldwide</t>
        </is>
      </c>
      <c r="O10" s="1" t="inlineStr">
        <is>
          <t>Yes (under DPA 2017)</t>
        </is>
      </c>
      <c r="P10" s="2" t="inlineStr">
        <is>
          <t>https://unctad.org/page/data-protection-and-privacy-legislation-worldwide</t>
        </is>
      </c>
      <c r="Q10" s="1" t="inlineStr">
        <is>
          <t>Legal (decriminalised 2023; no marriage equality)</t>
        </is>
      </c>
      <c r="R10" s="2" t="inlineStr">
        <is>
          <t>https://www.humandignitytrust.org/country-profile/mauritius/; https://ilga.org/ilga-world-maps/</t>
        </is>
      </c>
      <c r="S10" s="1" t="inlineStr">
        <is>
          <t>No</t>
        </is>
      </c>
      <c r="T10" s="2" t="inlineStr">
        <is>
          <t>https://ilga.org/ilga-world-maps/</t>
        </is>
      </c>
      <c r="U10" s="1" t="inlineStr">
        <is>
          <t>Partial (school campaigns)</t>
        </is>
      </c>
      <c r="V10" s="2" t="inlineStr">
        <is>
          <t>https://www.unicef.org/mauritius/</t>
        </is>
      </c>
      <c r="W10" s="1" t="inlineStr">
        <is>
          <t>Yes</t>
        </is>
      </c>
      <c r="X10" s="2" t="inlineStr">
        <is>
          <t>https://www.gsma.com/solutions-and-impact/connectivity-for-good/public-policy/mobile-policy-handbook/consumer-protection/mandatory-registration-of-prepaid-sims/</t>
        </is>
      </c>
      <c r="Y10" s="1" t="n">
        <v>111</v>
      </c>
    </row>
    <row r="11">
      <c r="A11" s="1" t="n">
        <v>118</v>
      </c>
      <c r="B11" s="1" t="inlineStr">
        <is>
          <t>Mozambique</t>
        </is>
      </c>
      <c r="C11" s="1" t="inlineStr">
        <is>
          <t>Africa</t>
        </is>
      </c>
      <c r="D11" s="1" t="inlineStr">
        <is>
          <t>SADC</t>
        </is>
      </c>
      <c r="E11" s="1" t="inlineStr">
        <is>
          <t>None</t>
        </is>
      </c>
      <c r="F11" s="2" t="inlineStr">
        <is>
          <t>https://en.unesco.org/artificial-intelligence/observatory/policies?country=MZ; https://www.unesco.org/ethics-ai/en/global-hub</t>
        </is>
      </c>
      <c r="G11" s="1" t="inlineStr">
        <is>
          <t>Draft (bill pending)</t>
        </is>
      </c>
      <c r="H11" s="2" t="inlineStr">
        <is>
          <t>https://unctad.org/page/data-protection-and-privacy-legislation-worldwide</t>
        </is>
      </c>
      <c r="I11" s="1" t="inlineStr">
        <is>
          <t>No</t>
        </is>
      </c>
      <c r="J11" s="2" t="inlineStr">
        <is>
          <t>https://www.unicef.org/mozambique/</t>
        </is>
      </c>
      <c r="K11" s="1" t="inlineStr">
        <is>
          <t>No</t>
        </is>
      </c>
      <c r="L11" s="2" t="inlineStr">
        <is>
          <t>https://unctad.org/page/data-protection-and-privacy-legislation-worldwide</t>
        </is>
      </c>
      <c r="M11" s="1" t="inlineStr">
        <is>
          <t>None</t>
        </is>
      </c>
      <c r="N11" s="2" t="inlineStr">
        <is>
          <t>https://unctad.org/page/data-protection-and-privacy-legislation-worldwide</t>
        </is>
      </c>
      <c r="O11" s="1" t="inlineStr">
        <is>
          <t>No</t>
        </is>
      </c>
      <c r="P11" s="2" t="inlineStr">
        <is>
          <t>https://unctad.org/page/data-protection-and-privacy-legislation-worldwide</t>
        </is>
      </c>
      <c r="Q11" s="1" t="inlineStr">
        <is>
          <t>Legal (decriminalised 2015; no marriage)</t>
        </is>
      </c>
      <c r="R11" s="2" t="inlineStr">
        <is>
          <t>https://www.humandignitytrust.org/country-profile/mozambique/; https://ilga.org/ilga-world-maps/</t>
        </is>
      </c>
      <c r="S11" s="1" t="inlineStr">
        <is>
          <t>No</t>
        </is>
      </c>
      <c r="T11" s="2" t="inlineStr">
        <is>
          <t>https://ilga.org/ilga-world-maps/</t>
        </is>
      </c>
      <c r="U11" s="1" t="inlineStr">
        <is>
          <t>No</t>
        </is>
      </c>
      <c r="V11" s="2" t="inlineStr">
        <is>
          <t>https://www.unicef.org/mozambique/</t>
        </is>
      </c>
      <c r="W11" s="1" t="inlineStr">
        <is>
          <t>Yes (ID required; biometrics emerging)</t>
        </is>
      </c>
      <c r="X11" s="2" t="inlineStr">
        <is>
          <t>https://www.gsma.com/solutions-and-impact/connectivity-for-good/public-policy/mobile-policy-handbook/consumer-protection/mandatory-registration-of-prepaid-sims/; https://privacyinternational.org/learn/sim-card-registration</t>
        </is>
      </c>
      <c r="Y11" s="1" t="n">
        <v>118</v>
      </c>
    </row>
    <row r="12">
      <c r="A12" s="1" t="n">
        <v>120</v>
      </c>
      <c r="B12" s="1" t="inlineStr">
        <is>
          <t>Namibia</t>
        </is>
      </c>
      <c r="C12" s="1" t="inlineStr">
        <is>
          <t>Africa</t>
        </is>
      </c>
      <c r="D12" s="1" t="inlineStr">
        <is>
          <t>SADC</t>
        </is>
      </c>
      <c r="E12" s="1" t="inlineStr">
        <is>
          <t>Draft/Early (AI included in ICT strategy)</t>
        </is>
      </c>
      <c r="F12" s="2" t="inlineStr">
        <is>
          <t>https://en.unesco.org/artificial-intelligence/observatory/policies?country=NA; https://www.unesco.org/ethics-ai/en/global-hub</t>
        </is>
      </c>
      <c r="G12" s="1" t="inlineStr">
        <is>
          <t>Draft (Data Protection Bill pending)</t>
        </is>
      </c>
      <c r="H12" s="2" t="inlineStr">
        <is>
          <t>https://unctad.org/page/data-protection-and-privacy-legislation-worldwide</t>
        </is>
      </c>
      <c r="I12" s="1" t="inlineStr">
        <is>
          <t>No</t>
        </is>
      </c>
      <c r="J12" s="2" t="inlineStr">
        <is>
          <t>https://www.unicef.org/namibia/</t>
        </is>
      </c>
      <c r="K12" s="1" t="inlineStr">
        <is>
          <t>No</t>
        </is>
      </c>
      <c r="L12" s="2" t="inlineStr">
        <is>
          <t>https://unctad.org/page/data-protection-and-privacy-legislation-worldwide</t>
        </is>
      </c>
      <c r="M12" s="1" t="inlineStr">
        <is>
          <t>None yet</t>
        </is>
      </c>
      <c r="N12" s="2" t="inlineStr">
        <is>
          <t>https://unctad.org/page/data-protection-and-privacy-legislation-worldwide</t>
        </is>
      </c>
      <c r="O12" s="1" t="inlineStr">
        <is>
          <t>No</t>
        </is>
      </c>
      <c r="P12" s="2" t="inlineStr">
        <is>
          <t>https://unctad.org/page/data-protection-and-privacy-legislation-worldwide</t>
        </is>
      </c>
      <c r="Q12" s="1" t="inlineStr">
        <is>
          <t>Legal (sodomy law unenforced; partnerships pending)</t>
        </is>
      </c>
      <c r="R12" s="2" t="inlineStr">
        <is>
          <t>https://www.humandignitytrust.org/country-profile/namibia/; https://ilga.org/ilga-world-maps/</t>
        </is>
      </c>
      <c r="S12" s="1" t="inlineStr">
        <is>
          <t>No</t>
        </is>
      </c>
      <c r="T12" s="2" t="inlineStr">
        <is>
          <t>https://ilga.org/ilga-world-maps/</t>
        </is>
      </c>
      <c r="U12" s="1" t="inlineStr">
        <is>
          <t>No</t>
        </is>
      </c>
      <c r="V12" s="2" t="inlineStr">
        <is>
          <t>https://www.unicef.org/namibia/</t>
        </is>
      </c>
      <c r="W12" s="1" t="inlineStr">
        <is>
          <t>Yes</t>
        </is>
      </c>
      <c r="X12" s="2" t="inlineStr">
        <is>
          <t>https://www.gsma.com/solutions-and-impact/connectivity-for-good/public-policy/mobile-policy-handbook/consumer-protection/mandatory-registration-of-prepaid-sims/</t>
        </is>
      </c>
      <c r="Y12" s="1" t="n">
        <v>120</v>
      </c>
    </row>
    <row r="13">
      <c r="A13" s="1" t="n">
        <v>155</v>
      </c>
      <c r="B13" s="1" t="inlineStr">
        <is>
          <t>Seychelles</t>
        </is>
      </c>
      <c r="C13" s="1" t="inlineStr">
        <is>
          <t>Africa</t>
        </is>
      </c>
      <c r="D13" s="1" t="inlineStr">
        <is>
          <t>SADC</t>
        </is>
      </c>
      <c r="E13" s="1" t="inlineStr">
        <is>
          <t>None</t>
        </is>
      </c>
      <c r="F13" s="2" t="inlineStr">
        <is>
          <t>https://en.unesco.org/artificial-intelligence/observatory/policies?country=SC; https://www.unesco.org/ethics-ai/en/global-hub</t>
        </is>
      </c>
      <c r="G13" s="1" t="inlineStr">
        <is>
          <t>In force — Data Protection Act 2003 (weak)</t>
        </is>
      </c>
      <c r="H13" s="2" t="inlineStr">
        <is>
          <t>https://unctad.org/page/data-protection-and-privacy-legislation-worldwide</t>
        </is>
      </c>
      <c r="I13" s="1" t="inlineStr">
        <is>
          <t>No</t>
        </is>
      </c>
      <c r="J13" s="2" t="inlineStr">
        <is>
          <t>https://www.unicef.org/seychelles/</t>
        </is>
      </c>
      <c r="K13" s="1" t="inlineStr">
        <is>
          <t>No</t>
        </is>
      </c>
      <c r="L13" s="2" t="inlineStr">
        <is>
          <t>https://unctad.org/page/data-protection-and-privacy-legislation-worldwide</t>
        </is>
      </c>
      <c r="M13" s="1" t="inlineStr">
        <is>
          <t>Weak — under Ministry</t>
        </is>
      </c>
      <c r="N13" s="2" t="inlineStr">
        <is>
          <t>https://unctad.org/page/data-protection-and-privacy-legislation-worldwide</t>
        </is>
      </c>
      <c r="O13" s="1" t="inlineStr">
        <is>
          <t>No</t>
        </is>
      </c>
      <c r="P13" s="2" t="inlineStr">
        <is>
          <t>https://unctad.org/page/data-protection-and-privacy-legislation-worldwide</t>
        </is>
      </c>
      <c r="Q13" s="1" t="inlineStr">
        <is>
          <t>Legal — decriminalised 2016, no recognition</t>
        </is>
      </c>
      <c r="R13" s="2" t="inlineStr">
        <is>
          <t>https://www.humandignitytrust.org/country-profile/seychelles/; https://ilga.org/ilga-world-maps/</t>
        </is>
      </c>
      <c r="S13" s="1" t="inlineStr">
        <is>
          <t>No</t>
        </is>
      </c>
      <c r="T13" s="2" t="inlineStr">
        <is>
          <t>https://ilga.org/ilga-world-maps/</t>
        </is>
      </c>
      <c r="U13" s="1" t="inlineStr">
        <is>
          <t>No</t>
        </is>
      </c>
      <c r="V13" s="2" t="inlineStr">
        <is>
          <t>https://www.unicef.org/seychelles/</t>
        </is>
      </c>
      <c r="W13" s="1" t="inlineStr">
        <is>
          <t>Yes</t>
        </is>
      </c>
      <c r="X13" s="2" t="inlineStr">
        <is>
          <t>https://www.gsma.com/solutions-and-impact/connectivity-for-good/public-policy/mobile-policy-handbook/consumer-protection/mandatory-registration-of-prepaid-sims/</t>
        </is>
      </c>
      <c r="Y13" s="1" t="n">
        <v>155</v>
      </c>
    </row>
    <row r="14">
      <c r="A14" s="1" t="n">
        <v>162</v>
      </c>
      <c r="B14" s="1" t="inlineStr">
        <is>
          <t>South Africa</t>
        </is>
      </c>
      <c r="C14" s="1" t="inlineStr">
        <is>
          <t>Africa</t>
        </is>
      </c>
      <c r="D14" s="1" t="inlineStr">
        <is>
          <t>SADC</t>
        </is>
      </c>
      <c r="E14" s="1" t="inlineStr">
        <is>
          <t>Draft/Early — AI White Paper in preparation</t>
        </is>
      </c>
      <c r="F14" s="2" t="inlineStr">
        <is>
          <t>https://en.unesco.org/artificial-intelligence/observatory/policies?country=ZA; https://www.unesco.org/ethics-ai/en/global-hub</t>
        </is>
      </c>
      <c r="G14" s="1" t="inlineStr">
        <is>
          <t>In force — POPIA (2020)</t>
        </is>
      </c>
      <c r="H14" s="2" t="inlineStr">
        <is>
          <t>https://unctad.org/page/data-protection-and-privacy-legislation-worldwide</t>
        </is>
      </c>
      <c r="I14" s="1" t="inlineStr">
        <is>
          <t>Yes</t>
        </is>
      </c>
      <c r="J14" s="2" t="inlineStr">
        <is>
          <t>https://unctad.org/page/data-protection-and-privacy-legislation-worldwide; https://www.unicef.org/south-africa/</t>
        </is>
      </c>
      <c r="K14" s="1" t="inlineStr">
        <is>
          <t>Yes</t>
        </is>
      </c>
      <c r="L14" s="2" t="inlineStr">
        <is>
          <t>https://unctad.org/page/data-protection-and-privacy-legislation-worldwide</t>
        </is>
      </c>
      <c r="M14" s="1" t="inlineStr">
        <is>
          <t>Strong — Information Regulator</t>
        </is>
      </c>
      <c r="N14" s="2" t="inlineStr">
        <is>
          <t>https://unctad.org/page/data-protection-and-privacy-legislation-worldwide</t>
        </is>
      </c>
      <c r="O14" s="1" t="inlineStr">
        <is>
          <t>Yes</t>
        </is>
      </c>
      <c r="P14" s="2" t="inlineStr">
        <is>
          <t>https://unctad.org/page/data-protection-and-privacy-legislation-worldwide</t>
        </is>
      </c>
      <c r="Q14" s="1" t="inlineStr">
        <is>
          <t>Equality/Marriage — since 2006</t>
        </is>
      </c>
      <c r="R14" s="2" t="inlineStr">
        <is>
          <t>https://www.humandignitytrust.org/country-profile/south-africa/; https://ilga.org/ilga-world-maps/</t>
        </is>
      </c>
      <c r="S14" s="1" t="inlineStr">
        <is>
          <t>No</t>
        </is>
      </c>
      <c r="T14" s="2" t="inlineStr">
        <is>
          <t>https://ilga.org/ilga-world-maps/</t>
        </is>
      </c>
      <c r="U14" s="1" t="inlineStr">
        <is>
          <t>Yes — national COP plan</t>
        </is>
      </c>
      <c r="V14" s="2" t="inlineStr">
        <is>
          <t>https://www.unicef.org/south-africa/</t>
        </is>
      </c>
      <c r="W14" s="1" t="inlineStr">
        <is>
          <t>No</t>
        </is>
      </c>
      <c r="X14" s="2" t="inlineStr">
        <is>
          <t>https://www.gsma.com/solutions-and-impact/connectivity-for-good/public-policy/mobile-policy-handbook/consumer-protection/mandatory-registration-of-prepaid-sims/</t>
        </is>
      </c>
      <c r="Y14" s="1" t="n">
        <v>162</v>
      </c>
    </row>
    <row r="15">
      <c r="A15" s="1" t="n">
        <v>173</v>
      </c>
      <c r="B15" s="1" t="inlineStr">
        <is>
          <t>Tanzania</t>
        </is>
      </c>
      <c r="C15" s="1" t="inlineStr">
        <is>
          <t>Africa</t>
        </is>
      </c>
      <c r="D15" s="1" t="inlineStr">
        <is>
          <t>SADC</t>
        </is>
      </c>
      <c r="E15" s="1" t="inlineStr">
        <is>
          <t>None</t>
        </is>
      </c>
      <c r="F15" s="2" t="inlineStr">
        <is>
          <t>https://en.unesco.org/artificial-intelligence/observatory/policies?country=TZ; https://www.unesco.org/ethics-ai/en/global-hub</t>
        </is>
      </c>
      <c r="G15" s="1" t="inlineStr">
        <is>
          <t>Draft only</t>
        </is>
      </c>
      <c r="H15" s="2" t="inlineStr">
        <is>
          <t>https://unctad.org/page/data-protection-and-privacy-legislation-worldwide</t>
        </is>
      </c>
      <c r="I15" s="1" t="inlineStr">
        <is>
          <t>No</t>
        </is>
      </c>
      <c r="J15" s="2" t="inlineStr">
        <is>
          <t>https://www.unicef.org/tanzania/</t>
        </is>
      </c>
      <c r="K15" s="1" t="inlineStr">
        <is>
          <t>No</t>
        </is>
      </c>
      <c r="L15" s="2" t="inlineStr">
        <is>
          <t>https://unctad.org/page/data-protection-and-privacy-legislation-worldwide</t>
        </is>
      </c>
      <c r="M15" s="1" t="inlineStr">
        <is>
          <t>None</t>
        </is>
      </c>
      <c r="N15" s="2" t="inlineStr">
        <is>
          <t>https://unctad.org/page/data-protection-and-privacy-legislation-worldwide</t>
        </is>
      </c>
      <c r="O15" s="1" t="inlineStr">
        <is>
          <t>No</t>
        </is>
      </c>
      <c r="P15" s="2" t="inlineStr">
        <is>
          <t>https://unctad.org/page/data-protection-and-privacy-legislation-worldwide</t>
        </is>
      </c>
      <c r="Q15" s="1" t="inlineStr">
        <is>
          <t>Criminalised — Penal Code Sec. 154</t>
        </is>
      </c>
      <c r="R15" s="2" t="inlineStr">
        <is>
          <t>https://www.humandignitytrust.org/country-profile/tanzania/; https://ilga.org/ilga-world-maps/</t>
        </is>
      </c>
      <c r="S15" s="1" t="inlineStr">
        <is>
          <t>Yes — promotion bans</t>
        </is>
      </c>
      <c r="T15" s="2" t="inlineStr">
        <is>
          <t>https://ilga.org/ilga-world-maps/</t>
        </is>
      </c>
      <c r="U15" s="1" t="inlineStr">
        <is>
          <t>No</t>
        </is>
      </c>
      <c r="V15" s="2" t="inlineStr">
        <is>
          <t>https://www.unicef.org/tanzania/</t>
        </is>
      </c>
      <c r="W15" s="1" t="inlineStr">
        <is>
          <t>Yes — biometric SIM registration mandatory since 2020</t>
        </is>
      </c>
      <c r="X15" s="2" t="inlineStr">
        <is>
          <t>https://www.gsma.com/solutions-and-impact/connectivity-for-good/public-policy/mobile-policy-handbook/consumer-protection/mandatory-registration-of-prepaid-sims/; https://privacyinternational.org/learn/sim-card-registration</t>
        </is>
      </c>
      <c r="Y15" s="1" t="n">
        <v>173</v>
      </c>
    </row>
    <row r="16">
      <c r="A16" s="1" t="n">
        <v>194</v>
      </c>
      <c r="B16" s="1" t="inlineStr">
        <is>
          <t>Zambia</t>
        </is>
      </c>
      <c r="C16" s="1" t="inlineStr">
        <is>
          <t>Africa</t>
        </is>
      </c>
      <c r="D16" s="1" t="inlineStr">
        <is>
          <t>SADC</t>
        </is>
      </c>
      <c r="E16" s="1" t="inlineStr">
        <is>
          <t>Draft/Early — National AI Policy 2022</t>
        </is>
      </c>
      <c r="F16" s="2" t="inlineStr">
        <is>
          <t>https://en.unesco.org/artificial-intelligence/observatory/policies?country=ZM; https://www.unesco.org/ethics-ai/en/global-hub</t>
        </is>
      </c>
      <c r="G16" s="1" t="inlineStr">
        <is>
          <t>In force — Data Protection Act 2021</t>
        </is>
      </c>
      <c r="H16" s="2" t="inlineStr">
        <is>
          <t>https://unctad.org/page/data-protection-and-privacy-legislation-worldwide</t>
        </is>
      </c>
      <c r="I16" s="1" t="inlineStr">
        <is>
          <t>Partial</t>
        </is>
      </c>
      <c r="J16" s="2" t="inlineStr">
        <is>
          <t>https://unctad.org/page/data-protection-and-privacy-legislation-worldwide; https://www.unicef.org/zambia/</t>
        </is>
      </c>
      <c r="K16" s="1" t="inlineStr">
        <is>
          <t>No</t>
        </is>
      </c>
      <c r="L16" s="2" t="inlineStr">
        <is>
          <t>https://unctad.org/page/data-protection-and-privacy-legislation-worldwide</t>
        </is>
      </c>
      <c r="M16" s="1" t="inlineStr">
        <is>
          <t>Weak</t>
        </is>
      </c>
      <c r="N16" s="2" t="inlineStr">
        <is>
          <t>https://unctad.org/page/data-protection-and-privacy-legislation-worldwide</t>
        </is>
      </c>
      <c r="O16" s="1" t="inlineStr">
        <is>
          <t>No</t>
        </is>
      </c>
      <c r="P16" s="2" t="inlineStr">
        <is>
          <t>https://unctad.org/page/data-protection-and-privacy-legislation-worldwide</t>
        </is>
      </c>
      <c r="Q16" s="1" t="inlineStr">
        <is>
          <t>Criminalised</t>
        </is>
      </c>
      <c r="R16" s="2" t="inlineStr">
        <is>
          <t>https://www.humandignitytrust.org/country-profile/zambia/; https://ilga.org/ilga-world-maps/</t>
        </is>
      </c>
      <c r="S16" s="1" t="inlineStr">
        <is>
          <t>Yes</t>
        </is>
      </c>
      <c r="T16" s="2" t="inlineStr">
        <is>
          <t>https://ilga.org/ilga-world-maps/</t>
        </is>
      </c>
      <c r="U16" s="1" t="inlineStr">
        <is>
          <t>No</t>
        </is>
      </c>
      <c r="V16" s="2" t="inlineStr">
        <is>
          <t>https://www.unicef.org/zambia/</t>
        </is>
      </c>
      <c r="W16" s="1" t="inlineStr">
        <is>
          <t>Yes</t>
        </is>
      </c>
      <c r="X16" s="2" t="inlineStr">
        <is>
          <t>https://www.gsma.com/solutions-and-impact/connectivity-for-good/public-policy/mobile-policy-handbook/consumer-protection/mandatory-registration-of-prepaid-sims/</t>
        </is>
      </c>
      <c r="Y16" s="1" t="n">
        <v>194</v>
      </c>
    </row>
    <row r="17">
      <c r="A17" s="1" t="n">
        <v>195</v>
      </c>
      <c r="B17" s="1" t="inlineStr">
        <is>
          <t>Zimbabwe</t>
        </is>
      </c>
      <c r="C17" s="1" t="inlineStr">
        <is>
          <t>Africa</t>
        </is>
      </c>
      <c r="D17" s="1" t="inlineStr">
        <is>
          <t>SADC</t>
        </is>
      </c>
      <c r="E17" s="1" t="inlineStr">
        <is>
          <t>Draft/Early — Smart Zimbabwe 2030</t>
        </is>
      </c>
      <c r="F17" s="2" t="inlineStr">
        <is>
          <t>https://en.unesco.org/artificial-intelligence/observatory/policies?country=ZW; https://www.unesco.org/ethics-ai/en/global-hub</t>
        </is>
      </c>
      <c r="G17" s="1" t="inlineStr">
        <is>
          <t>In force — Cybersecurity and Data Protection Act 2021</t>
        </is>
      </c>
      <c r="H17" s="2" t="inlineStr">
        <is>
          <t>https://unctad.org/page/data-protection-and-privacy-legislation-worldwide</t>
        </is>
      </c>
      <c r="I17" s="1" t="inlineStr">
        <is>
          <t>No</t>
        </is>
      </c>
      <c r="J17" s="2" t="inlineStr">
        <is>
          <t>https://www.unicef.org/zimbabwe/</t>
        </is>
      </c>
      <c r="K17" s="1" t="inlineStr">
        <is>
          <t>No</t>
        </is>
      </c>
      <c r="L17" s="2" t="inlineStr">
        <is>
          <t>https://unctad.org/page/data-protection-and-privacy-legislation-worldwide</t>
        </is>
      </c>
      <c r="M17" s="1" t="inlineStr">
        <is>
          <t>Weak</t>
        </is>
      </c>
      <c r="N17" s="2" t="inlineStr">
        <is>
          <t>https://unctad.org/page/data-protection-and-privacy-legislation-worldwide</t>
        </is>
      </c>
      <c r="O17" s="1" t="inlineStr">
        <is>
          <t>No</t>
        </is>
      </c>
      <c r="P17" s="2" t="inlineStr">
        <is>
          <t>https://unctad.org/page/data-protection-and-privacy-legislation-worldwide</t>
        </is>
      </c>
      <c r="Q17" s="1" t="inlineStr">
        <is>
          <t>Criminalised</t>
        </is>
      </c>
      <c r="R17" s="2" t="inlineStr">
        <is>
          <t>https://www.humandignitytrust.org/country-profile/zimbabwe/; https://ilga.org/ilga-world-maps/</t>
        </is>
      </c>
      <c r="S17" s="1" t="inlineStr">
        <is>
          <t>Yes</t>
        </is>
      </c>
      <c r="T17" s="2" t="inlineStr">
        <is>
          <t>https://ilga.org/ilga-world-maps/</t>
        </is>
      </c>
      <c r="U17" s="1" t="inlineStr">
        <is>
          <t>No</t>
        </is>
      </c>
      <c r="V17" s="2" t="inlineStr">
        <is>
          <t>https://www.unicef.org/zimbabwe/</t>
        </is>
      </c>
      <c r="W17" s="1" t="inlineStr">
        <is>
          <t>Yes</t>
        </is>
      </c>
      <c r="X17" s="2" t="inlineStr">
        <is>
          <t>https://www.gsma.com/solutions-and-impact/connectivity-for-good/public-policy/mobile-policy-handbook/consumer-protection/mandatory-registration-of-prepaid-sims/</t>
        </is>
      </c>
      <c r="Y17" s="1" t="n">
        <v>195</v>
      </c>
    </row>
  </sheetData>
  <hyperlinks>
    <hyperlink xmlns:r="http://schemas.openxmlformats.org/officeDocument/2006/relationships" ref="F2" r:id="rId1"/>
    <hyperlink xmlns:r="http://schemas.openxmlformats.org/officeDocument/2006/relationships" ref="H2" r:id="rId2"/>
    <hyperlink xmlns:r="http://schemas.openxmlformats.org/officeDocument/2006/relationships" ref="J2" r:id="rId3"/>
    <hyperlink xmlns:r="http://schemas.openxmlformats.org/officeDocument/2006/relationships" ref="L2" r:id="rId4"/>
    <hyperlink xmlns:r="http://schemas.openxmlformats.org/officeDocument/2006/relationships" ref="N2" r:id="rId5"/>
    <hyperlink xmlns:r="http://schemas.openxmlformats.org/officeDocument/2006/relationships" ref="P2" r:id="rId6"/>
    <hyperlink xmlns:r="http://schemas.openxmlformats.org/officeDocument/2006/relationships" ref="R2" r:id="rId7"/>
    <hyperlink xmlns:r="http://schemas.openxmlformats.org/officeDocument/2006/relationships" ref="T2" r:id="rId8"/>
    <hyperlink xmlns:r="http://schemas.openxmlformats.org/officeDocument/2006/relationships" ref="V2" r:id="rId9"/>
    <hyperlink xmlns:r="http://schemas.openxmlformats.org/officeDocument/2006/relationships" ref="X2" r:id="rId10"/>
    <hyperlink xmlns:r="http://schemas.openxmlformats.org/officeDocument/2006/relationships" ref="F3" r:id="rId11"/>
    <hyperlink xmlns:r="http://schemas.openxmlformats.org/officeDocument/2006/relationships" ref="H3" r:id="rId12"/>
    <hyperlink xmlns:r="http://schemas.openxmlformats.org/officeDocument/2006/relationships" ref="J3" r:id="rId13"/>
    <hyperlink xmlns:r="http://schemas.openxmlformats.org/officeDocument/2006/relationships" ref="L3" r:id="rId14"/>
    <hyperlink xmlns:r="http://schemas.openxmlformats.org/officeDocument/2006/relationships" ref="N3" r:id="rId15"/>
    <hyperlink xmlns:r="http://schemas.openxmlformats.org/officeDocument/2006/relationships" ref="P3" r:id="rId16"/>
    <hyperlink xmlns:r="http://schemas.openxmlformats.org/officeDocument/2006/relationships" ref="R3" r:id="rId17"/>
    <hyperlink xmlns:r="http://schemas.openxmlformats.org/officeDocument/2006/relationships" ref="T3" r:id="rId18"/>
    <hyperlink xmlns:r="http://schemas.openxmlformats.org/officeDocument/2006/relationships" ref="V3" r:id="rId19"/>
    <hyperlink xmlns:r="http://schemas.openxmlformats.org/officeDocument/2006/relationships" ref="X3" r:id="rId20"/>
    <hyperlink xmlns:r="http://schemas.openxmlformats.org/officeDocument/2006/relationships" ref="F4" r:id="rId21"/>
    <hyperlink xmlns:r="http://schemas.openxmlformats.org/officeDocument/2006/relationships" ref="H4" r:id="rId22"/>
    <hyperlink xmlns:r="http://schemas.openxmlformats.org/officeDocument/2006/relationships" ref="J4" r:id="rId23"/>
    <hyperlink xmlns:r="http://schemas.openxmlformats.org/officeDocument/2006/relationships" ref="L4" r:id="rId24"/>
    <hyperlink xmlns:r="http://schemas.openxmlformats.org/officeDocument/2006/relationships" ref="N4" r:id="rId25"/>
    <hyperlink xmlns:r="http://schemas.openxmlformats.org/officeDocument/2006/relationships" ref="P4" r:id="rId26"/>
    <hyperlink xmlns:r="http://schemas.openxmlformats.org/officeDocument/2006/relationships" ref="R4" r:id="rId27"/>
    <hyperlink xmlns:r="http://schemas.openxmlformats.org/officeDocument/2006/relationships" ref="T4" r:id="rId28"/>
    <hyperlink xmlns:r="http://schemas.openxmlformats.org/officeDocument/2006/relationships" ref="V4" r:id="rId29"/>
    <hyperlink xmlns:r="http://schemas.openxmlformats.org/officeDocument/2006/relationships" ref="X4" r:id="rId30"/>
    <hyperlink xmlns:r="http://schemas.openxmlformats.org/officeDocument/2006/relationships" ref="F5" r:id="rId31"/>
    <hyperlink xmlns:r="http://schemas.openxmlformats.org/officeDocument/2006/relationships" ref="H5" r:id="rId32"/>
    <hyperlink xmlns:r="http://schemas.openxmlformats.org/officeDocument/2006/relationships" ref="J5" r:id="rId33"/>
    <hyperlink xmlns:r="http://schemas.openxmlformats.org/officeDocument/2006/relationships" ref="L5" r:id="rId34"/>
    <hyperlink xmlns:r="http://schemas.openxmlformats.org/officeDocument/2006/relationships" ref="N5" r:id="rId35"/>
    <hyperlink xmlns:r="http://schemas.openxmlformats.org/officeDocument/2006/relationships" ref="P5" r:id="rId36"/>
    <hyperlink xmlns:r="http://schemas.openxmlformats.org/officeDocument/2006/relationships" ref="R5" r:id="rId37"/>
    <hyperlink xmlns:r="http://schemas.openxmlformats.org/officeDocument/2006/relationships" ref="T5" r:id="rId38"/>
    <hyperlink xmlns:r="http://schemas.openxmlformats.org/officeDocument/2006/relationships" ref="V5" r:id="rId39"/>
    <hyperlink xmlns:r="http://schemas.openxmlformats.org/officeDocument/2006/relationships" ref="X5" r:id="rId40"/>
    <hyperlink xmlns:r="http://schemas.openxmlformats.org/officeDocument/2006/relationships" ref="F6" r:id="rId41"/>
    <hyperlink xmlns:r="http://schemas.openxmlformats.org/officeDocument/2006/relationships" ref="H6" r:id="rId42"/>
    <hyperlink xmlns:r="http://schemas.openxmlformats.org/officeDocument/2006/relationships" ref="J6" r:id="rId43"/>
    <hyperlink xmlns:r="http://schemas.openxmlformats.org/officeDocument/2006/relationships" ref="L6" r:id="rId44"/>
    <hyperlink xmlns:r="http://schemas.openxmlformats.org/officeDocument/2006/relationships" ref="N6" r:id="rId45"/>
    <hyperlink xmlns:r="http://schemas.openxmlformats.org/officeDocument/2006/relationships" ref="P6" r:id="rId46"/>
    <hyperlink xmlns:r="http://schemas.openxmlformats.org/officeDocument/2006/relationships" ref="R6" r:id="rId47"/>
    <hyperlink xmlns:r="http://schemas.openxmlformats.org/officeDocument/2006/relationships" ref="T6" r:id="rId48"/>
    <hyperlink xmlns:r="http://schemas.openxmlformats.org/officeDocument/2006/relationships" ref="V6" r:id="rId49"/>
    <hyperlink xmlns:r="http://schemas.openxmlformats.org/officeDocument/2006/relationships" ref="X6" r:id="rId50"/>
    <hyperlink xmlns:r="http://schemas.openxmlformats.org/officeDocument/2006/relationships" ref="F7" r:id="rId51"/>
    <hyperlink xmlns:r="http://schemas.openxmlformats.org/officeDocument/2006/relationships" ref="H7" r:id="rId52"/>
    <hyperlink xmlns:r="http://schemas.openxmlformats.org/officeDocument/2006/relationships" ref="J7" r:id="rId53"/>
    <hyperlink xmlns:r="http://schemas.openxmlformats.org/officeDocument/2006/relationships" ref="L7" r:id="rId54"/>
    <hyperlink xmlns:r="http://schemas.openxmlformats.org/officeDocument/2006/relationships" ref="N7" r:id="rId55"/>
    <hyperlink xmlns:r="http://schemas.openxmlformats.org/officeDocument/2006/relationships" ref="P7" r:id="rId56"/>
    <hyperlink xmlns:r="http://schemas.openxmlformats.org/officeDocument/2006/relationships" ref="R7" r:id="rId57"/>
    <hyperlink xmlns:r="http://schemas.openxmlformats.org/officeDocument/2006/relationships" ref="T7" r:id="rId58"/>
    <hyperlink xmlns:r="http://schemas.openxmlformats.org/officeDocument/2006/relationships" ref="V7" r:id="rId59"/>
    <hyperlink xmlns:r="http://schemas.openxmlformats.org/officeDocument/2006/relationships" ref="X7" r:id="rId60"/>
    <hyperlink xmlns:r="http://schemas.openxmlformats.org/officeDocument/2006/relationships" ref="F8" r:id="rId61"/>
    <hyperlink xmlns:r="http://schemas.openxmlformats.org/officeDocument/2006/relationships" ref="H8" r:id="rId62"/>
    <hyperlink xmlns:r="http://schemas.openxmlformats.org/officeDocument/2006/relationships" ref="J8" r:id="rId63"/>
    <hyperlink xmlns:r="http://schemas.openxmlformats.org/officeDocument/2006/relationships" ref="L8" r:id="rId64"/>
    <hyperlink xmlns:r="http://schemas.openxmlformats.org/officeDocument/2006/relationships" ref="N8" r:id="rId65"/>
    <hyperlink xmlns:r="http://schemas.openxmlformats.org/officeDocument/2006/relationships" ref="P8" r:id="rId66"/>
    <hyperlink xmlns:r="http://schemas.openxmlformats.org/officeDocument/2006/relationships" ref="R8" r:id="rId67"/>
    <hyperlink xmlns:r="http://schemas.openxmlformats.org/officeDocument/2006/relationships" ref="T8" r:id="rId68"/>
    <hyperlink xmlns:r="http://schemas.openxmlformats.org/officeDocument/2006/relationships" ref="V8" r:id="rId69"/>
    <hyperlink xmlns:r="http://schemas.openxmlformats.org/officeDocument/2006/relationships" ref="X8" r:id="rId70"/>
    <hyperlink xmlns:r="http://schemas.openxmlformats.org/officeDocument/2006/relationships" ref="F9" r:id="rId71"/>
    <hyperlink xmlns:r="http://schemas.openxmlformats.org/officeDocument/2006/relationships" ref="H9" r:id="rId72"/>
    <hyperlink xmlns:r="http://schemas.openxmlformats.org/officeDocument/2006/relationships" ref="J9" r:id="rId73"/>
    <hyperlink xmlns:r="http://schemas.openxmlformats.org/officeDocument/2006/relationships" ref="L9" r:id="rId74"/>
    <hyperlink xmlns:r="http://schemas.openxmlformats.org/officeDocument/2006/relationships" ref="N9" r:id="rId75"/>
    <hyperlink xmlns:r="http://schemas.openxmlformats.org/officeDocument/2006/relationships" ref="P9" r:id="rId76"/>
    <hyperlink xmlns:r="http://schemas.openxmlformats.org/officeDocument/2006/relationships" ref="R9" r:id="rId77"/>
    <hyperlink xmlns:r="http://schemas.openxmlformats.org/officeDocument/2006/relationships" ref="T9" r:id="rId78"/>
    <hyperlink xmlns:r="http://schemas.openxmlformats.org/officeDocument/2006/relationships" ref="V9" r:id="rId79"/>
    <hyperlink xmlns:r="http://schemas.openxmlformats.org/officeDocument/2006/relationships" ref="X9" r:id="rId80"/>
    <hyperlink xmlns:r="http://schemas.openxmlformats.org/officeDocument/2006/relationships" ref="F10" r:id="rId81"/>
    <hyperlink xmlns:r="http://schemas.openxmlformats.org/officeDocument/2006/relationships" ref="H10" r:id="rId82"/>
    <hyperlink xmlns:r="http://schemas.openxmlformats.org/officeDocument/2006/relationships" ref="J10" r:id="rId83"/>
    <hyperlink xmlns:r="http://schemas.openxmlformats.org/officeDocument/2006/relationships" ref="L10" r:id="rId84"/>
    <hyperlink xmlns:r="http://schemas.openxmlformats.org/officeDocument/2006/relationships" ref="N10" r:id="rId85"/>
    <hyperlink xmlns:r="http://schemas.openxmlformats.org/officeDocument/2006/relationships" ref="P10" r:id="rId86"/>
    <hyperlink xmlns:r="http://schemas.openxmlformats.org/officeDocument/2006/relationships" ref="R10" r:id="rId87"/>
    <hyperlink xmlns:r="http://schemas.openxmlformats.org/officeDocument/2006/relationships" ref="T10" r:id="rId88"/>
    <hyperlink xmlns:r="http://schemas.openxmlformats.org/officeDocument/2006/relationships" ref="V10" r:id="rId89"/>
    <hyperlink xmlns:r="http://schemas.openxmlformats.org/officeDocument/2006/relationships" ref="X10" r:id="rId90"/>
    <hyperlink xmlns:r="http://schemas.openxmlformats.org/officeDocument/2006/relationships" ref="F11" r:id="rId91"/>
    <hyperlink xmlns:r="http://schemas.openxmlformats.org/officeDocument/2006/relationships" ref="H11" r:id="rId92"/>
    <hyperlink xmlns:r="http://schemas.openxmlformats.org/officeDocument/2006/relationships" ref="J11" r:id="rId93"/>
    <hyperlink xmlns:r="http://schemas.openxmlformats.org/officeDocument/2006/relationships" ref="L11" r:id="rId94"/>
    <hyperlink xmlns:r="http://schemas.openxmlformats.org/officeDocument/2006/relationships" ref="N11" r:id="rId95"/>
    <hyperlink xmlns:r="http://schemas.openxmlformats.org/officeDocument/2006/relationships" ref="P11" r:id="rId96"/>
    <hyperlink xmlns:r="http://schemas.openxmlformats.org/officeDocument/2006/relationships" ref="R11" r:id="rId97"/>
    <hyperlink xmlns:r="http://schemas.openxmlformats.org/officeDocument/2006/relationships" ref="T11" r:id="rId98"/>
    <hyperlink xmlns:r="http://schemas.openxmlformats.org/officeDocument/2006/relationships" ref="V11" r:id="rId99"/>
    <hyperlink xmlns:r="http://schemas.openxmlformats.org/officeDocument/2006/relationships" ref="X11" r:id="rId100"/>
    <hyperlink xmlns:r="http://schemas.openxmlformats.org/officeDocument/2006/relationships" ref="F12" r:id="rId101"/>
    <hyperlink xmlns:r="http://schemas.openxmlformats.org/officeDocument/2006/relationships" ref="H12" r:id="rId102"/>
    <hyperlink xmlns:r="http://schemas.openxmlformats.org/officeDocument/2006/relationships" ref="J12" r:id="rId103"/>
    <hyperlink xmlns:r="http://schemas.openxmlformats.org/officeDocument/2006/relationships" ref="L12" r:id="rId104"/>
    <hyperlink xmlns:r="http://schemas.openxmlformats.org/officeDocument/2006/relationships" ref="N12" r:id="rId105"/>
    <hyperlink xmlns:r="http://schemas.openxmlformats.org/officeDocument/2006/relationships" ref="P12" r:id="rId106"/>
    <hyperlink xmlns:r="http://schemas.openxmlformats.org/officeDocument/2006/relationships" ref="R12" r:id="rId107"/>
    <hyperlink xmlns:r="http://schemas.openxmlformats.org/officeDocument/2006/relationships" ref="T12" r:id="rId108"/>
    <hyperlink xmlns:r="http://schemas.openxmlformats.org/officeDocument/2006/relationships" ref="V12" r:id="rId109"/>
    <hyperlink xmlns:r="http://schemas.openxmlformats.org/officeDocument/2006/relationships" ref="X12" r:id="rId110"/>
    <hyperlink xmlns:r="http://schemas.openxmlformats.org/officeDocument/2006/relationships" ref="F13" r:id="rId111"/>
    <hyperlink xmlns:r="http://schemas.openxmlformats.org/officeDocument/2006/relationships" ref="H13" r:id="rId112"/>
    <hyperlink xmlns:r="http://schemas.openxmlformats.org/officeDocument/2006/relationships" ref="J13" r:id="rId113"/>
    <hyperlink xmlns:r="http://schemas.openxmlformats.org/officeDocument/2006/relationships" ref="L13" r:id="rId114"/>
    <hyperlink xmlns:r="http://schemas.openxmlformats.org/officeDocument/2006/relationships" ref="N13" r:id="rId115"/>
    <hyperlink xmlns:r="http://schemas.openxmlformats.org/officeDocument/2006/relationships" ref="P13" r:id="rId116"/>
    <hyperlink xmlns:r="http://schemas.openxmlformats.org/officeDocument/2006/relationships" ref="R13" r:id="rId117"/>
    <hyperlink xmlns:r="http://schemas.openxmlformats.org/officeDocument/2006/relationships" ref="T13" r:id="rId118"/>
    <hyperlink xmlns:r="http://schemas.openxmlformats.org/officeDocument/2006/relationships" ref="V13" r:id="rId119"/>
    <hyperlink xmlns:r="http://schemas.openxmlformats.org/officeDocument/2006/relationships" ref="X13" r:id="rId120"/>
    <hyperlink xmlns:r="http://schemas.openxmlformats.org/officeDocument/2006/relationships" ref="F14" r:id="rId121"/>
    <hyperlink xmlns:r="http://schemas.openxmlformats.org/officeDocument/2006/relationships" ref="H14" r:id="rId122"/>
    <hyperlink xmlns:r="http://schemas.openxmlformats.org/officeDocument/2006/relationships" ref="J14" r:id="rId123"/>
    <hyperlink xmlns:r="http://schemas.openxmlformats.org/officeDocument/2006/relationships" ref="L14" r:id="rId124"/>
    <hyperlink xmlns:r="http://schemas.openxmlformats.org/officeDocument/2006/relationships" ref="N14" r:id="rId125"/>
    <hyperlink xmlns:r="http://schemas.openxmlformats.org/officeDocument/2006/relationships" ref="P14" r:id="rId126"/>
    <hyperlink xmlns:r="http://schemas.openxmlformats.org/officeDocument/2006/relationships" ref="R14" r:id="rId127"/>
    <hyperlink xmlns:r="http://schemas.openxmlformats.org/officeDocument/2006/relationships" ref="T14" r:id="rId128"/>
    <hyperlink xmlns:r="http://schemas.openxmlformats.org/officeDocument/2006/relationships" ref="V14" r:id="rId129"/>
    <hyperlink xmlns:r="http://schemas.openxmlformats.org/officeDocument/2006/relationships" ref="X14" r:id="rId130"/>
    <hyperlink xmlns:r="http://schemas.openxmlformats.org/officeDocument/2006/relationships" ref="F15" r:id="rId131"/>
    <hyperlink xmlns:r="http://schemas.openxmlformats.org/officeDocument/2006/relationships" ref="H15" r:id="rId132"/>
    <hyperlink xmlns:r="http://schemas.openxmlformats.org/officeDocument/2006/relationships" ref="J15" r:id="rId133"/>
    <hyperlink xmlns:r="http://schemas.openxmlformats.org/officeDocument/2006/relationships" ref="L15" r:id="rId134"/>
    <hyperlink xmlns:r="http://schemas.openxmlformats.org/officeDocument/2006/relationships" ref="N15" r:id="rId135"/>
    <hyperlink xmlns:r="http://schemas.openxmlformats.org/officeDocument/2006/relationships" ref="P15" r:id="rId136"/>
    <hyperlink xmlns:r="http://schemas.openxmlformats.org/officeDocument/2006/relationships" ref="R15" r:id="rId137"/>
    <hyperlink xmlns:r="http://schemas.openxmlformats.org/officeDocument/2006/relationships" ref="T15" r:id="rId138"/>
    <hyperlink xmlns:r="http://schemas.openxmlformats.org/officeDocument/2006/relationships" ref="V15" r:id="rId139"/>
    <hyperlink xmlns:r="http://schemas.openxmlformats.org/officeDocument/2006/relationships" ref="X15" r:id="rId140"/>
    <hyperlink xmlns:r="http://schemas.openxmlformats.org/officeDocument/2006/relationships" ref="F16" r:id="rId141"/>
    <hyperlink xmlns:r="http://schemas.openxmlformats.org/officeDocument/2006/relationships" ref="H16" r:id="rId142"/>
    <hyperlink xmlns:r="http://schemas.openxmlformats.org/officeDocument/2006/relationships" ref="J16" r:id="rId143"/>
    <hyperlink xmlns:r="http://schemas.openxmlformats.org/officeDocument/2006/relationships" ref="L16" r:id="rId144"/>
    <hyperlink xmlns:r="http://schemas.openxmlformats.org/officeDocument/2006/relationships" ref="N16" r:id="rId145"/>
    <hyperlink xmlns:r="http://schemas.openxmlformats.org/officeDocument/2006/relationships" ref="P16" r:id="rId146"/>
    <hyperlink xmlns:r="http://schemas.openxmlformats.org/officeDocument/2006/relationships" ref="R16" r:id="rId147"/>
    <hyperlink xmlns:r="http://schemas.openxmlformats.org/officeDocument/2006/relationships" ref="T16" r:id="rId148"/>
    <hyperlink xmlns:r="http://schemas.openxmlformats.org/officeDocument/2006/relationships" ref="V16" r:id="rId149"/>
    <hyperlink xmlns:r="http://schemas.openxmlformats.org/officeDocument/2006/relationships" ref="X16" r:id="rId150"/>
    <hyperlink xmlns:r="http://schemas.openxmlformats.org/officeDocument/2006/relationships" ref="F17" r:id="rId151"/>
    <hyperlink xmlns:r="http://schemas.openxmlformats.org/officeDocument/2006/relationships" ref="H17" r:id="rId152"/>
    <hyperlink xmlns:r="http://schemas.openxmlformats.org/officeDocument/2006/relationships" ref="J17" r:id="rId153"/>
    <hyperlink xmlns:r="http://schemas.openxmlformats.org/officeDocument/2006/relationships" ref="L17" r:id="rId154"/>
    <hyperlink xmlns:r="http://schemas.openxmlformats.org/officeDocument/2006/relationships" ref="N17" r:id="rId155"/>
    <hyperlink xmlns:r="http://schemas.openxmlformats.org/officeDocument/2006/relationships" ref="P17" r:id="rId156"/>
    <hyperlink xmlns:r="http://schemas.openxmlformats.org/officeDocument/2006/relationships" ref="R17" r:id="rId157"/>
    <hyperlink xmlns:r="http://schemas.openxmlformats.org/officeDocument/2006/relationships" ref="T17" r:id="rId158"/>
    <hyperlink xmlns:r="http://schemas.openxmlformats.org/officeDocument/2006/relationships" ref="V17" r:id="rId159"/>
    <hyperlink xmlns:r="http://schemas.openxmlformats.org/officeDocument/2006/relationships" ref="X17" r:id="rId160"/>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Y14"/>
  <sheetViews>
    <sheetView zoomScaleNormal="150" zoomScaleSheetLayoutView="100" workbookViewId="0">
      <selection activeCell="Z19" sqref="Z19"/>
    </sheetView>
  </sheetViews>
  <sheetFormatPr baseColWidth="8" defaultRowHeight="15"/>
  <cols>
    <col width="8.609375" customWidth="1" style="48" min="1" max="16384"/>
  </cols>
  <sheetData>
    <row r="1">
      <c r="A1" s="5" t="inlineStr">
        <is>
          <t>RowNumber</t>
        </is>
      </c>
      <c r="B1" s="5" t="inlineStr">
        <is>
          <t>Country</t>
        </is>
      </c>
      <c r="C1" s="5" t="inlineStr">
        <is>
          <t>Region - Broad</t>
        </is>
      </c>
      <c r="D1" s="5" t="inlineStr">
        <is>
          <t>Region - Specific</t>
        </is>
      </c>
      <c r="E1" s="5" t="inlineStr">
        <is>
          <t>AI_Policy_Status</t>
        </is>
      </c>
      <c r="F1" s="5" t="inlineStr">
        <is>
          <t>AI_Policy_Status_Source</t>
        </is>
      </c>
      <c r="G1" s="5" t="inlineStr">
        <is>
          <t>Data_Protection_Law</t>
        </is>
      </c>
      <c r="H1" s="5" t="inlineStr">
        <is>
          <t>Data_Protection_Law_Source</t>
        </is>
      </c>
      <c r="I1" s="5" t="inlineStr">
        <is>
          <t>Children_Data_Safeguards</t>
        </is>
      </c>
      <c r="J1" s="5" t="inlineStr">
        <is>
          <t>Children_Data_Safeguards_Source</t>
        </is>
      </c>
      <c r="K1" s="5" t="inlineStr">
        <is>
          <t>SOGI_Sensitive_Data</t>
        </is>
      </c>
      <c r="L1" s="5" t="inlineStr">
        <is>
          <t>SOGI_Sensitive_Data_Source</t>
        </is>
      </c>
      <c r="M1" s="5" t="inlineStr">
        <is>
          <t>DPA_Independence</t>
        </is>
      </c>
      <c r="N1" s="5" t="inlineStr">
        <is>
          <t>DPA_Independence_Source</t>
        </is>
      </c>
      <c r="O1" s="5" t="inlineStr">
        <is>
          <t>DPIA_Required_High_Risk_AI</t>
        </is>
      </c>
      <c r="P1" s="5" t="inlineStr">
        <is>
          <t>DPIA_Required_High_Risk_AI_Source</t>
        </is>
      </c>
      <c r="Q1" s="5" t="inlineStr">
        <is>
          <t>LGBTQ_Legal_Status</t>
        </is>
      </c>
      <c r="R1" s="5" t="inlineStr">
        <is>
          <t>LGBTQ_Legal_Status_Source</t>
        </is>
      </c>
      <c r="S1" s="5" t="inlineStr">
        <is>
          <t>Promotion_Propaganda_Offences</t>
        </is>
      </c>
      <c r="T1" s="5" t="inlineStr">
        <is>
          <t>Promotion_Propaganda_Offences_Source</t>
        </is>
      </c>
      <c r="U1" s="5" t="inlineStr">
        <is>
          <t>COP_Strategy</t>
        </is>
      </c>
      <c r="V1" s="5" t="inlineStr">
        <is>
          <t>COP_Strategy_Source</t>
        </is>
      </c>
      <c r="W1" s="5" t="inlineStr">
        <is>
          <t>SIM_Biometric_ID_Linkage</t>
        </is>
      </c>
      <c r="X1" s="5" t="inlineStr">
        <is>
          <t>SIM_Biometric_ID_Linkage_Source</t>
        </is>
      </c>
      <c r="Y1" s="5" t="inlineStr">
        <is>
          <t>RowNumber.1</t>
        </is>
      </c>
    </row>
    <row r="2">
      <c r="A2" s="19" t="n">
        <v>20</v>
      </c>
      <c r="B2" s="19" t="inlineStr">
        <is>
          <t>Benin</t>
        </is>
      </c>
      <c r="C2" s="19" t="inlineStr">
        <is>
          <t>Africa</t>
        </is>
      </c>
      <c r="D2" s="19" t="inlineStr">
        <is>
          <t>ECOWAS</t>
        </is>
      </c>
      <c r="E2" s="19" t="inlineStr">
        <is>
          <t>Draft/Early (AI policy referenced in Digital Strategy 2021)</t>
        </is>
      </c>
      <c r="F2" s="20" t="inlineStr">
        <is>
          <t>https://en.unesco.org/artificial-intelligence/observatory/policies?country=BJ; https://www.unesco.org/ethics-ai/en/global-hub</t>
        </is>
      </c>
      <c r="G2" s="19" t="inlineStr">
        <is>
          <t>In force (Law No. 2009-09 on Personal Data Protection)</t>
        </is>
      </c>
      <c r="H2" s="20" t="inlineStr">
        <is>
          <t>https://unctad.org/page/data-protection-and-privacy-legislation-worldwide</t>
        </is>
      </c>
      <c r="I2" s="19" t="inlineStr">
        <is>
          <t>Partial (Child Code; no national COP strategy)</t>
        </is>
      </c>
      <c r="J2" s="20" t="inlineStr">
        <is>
          <t>https://unctad.org/page/data-protection-and-privacy-legislation-worldwide; https://www.unicef.org/benin/</t>
        </is>
      </c>
      <c r="K2" s="19" t="inlineStr">
        <is>
          <t>No</t>
        </is>
      </c>
      <c r="L2" s="20" t="inlineStr">
        <is>
          <t>https://unctad.org/page/data-protection-and-privacy-legislation-worldwide</t>
        </is>
      </c>
      <c r="M2" s="19" t="inlineStr">
        <is>
          <t>Moderate (APDP operational)</t>
        </is>
      </c>
      <c r="N2" s="20" t="inlineStr">
        <is>
          <t>https://unctad.org/page/data-protection-and-privacy-legislation-worldwide</t>
        </is>
      </c>
      <c r="O2" s="19" t="inlineStr">
        <is>
          <t>No</t>
        </is>
      </c>
      <c r="P2" s="20" t="inlineStr">
        <is>
          <t>https://unctad.org/page/data-protection-and-privacy-legislation-worldwide</t>
        </is>
      </c>
      <c r="Q2" s="19" t="inlineStr">
        <is>
          <t>Legal (no criminalisation; no recognition)</t>
        </is>
      </c>
      <c r="R2" s="20" t="inlineStr">
        <is>
          <t>https://www.humandignitytrust.org/country-profile/benin/; https://ilga.org/ilga-world-maps/</t>
        </is>
      </c>
      <c r="S2" s="19" t="inlineStr">
        <is>
          <t>No/Annulled</t>
        </is>
      </c>
      <c r="T2" s="20" t="inlineStr">
        <is>
          <t>https://ilga.org/ilga-world-maps/</t>
        </is>
      </c>
      <c r="U2" s="19" t="inlineStr">
        <is>
          <t>No</t>
        </is>
      </c>
      <c r="V2" s="20" t="inlineStr">
        <is>
          <t>https://www.unicef.org/benin/</t>
        </is>
      </c>
      <c r="W2" s="19" t="inlineStr">
        <is>
          <t>Yes (SIM biometric registration required)</t>
        </is>
      </c>
      <c r="X2" s="20" t="inlineStr">
        <is>
          <t>https://www.gsma.com/solutions-and-impact/connectivity-for-good/public-policy/mobile-policy-handbook/consumer-protection/mandatory-registration-of-prepaid-sims/; https://privacyinternational.org/learn/sim-card-registration</t>
        </is>
      </c>
      <c r="Y2" s="19" t="n">
        <v>20</v>
      </c>
    </row>
    <row r="3">
      <c r="A3" s="19" t="n">
        <v>28</v>
      </c>
      <c r="B3" s="19" t="inlineStr">
        <is>
          <t>Burkina Faso</t>
        </is>
      </c>
      <c r="C3" s="19" t="inlineStr">
        <is>
          <t>Africa</t>
        </is>
      </c>
      <c r="D3" s="19" t="inlineStr">
        <is>
          <t>ECOWAS</t>
        </is>
      </c>
      <c r="E3" s="19" t="inlineStr">
        <is>
          <t>None (no AI strategy identified)</t>
        </is>
      </c>
      <c r="F3" s="20" t="inlineStr">
        <is>
          <t>https://en.unesco.org/artificial-intelligence/observatory/policies?country=BF; https://www.unesco.org/ethics-ai/en/global-hub</t>
        </is>
      </c>
      <c r="G3" s="19" t="inlineStr">
        <is>
          <t>In force (Law No. 001-2021/AN on Personal Data Protection)</t>
        </is>
      </c>
      <c r="H3" s="20" t="inlineStr">
        <is>
          <t>https://unctad.org/page/data-protection-and-privacy-legislation-worldwide</t>
        </is>
      </c>
      <c r="I3" s="19" t="inlineStr">
        <is>
          <t>Partial (Child Protection Code; no COP strategy)</t>
        </is>
      </c>
      <c r="J3" s="20" t="inlineStr">
        <is>
          <t>https://unctad.org/page/data-protection-and-privacy-legislation-worldwide; https://www.unicef.org/burkina-faso/</t>
        </is>
      </c>
      <c r="K3" s="19" t="inlineStr">
        <is>
          <t>No</t>
        </is>
      </c>
      <c r="L3" s="20" t="inlineStr">
        <is>
          <t>https://unctad.org/page/data-protection-and-privacy-legislation-worldwide</t>
        </is>
      </c>
      <c r="M3" s="19" t="inlineStr">
        <is>
          <t>Moderate (CIL created as independent authority)</t>
        </is>
      </c>
      <c r="N3" s="20" t="inlineStr">
        <is>
          <t>https://unctad.org/page/data-protection-and-privacy-legislation-worldwide</t>
        </is>
      </c>
      <c r="O3" s="19" t="inlineStr">
        <is>
          <t>No</t>
        </is>
      </c>
      <c r="P3" s="20" t="inlineStr">
        <is>
          <t>https://unctad.org/page/data-protection-and-privacy-legislation-worldwide</t>
        </is>
      </c>
      <c r="Q3" s="19" t="inlineStr">
        <is>
          <t>Legal (same-sex relations not criminalised; no recognition)</t>
        </is>
      </c>
      <c r="R3" s="20" t="inlineStr">
        <is>
          <t>https://www.humandignitytrust.org/country-profile/burkina-faso/; https://ilga.org/ilga-world-maps/</t>
        </is>
      </c>
      <c r="S3" s="19" t="inlineStr">
        <is>
          <t>No/Annulled</t>
        </is>
      </c>
      <c r="T3" s="20" t="inlineStr">
        <is>
          <t>https://ilga.org/ilga-world-maps/</t>
        </is>
      </c>
      <c r="U3" s="19" t="inlineStr">
        <is>
          <t>No</t>
        </is>
      </c>
      <c r="V3" s="20" t="inlineStr">
        <is>
          <t>https://www.unicef.org/burkina-faso/</t>
        </is>
      </c>
      <c r="W3" s="19" t="inlineStr">
        <is>
          <t>Yes (SIM biometric registration mandatory)</t>
        </is>
      </c>
      <c r="X3" s="20" t="inlineStr">
        <is>
          <t>https://www.gsma.com/solutions-and-impact/connectivity-for-good/public-policy/mobile-policy-handbook/consumer-protection/mandatory-registration-of-prepaid-sims/; https://privacyinternational.org/learn/sim-card-registration</t>
        </is>
      </c>
      <c r="Y3" s="19" t="n">
        <v>28</v>
      </c>
    </row>
    <row r="4">
      <c r="A4" s="19" t="n">
        <v>30</v>
      </c>
      <c r="B4" s="19" t="inlineStr">
        <is>
          <t>Cabo Verde</t>
        </is>
      </c>
      <c r="C4" s="19" t="inlineStr">
        <is>
          <t>Africa</t>
        </is>
      </c>
      <c r="D4" s="19" t="inlineStr">
        <is>
          <t>ECOWAS</t>
        </is>
      </c>
      <c r="E4" s="19" t="inlineStr">
        <is>
          <t>Draft/Early (AI elements in Digital Strategy 2021–2030)</t>
        </is>
      </c>
      <c r="F4" s="20" t="inlineStr">
        <is>
          <t>https://en.unesco.org/artificial-intelligence/observatory/policies?country=CV; https://www.unesco.org/ethics-ai/en/global-hub</t>
        </is>
      </c>
      <c r="G4" s="19" t="inlineStr">
        <is>
          <t>In force (Law No. 133/V/2001, updated 2013)</t>
        </is>
      </c>
      <c r="H4" s="20" t="inlineStr">
        <is>
          <t>https://unctad.org/page/data-protection-and-privacy-legislation-worldwide</t>
        </is>
      </c>
      <c r="I4" s="19" t="inlineStr">
        <is>
          <t>Partial (Child and Adolescent Code; no COP strategy)</t>
        </is>
      </c>
      <c r="J4" s="20" t="inlineStr">
        <is>
          <t>https://unctad.org/page/data-protection-and-privacy-legislation-worldwide; https://www.unicef.org/cabo-verde/</t>
        </is>
      </c>
      <c r="K4" s="19" t="inlineStr">
        <is>
          <t>No (not explicitly in law)</t>
        </is>
      </c>
      <c r="L4" s="20" t="inlineStr">
        <is>
          <t>https://unctad.org/page/data-protection-and-privacy-legislation-worldwide</t>
        </is>
      </c>
      <c r="M4" s="19" t="inlineStr">
        <is>
          <t>Moderate (CNPD created as authority)</t>
        </is>
      </c>
      <c r="N4" s="20" t="inlineStr">
        <is>
          <t>https://unctad.org/page/data-protection-and-privacy-legislation-worldwide</t>
        </is>
      </c>
      <c r="O4" s="19" t="inlineStr">
        <is>
          <t>No</t>
        </is>
      </c>
      <c r="P4" s="20" t="inlineStr">
        <is>
          <t>https://unctad.org/page/data-protection-and-privacy-legislation-worldwide</t>
        </is>
      </c>
      <c r="Q4" s="19" t="inlineStr">
        <is>
          <t>Legal (same-sex relations decriminalised 2004; no recognition)</t>
        </is>
      </c>
      <c r="R4" s="20" t="inlineStr">
        <is>
          <t>https://www.humandignitytrust.org/country-profile/cabo-verde/; https://ilga.org/ilga-world-maps/</t>
        </is>
      </c>
      <c r="S4" s="19" t="inlineStr">
        <is>
          <t>No/Annulled</t>
        </is>
      </c>
      <c r="T4" s="20" t="inlineStr">
        <is>
          <t>https://ilga.org/ilga-world-maps/</t>
        </is>
      </c>
      <c r="U4" s="19" t="inlineStr">
        <is>
          <t>No</t>
        </is>
      </c>
      <c r="V4" s="20" t="inlineStr">
        <is>
          <t>https://www.unicef.org/cabo-verde/</t>
        </is>
      </c>
      <c r="W4" s="19" t="inlineStr">
        <is>
          <t>Yes (SIM registration with ID and biometric data required)</t>
        </is>
      </c>
      <c r="X4" s="20" t="inlineStr">
        <is>
          <t>https://www.gsma.com/solutions-and-impact/connectivity-for-good/public-policy/mobile-policy-handbook/consumer-protection/mandatory-registration-of-prepaid-sims/; https://privacyinternational.org/learn/sim-card-registration</t>
        </is>
      </c>
      <c r="Y4" s="19" t="n">
        <v>30</v>
      </c>
    </row>
    <row r="5">
      <c r="A5" s="19" t="n">
        <v>46</v>
      </c>
      <c r="B5" s="19" t="inlineStr">
        <is>
          <t>Côte d’Ivoire</t>
        </is>
      </c>
      <c r="C5" s="19" t="inlineStr">
        <is>
          <t>Africa</t>
        </is>
      </c>
      <c r="D5" s="19" t="inlineStr">
        <is>
          <t>ECOWAS</t>
        </is>
      </c>
      <c r="E5" s="19" t="inlineStr">
        <is>
          <t>Draft/Early (AI in Digital Plan 2021–2025)</t>
        </is>
      </c>
      <c r="F5" s="20" t="inlineStr">
        <is>
          <t>https://www.unesco.org/ethics-ai/en/global-hub</t>
        </is>
      </c>
      <c r="G5" s="19" t="inlineStr">
        <is>
          <t>In force (Law No. 2013-450; ARTCI regulator)</t>
        </is>
      </c>
      <c r="H5" s="20" t="inlineStr">
        <is>
          <t>https://unctad.org/page/data-protection-and-privacy-legislation-worldwide</t>
        </is>
      </c>
      <c r="I5" s="19" t="inlineStr">
        <is>
          <t>Partial (laws exist; no national COP strategy)</t>
        </is>
      </c>
      <c r="J5" s="20" t="inlineStr">
        <is>
          <t>https://unctad.org/page/data-protection-and-privacy-legislation-worldwide; https://www.unicef.org/cote-divoire/</t>
        </is>
      </c>
      <c r="K5" s="19" t="inlineStr">
        <is>
          <t>No</t>
        </is>
      </c>
      <c r="L5" s="20" t="inlineStr">
        <is>
          <t>https://unctad.org/page/data-protection-and-privacy-legislation-worldwide</t>
        </is>
      </c>
      <c r="M5" s="19" t="inlineStr">
        <is>
          <t>Moderate (ARTCI operational)</t>
        </is>
      </c>
      <c r="N5" s="20" t="inlineStr">
        <is>
          <t>https://unctad.org/page/data-protection-and-privacy-legislation-worldwide</t>
        </is>
      </c>
      <c r="O5" s="19" t="inlineStr">
        <is>
          <t>No</t>
        </is>
      </c>
      <c r="P5" s="20" t="inlineStr">
        <is>
          <t>https://unctad.org/page/data-protection-and-privacy-legislation-worldwide</t>
        </is>
      </c>
      <c r="Q5" s="19" t="inlineStr">
        <is>
          <t>Criminalised</t>
        </is>
      </c>
      <c r="R5" s="20" t="inlineStr">
        <is>
          <t>https://www.humandignitytrust.org/country-profile/cote-divoire/; https://ilga.org/ilga-world-maps/</t>
        </is>
      </c>
      <c r="S5" s="19" t="inlineStr">
        <is>
          <t>Yes (morality-based restrictions)</t>
        </is>
      </c>
      <c r="T5" s="20" t="inlineStr">
        <is>
          <t>https://ilga.org/ilga-world-maps/</t>
        </is>
      </c>
      <c r="U5" s="19" t="inlineStr">
        <is>
          <t>No</t>
        </is>
      </c>
      <c r="V5" s="20" t="inlineStr">
        <is>
          <t>https://www.unicef.org/cote-divoire/</t>
        </is>
      </c>
      <c r="W5" s="19" t="inlineStr">
        <is>
          <t>Yes (mandatory biometric SIM registration)</t>
        </is>
      </c>
      <c r="X5" s="20" t="inlineStr">
        <is>
          <t>https://www.gsma.com/solutions-and-impact/connectivity-for-good/public-policy/mobile-policy-handbook/consumer-protection/mandatory-registration-of-prepaid-sims/; https://privacyinternational.org/learn/sim-card-registration</t>
        </is>
      </c>
      <c r="Y5" s="19" t="n">
        <v>46</v>
      </c>
    </row>
    <row r="6">
      <c r="A6" s="19" t="n">
        <v>65</v>
      </c>
      <c r="B6" s="19" t="inlineStr">
        <is>
          <t>Gambia</t>
        </is>
      </c>
      <c r="C6" s="19" t="inlineStr">
        <is>
          <t>Africa</t>
        </is>
      </c>
      <c r="D6" s="19" t="inlineStr">
        <is>
          <t>ECOWAS</t>
        </is>
      </c>
      <c r="E6" s="19" t="inlineStr">
        <is>
          <t>None</t>
        </is>
      </c>
      <c r="F6" s="20" t="inlineStr">
        <is>
          <t>https://en.unesco.org/artificial-intelligence/observatory/policies?country=GM; https://www.unesco.org/ethics-ai/en/global-hub</t>
        </is>
      </c>
      <c r="G6" s="19" t="inlineStr">
        <is>
          <t>Draft (bill pending)</t>
        </is>
      </c>
      <c r="H6" s="20" t="inlineStr">
        <is>
          <t>https://unctad.org/page/data-protection-and-privacy-legislation-worldwide</t>
        </is>
      </c>
      <c r="I6" s="19" t="inlineStr">
        <is>
          <t>No</t>
        </is>
      </c>
      <c r="J6" s="20" t="inlineStr">
        <is>
          <t>https://www.unicef.org/gambia/</t>
        </is>
      </c>
      <c r="K6" s="19" t="inlineStr">
        <is>
          <t>No</t>
        </is>
      </c>
      <c r="L6" s="20" t="inlineStr">
        <is>
          <t>https://unctad.org/page/data-protection-and-privacy-legislation-worldwide</t>
        </is>
      </c>
      <c r="M6" s="19" t="inlineStr">
        <is>
          <t>None</t>
        </is>
      </c>
      <c r="N6" s="20" t="inlineStr">
        <is>
          <t>https://unctad.org/page/data-protection-and-privacy-legislation-worldwide</t>
        </is>
      </c>
      <c r="O6" s="19" t="inlineStr">
        <is>
          <t>No</t>
        </is>
      </c>
      <c r="P6" s="20" t="inlineStr">
        <is>
          <t>https://unctad.org/page/data-protection-and-privacy-legislation-worldwide</t>
        </is>
      </c>
      <c r="Q6" s="19" t="inlineStr">
        <is>
          <t>Criminalised</t>
        </is>
      </c>
      <c r="R6" s="20" t="inlineStr">
        <is>
          <t>https://www.humandignitytrust.org/country-profile/gambia/; https://ilga.org/ilga-world-maps/</t>
        </is>
      </c>
      <c r="S6" s="19" t="inlineStr">
        <is>
          <t>Yes (restrictions on LGBTQ expression)</t>
        </is>
      </c>
      <c r="T6" s="20" t="inlineStr">
        <is>
          <t>https://ilga.org/ilga-world-maps/</t>
        </is>
      </c>
      <c r="U6" s="19" t="inlineStr">
        <is>
          <t>No</t>
        </is>
      </c>
      <c r="V6" s="20" t="inlineStr">
        <is>
          <t>https://www.unicef.org/gambia/</t>
        </is>
      </c>
      <c r="W6" s="19" t="inlineStr">
        <is>
          <t>Yes (mandatory biometric SIM registration)</t>
        </is>
      </c>
      <c r="X6" s="20" t="inlineStr">
        <is>
          <t>https://www.gsma.com/solutions-and-impact/connectivity-for-good/public-policy/mobile-policy-handbook/consumer-protection/mandatory-registration-of-prepaid-sims/; https://privacyinternational.org/learn/sim-card-registration</t>
        </is>
      </c>
      <c r="Y6" s="19" t="n">
        <v>65</v>
      </c>
    </row>
    <row r="7">
      <c r="A7" s="19" t="n">
        <v>68</v>
      </c>
      <c r="B7" s="19" t="inlineStr">
        <is>
          <t>Ghana</t>
        </is>
      </c>
      <c r="C7" s="19" t="inlineStr">
        <is>
          <t>Africa</t>
        </is>
      </c>
      <c r="D7" s="19" t="inlineStr">
        <is>
          <t>ECOWAS</t>
        </is>
      </c>
      <c r="E7" s="19" t="inlineStr">
        <is>
          <t>Draft/Early (digital transformation program; no standalone AI strategy)</t>
        </is>
      </c>
      <c r="F7" s="20" t="inlineStr">
        <is>
          <t>https://en.unesco.org/artificial-intelligence/observatory/policies?country=GH; https://www.unesco.org/ethics-ai/en/global-hub</t>
        </is>
      </c>
      <c r="G7" s="19" t="inlineStr">
        <is>
          <t>In force (Data Protection Act, 2012)</t>
        </is>
      </c>
      <c r="H7" s="20" t="inlineStr">
        <is>
          <t>https://unctad.org/page/data-protection-and-privacy-legislation-worldwide</t>
        </is>
      </c>
      <c r="I7" s="19" t="inlineStr">
        <is>
          <t>Partial (general child rights; no COP framework)</t>
        </is>
      </c>
      <c r="J7" s="20" t="inlineStr">
        <is>
          <t>https://unctad.org/page/data-protection-and-privacy-legislation-worldwide; https://www.unicef.org/ghana/</t>
        </is>
      </c>
      <c r="K7" s="19" t="inlineStr">
        <is>
          <t>No</t>
        </is>
      </c>
      <c r="L7" s="20" t="inlineStr">
        <is>
          <t>https://unctad.org/page/data-protection-and-privacy-legislation-worldwide</t>
        </is>
      </c>
      <c r="M7" s="19" t="inlineStr">
        <is>
          <t>Moderate (Data Protection Commission; limited capacity)</t>
        </is>
      </c>
      <c r="N7" s="20" t="inlineStr">
        <is>
          <t>https://unctad.org/page/data-protection-and-privacy-legislation-worldwide</t>
        </is>
      </c>
      <c r="O7" s="19" t="inlineStr">
        <is>
          <t>No</t>
        </is>
      </c>
      <c r="P7" s="20" t="inlineStr">
        <is>
          <t>https://unctad.org/page/data-protection-and-privacy-legislation-worldwide</t>
        </is>
      </c>
      <c r="Q7" s="19" t="inlineStr">
        <is>
          <t>Criminalised</t>
        </is>
      </c>
      <c r="R7" s="20" t="inlineStr">
        <is>
          <t>https://www.humandignitytrust.org/country-profile/ghana/; https://ilga.org/ilga-world-maps/</t>
        </is>
      </c>
      <c r="S7" s="19" t="inlineStr">
        <is>
          <t>Proposed/Unclear (2021 anti-LGBTQ bill pending)</t>
        </is>
      </c>
      <c r="T7" s="20" t="inlineStr">
        <is>
          <t>https://ilga.org/ilga-world-maps/</t>
        </is>
      </c>
      <c r="U7" s="19" t="inlineStr">
        <is>
          <t>Partial (digital literacy programs)</t>
        </is>
      </c>
      <c r="V7" s="20" t="inlineStr">
        <is>
          <t>https://www.unicef.org/ghana/</t>
        </is>
      </c>
      <c r="W7" s="19" t="inlineStr">
        <is>
          <t>Yes (mandatory biometric SIM registration since 2021)</t>
        </is>
      </c>
      <c r="X7" s="20" t="inlineStr">
        <is>
          <t>https://www.gsma.com/solutions-and-impact/connectivity-for-good/public-policy/mobile-policy-handbook/consumer-protection/mandatory-registration-of-prepaid-sims/; https://privacyinternational.org/learn/sim-card-registration</t>
        </is>
      </c>
      <c r="Y7" s="19" t="n">
        <v>68</v>
      </c>
    </row>
    <row r="8">
      <c r="A8" s="19" t="n">
        <v>72</v>
      </c>
      <c r="B8" s="19" t="inlineStr">
        <is>
          <t>Guinea</t>
        </is>
      </c>
      <c r="C8" s="19" t="inlineStr">
        <is>
          <t>Africa</t>
        </is>
      </c>
      <c r="D8" s="19" t="inlineStr">
        <is>
          <t>ECOWAS</t>
        </is>
      </c>
      <c r="E8" s="19" t="inlineStr">
        <is>
          <t>None</t>
        </is>
      </c>
      <c r="F8" s="20" t="inlineStr">
        <is>
          <t>https://en.unesco.org/artificial-intelligence/observatory/policies?country=GN; https://www.unesco.org/ethics-ai/en/global-hub</t>
        </is>
      </c>
      <c r="G8" s="19" t="inlineStr">
        <is>
          <t>In force (Law L/2016/037/AN on Personal Data Protection)</t>
        </is>
      </c>
      <c r="H8" s="20" t="inlineStr">
        <is>
          <t>https://unctad.org/page/data-protection-and-privacy-legislation-worldwide</t>
        </is>
      </c>
      <c r="I8" s="19" t="inlineStr">
        <is>
          <t>Partial (general child protections)</t>
        </is>
      </c>
      <c r="J8" s="20" t="inlineStr">
        <is>
          <t>https://unctad.org/page/data-protection-and-privacy-legislation-worldwide; https://www.unicef.org/guinea/</t>
        </is>
      </c>
      <c r="K8" s="19" t="inlineStr">
        <is>
          <t>No</t>
        </is>
      </c>
      <c r="L8" s="20" t="inlineStr">
        <is>
          <t>https://unctad.org/page/data-protection-and-privacy-legislation-worldwide</t>
        </is>
      </c>
      <c r="M8" s="19" t="inlineStr">
        <is>
          <t>Weak (authority exists, limited independence)</t>
        </is>
      </c>
      <c r="N8" s="20" t="inlineStr">
        <is>
          <t>https://unctad.org/page/data-protection-and-privacy-legislation-worldwide</t>
        </is>
      </c>
      <c r="O8" s="19" t="inlineStr">
        <is>
          <t>No</t>
        </is>
      </c>
      <c r="P8" s="20" t="inlineStr">
        <is>
          <t>https://unctad.org/page/data-protection-and-privacy-legislation-worldwide</t>
        </is>
      </c>
      <c r="Q8" s="19" t="inlineStr">
        <is>
          <t>Criminalised</t>
        </is>
      </c>
      <c r="R8" s="20" t="inlineStr">
        <is>
          <t>https://www.humandignitytrust.org/country-profile/guinea/; https://ilga.org/ilga-world-maps/</t>
        </is>
      </c>
      <c r="S8" s="19" t="inlineStr">
        <is>
          <t>Yes</t>
        </is>
      </c>
      <c r="T8" s="20" t="inlineStr">
        <is>
          <t>https://ilga.org/ilga-world-maps/</t>
        </is>
      </c>
      <c r="U8" s="19" t="inlineStr">
        <is>
          <t>No</t>
        </is>
      </c>
      <c r="V8" s="20" t="inlineStr">
        <is>
          <t>https://www.unicef.org/guinea/</t>
        </is>
      </c>
      <c r="W8" s="19" t="inlineStr">
        <is>
          <t>Yes (biometric SIM registration required)</t>
        </is>
      </c>
      <c r="X8" s="20" t="inlineStr">
        <is>
          <t>https://www.gsma.com/solutions-and-impact/connectivity-for-good/public-policy/mobile-policy-handbook/consumer-protection/mandatory-registration-of-prepaid-sims/; https://privacyinternational.org/learn/sim-card-registration</t>
        </is>
      </c>
      <c r="Y8" s="19" t="n">
        <v>72</v>
      </c>
    </row>
    <row r="9">
      <c r="A9" s="19" t="n">
        <v>73</v>
      </c>
      <c r="B9" s="19" t="inlineStr">
        <is>
          <t>Guinea-Bissau</t>
        </is>
      </c>
      <c r="C9" s="19" t="inlineStr">
        <is>
          <t>Africa</t>
        </is>
      </c>
      <c r="D9" s="19" t="inlineStr">
        <is>
          <t>ECOWAS</t>
        </is>
      </c>
      <c r="E9" s="19" t="inlineStr">
        <is>
          <t>None</t>
        </is>
      </c>
      <c r="F9" s="20" t="inlineStr">
        <is>
          <t>https://en.unesco.org/artificial-intelligence/observatory/policies?country=GW; https://www.unesco.org/ethics-ai/en/global-hub</t>
        </is>
      </c>
      <c r="G9" s="19" t="inlineStr">
        <is>
          <t>None</t>
        </is>
      </c>
      <c r="H9" s="20" t="inlineStr">
        <is>
          <t>https://unctad.org/page/data-protection-and-privacy-legislation-worldwide</t>
        </is>
      </c>
      <c r="I9" s="19" t="inlineStr">
        <is>
          <t>No</t>
        </is>
      </c>
      <c r="J9" s="20" t="inlineStr">
        <is>
          <t>https://www.unicef.org/guinea-bissau/</t>
        </is>
      </c>
      <c r="K9" s="19" t="inlineStr">
        <is>
          <t>No</t>
        </is>
      </c>
      <c r="L9" s="20" t="inlineStr">
        <is>
          <t>https://unctad.org/page/data-protection-and-privacy-legislation-worldwide</t>
        </is>
      </c>
      <c r="M9" s="19" t="inlineStr">
        <is>
          <t>None</t>
        </is>
      </c>
      <c r="N9" s="20" t="inlineStr">
        <is>
          <t>https://unctad.org/page/data-protection-and-privacy-legislation-worldwide</t>
        </is>
      </c>
      <c r="O9" s="19" t="inlineStr">
        <is>
          <t>No</t>
        </is>
      </c>
      <c r="P9" s="20" t="inlineStr">
        <is>
          <t>https://unctad.org/page/data-protection-and-privacy-legislation-worldwide</t>
        </is>
      </c>
      <c r="Q9" s="19" t="inlineStr">
        <is>
          <t>Criminalised</t>
        </is>
      </c>
      <c r="R9" s="20" t="inlineStr">
        <is>
          <t>https://www.humandignitytrust.org/country-profile/guinea-bissau/; https://ilga.org/ilga-world-maps/</t>
        </is>
      </c>
      <c r="S9" s="19" t="inlineStr">
        <is>
          <t>Yes</t>
        </is>
      </c>
      <c r="T9" s="20" t="inlineStr">
        <is>
          <t>https://ilga.org/ilga-world-maps/</t>
        </is>
      </c>
      <c r="U9" s="19" t="inlineStr">
        <is>
          <t>No</t>
        </is>
      </c>
      <c r="V9" s="20" t="inlineStr">
        <is>
          <t>https://www.unicef.org/guinea-bissau/</t>
        </is>
      </c>
      <c r="W9" s="19" t="inlineStr">
        <is>
          <t>Yes (mandatory SIM registration with ID)</t>
        </is>
      </c>
      <c r="X9" s="20" t="inlineStr">
        <is>
          <t>https://www.gsma.com/solutions-and-impact/connectivity-for-good/public-policy/mobile-policy-handbook/consumer-protection/mandatory-registration-of-prepaid-sims/</t>
        </is>
      </c>
      <c r="Y9" s="19" t="n">
        <v>73</v>
      </c>
    </row>
    <row r="10">
      <c r="A10" s="19" t="n">
        <v>98</v>
      </c>
      <c r="B10" s="19" t="inlineStr">
        <is>
          <t>Liberia</t>
        </is>
      </c>
      <c r="C10" s="19" t="inlineStr">
        <is>
          <t>Africa</t>
        </is>
      </c>
      <c r="D10" s="19" t="inlineStr">
        <is>
          <t>ECOWAS</t>
        </is>
      </c>
      <c r="E10" s="19" t="inlineStr">
        <is>
          <t>None</t>
        </is>
      </c>
      <c r="F10" s="20" t="inlineStr">
        <is>
          <t>https://en.unesco.org/artificial-intelligence/observatory/policies?country=LR; https://www.unesco.org/ethics-ai/en/global-hub</t>
        </is>
      </c>
      <c r="G10" s="19" t="inlineStr">
        <is>
          <t>None</t>
        </is>
      </c>
      <c r="H10" s="20" t="inlineStr">
        <is>
          <t>https://unctad.org/page/data-protection-and-privacy-legislation-worldwide</t>
        </is>
      </c>
      <c r="I10" s="19" t="inlineStr">
        <is>
          <t>No</t>
        </is>
      </c>
      <c r="J10" s="20" t="inlineStr">
        <is>
          <t>https://www.unicef.org/liberia/</t>
        </is>
      </c>
      <c r="K10" s="19" t="inlineStr">
        <is>
          <t>No</t>
        </is>
      </c>
      <c r="L10" s="20" t="inlineStr">
        <is>
          <t>https://unctad.org/page/data-protection-and-privacy-legislation-worldwide</t>
        </is>
      </c>
      <c r="M10" s="19" t="inlineStr">
        <is>
          <t>None</t>
        </is>
      </c>
      <c r="N10" s="20" t="inlineStr">
        <is>
          <t>https://unctad.org/page/data-protection-and-privacy-legislation-worldwide</t>
        </is>
      </c>
      <c r="O10" s="19" t="inlineStr">
        <is>
          <t>No</t>
        </is>
      </c>
      <c r="P10" s="20" t="inlineStr">
        <is>
          <t>https://unctad.org/page/data-protection-and-privacy-legislation-worldwide</t>
        </is>
      </c>
      <c r="Q10" s="19" t="inlineStr">
        <is>
          <t>Criminalised (Penal Code Article 14.74)</t>
        </is>
      </c>
      <c r="R10" s="20" t="inlineStr">
        <is>
          <t>https://www.humandignitytrust.org/country-profile/liberia/; https://ilga.org/ilga-world-maps/</t>
        </is>
      </c>
      <c r="S10" s="19" t="inlineStr">
        <is>
          <t>Yes</t>
        </is>
      </c>
      <c r="T10" s="20" t="inlineStr">
        <is>
          <t>https://ilga.org/ilga-world-maps/</t>
        </is>
      </c>
      <c r="U10" s="19" t="inlineStr">
        <is>
          <t>No</t>
        </is>
      </c>
      <c r="V10" s="20" t="inlineStr">
        <is>
          <t>https://www.unicef.org/liberia/</t>
        </is>
      </c>
      <c r="W10" s="19" t="inlineStr">
        <is>
          <t>Yes (mandatory SIM ID registration)</t>
        </is>
      </c>
      <c r="X10" s="20" t="inlineStr">
        <is>
          <t>https://www.gsma.com/solutions-and-impact/connectivity-for-good/public-policy/mobile-policy-handbook/consumer-protection/mandatory-registration-of-prepaid-sims/</t>
        </is>
      </c>
      <c r="Y10" s="19" t="n">
        <v>98</v>
      </c>
    </row>
    <row r="11">
      <c r="A11" s="19" t="n">
        <v>127</v>
      </c>
      <c r="B11" s="19" t="inlineStr">
        <is>
          <t>Nigeria</t>
        </is>
      </c>
      <c r="C11" s="19" t="inlineStr">
        <is>
          <t>Africa</t>
        </is>
      </c>
      <c r="D11" s="19" t="inlineStr">
        <is>
          <t>ECOWAS</t>
        </is>
      </c>
      <c r="E11" s="19" t="inlineStr">
        <is>
          <t>Draft/Early — National AI Strategy in development (2023)</t>
        </is>
      </c>
      <c r="F11" s="20" t="inlineStr">
        <is>
          <t>https://en.unesco.org/artificial-intelligence/observatory/policies?country=NG; https://www.unesco.org/ethics-ai/en/global-hub</t>
        </is>
      </c>
      <c r="G11" s="19" t="inlineStr">
        <is>
          <t>In force — Nigeria Data Protection Act (2023)</t>
        </is>
      </c>
      <c r="H11" s="20" t="inlineStr">
        <is>
          <t>https://unctad.org/page/data-protection-and-privacy-legislation-worldwide</t>
        </is>
      </c>
      <c r="I11" s="19" t="inlineStr">
        <is>
          <t>Partial</t>
        </is>
      </c>
      <c r="J11" s="20" t="inlineStr">
        <is>
          <t>https://unctad.org/page/data-protection-and-privacy-legislation-worldwide; https://www.unicef.org/nigeria/</t>
        </is>
      </c>
      <c r="K11" s="19" t="inlineStr">
        <is>
          <t>No</t>
        </is>
      </c>
      <c r="L11" s="20" t="inlineStr">
        <is>
          <t>https://unctad.org/page/data-protection-and-privacy-legislation-worldwide</t>
        </is>
      </c>
      <c r="M11" s="19" t="inlineStr">
        <is>
          <t>Moderate — NDPB (2022) under Ministry</t>
        </is>
      </c>
      <c r="N11" s="20" t="inlineStr">
        <is>
          <t>https://unctad.org/page/data-protection-and-privacy-legislation-worldwide</t>
        </is>
      </c>
      <c r="O11" s="19" t="inlineStr">
        <is>
          <t>No</t>
        </is>
      </c>
      <c r="P11" s="20" t="inlineStr">
        <is>
          <t>https://unctad.org/page/data-protection-and-privacy-legislation-worldwide</t>
        </is>
      </c>
      <c r="Q11" s="19" t="inlineStr">
        <is>
          <t>Criminalised — Same-Sex Marriage (Prohibition) Act (2014)</t>
        </is>
      </c>
      <c r="R11" s="20" t="inlineStr">
        <is>
          <t>https://www.humandignitytrust.org/country-profile/nigeria/; https://ilga.org/ilga-world-maps/</t>
        </is>
      </c>
      <c r="S11" s="19" t="inlineStr">
        <is>
          <t>Yes</t>
        </is>
      </c>
      <c r="T11" s="20" t="inlineStr">
        <is>
          <t>https://ilga.org/ilga-world-maps/</t>
        </is>
      </c>
      <c r="U11" s="19" t="inlineStr">
        <is>
          <t>No</t>
        </is>
      </c>
      <c r="V11" s="20" t="inlineStr">
        <is>
          <t>https://www.unicef.org/nigeria/</t>
        </is>
      </c>
      <c r="W11" s="19" t="inlineStr">
        <is>
          <t>Yes — SIM-NIN biometric linkage mandatory</t>
        </is>
      </c>
      <c r="X11" s="20" t="inlineStr">
        <is>
          <t>https://www.gsma.com/solutions-and-impact/connectivity-for-good/public-policy/mobile-policy-handbook/consumer-protection/mandatory-registration-of-prepaid-sims/; https://privacyinternational.org/learn/sim-card-registration</t>
        </is>
      </c>
      <c r="Y11" s="19" t="n">
        <v>127</v>
      </c>
    </row>
    <row r="12">
      <c r="A12" s="19" t="n">
        <v>153</v>
      </c>
      <c r="B12" s="19" t="inlineStr">
        <is>
          <t>Senegal</t>
        </is>
      </c>
      <c r="C12" s="19" t="inlineStr">
        <is>
          <t>Africa</t>
        </is>
      </c>
      <c r="D12" s="19" t="inlineStr">
        <is>
          <t>ECOWAS</t>
        </is>
      </c>
      <c r="E12" s="19" t="inlineStr">
        <is>
          <t>Draft/Early — AI included in Digital Senegal Strategy 2025</t>
        </is>
      </c>
      <c r="F12" s="20" t="inlineStr">
        <is>
          <t>https://en.unesco.org/artificial-intelligence/observatory/policies?country=SN; https://www.unesco.org/ethics-ai/en/global-hub</t>
        </is>
      </c>
      <c r="G12" s="19" t="inlineStr">
        <is>
          <t>In force — Law 2008-12 on Personal Data Protection</t>
        </is>
      </c>
      <c r="H12" s="20" t="inlineStr">
        <is>
          <t>https://unctad.org/page/data-protection-and-privacy-legislation-worldwide</t>
        </is>
      </c>
      <c r="I12" s="19" t="inlineStr">
        <is>
          <t>Partial</t>
        </is>
      </c>
      <c r="J12" s="20" t="inlineStr">
        <is>
          <t>https://unctad.org/page/data-protection-and-privacy-legislation-worldwide; https://www.unicef.org/senegal/</t>
        </is>
      </c>
      <c r="K12" s="19" t="inlineStr">
        <is>
          <t>No</t>
        </is>
      </c>
      <c r="L12" s="20" t="inlineStr">
        <is>
          <t>https://unctad.org/page/data-protection-and-privacy-legislation-worldwide</t>
        </is>
      </c>
      <c r="M12" s="19" t="inlineStr">
        <is>
          <t>Moderate — CDP</t>
        </is>
      </c>
      <c r="N12" s="20" t="inlineStr">
        <is>
          <t>https://unctad.org/page/data-protection-and-privacy-legislation-worldwide</t>
        </is>
      </c>
      <c r="O12" s="19" t="inlineStr">
        <is>
          <t>No</t>
        </is>
      </c>
      <c r="P12" s="20" t="inlineStr">
        <is>
          <t>https://unctad.org/page/data-protection-and-privacy-legislation-worldwide</t>
        </is>
      </c>
      <c r="Q12" s="19" t="inlineStr">
        <is>
          <t>Criminalised — Penal Code Art. 319</t>
        </is>
      </c>
      <c r="R12" s="20" t="inlineStr">
        <is>
          <t>https://www.humandignitytrust.org/country-profile/senegal/; https://ilga.org/ilga-world-maps/</t>
        </is>
      </c>
      <c r="S12" s="19" t="inlineStr">
        <is>
          <t>Yes</t>
        </is>
      </c>
      <c r="T12" s="20" t="inlineStr">
        <is>
          <t>https://ilga.org/ilga-world-maps/</t>
        </is>
      </c>
      <c r="U12" s="19" t="inlineStr">
        <is>
          <t>Partial</t>
        </is>
      </c>
      <c r="V12" s="20" t="inlineStr">
        <is>
          <t>https://www.unicef.org/senegal/</t>
        </is>
      </c>
      <c r="W12" s="19" t="inlineStr">
        <is>
          <t>Yes</t>
        </is>
      </c>
      <c r="X12" s="20" t="inlineStr">
        <is>
          <t>https://www.gsma.com/solutions-and-impact/connectivity-for-good/public-policy/mobile-policy-handbook/consumer-protection/mandatory-registration-of-prepaid-sims/</t>
        </is>
      </c>
      <c r="Y12" s="19" t="n">
        <v>153</v>
      </c>
    </row>
    <row r="13">
      <c r="A13" s="19" t="n">
        <v>156</v>
      </c>
      <c r="B13" s="19" t="inlineStr">
        <is>
          <t>Sierra Leone</t>
        </is>
      </c>
      <c r="C13" s="19" t="inlineStr">
        <is>
          <t>Africa</t>
        </is>
      </c>
      <c r="D13" s="19" t="inlineStr">
        <is>
          <t>ECOWAS</t>
        </is>
      </c>
      <c r="E13" s="19" t="inlineStr">
        <is>
          <t>None</t>
        </is>
      </c>
      <c r="F13" s="20" t="inlineStr">
        <is>
          <t>https://en.unesco.org/artificial-intelligence/observatory/policies?country=SL; https://www.unesco.org/ethics-ai/en/global-hub</t>
        </is>
      </c>
      <c r="G13" s="19" t="inlineStr">
        <is>
          <t>In force — Data Protection Act 2023</t>
        </is>
      </c>
      <c r="H13" s="20" t="inlineStr">
        <is>
          <t>https://unctad.org/page/data-protection-and-privacy-legislation-worldwide</t>
        </is>
      </c>
      <c r="I13" s="19" t="inlineStr">
        <is>
          <t>Partial — provisions under Child Rights Act</t>
        </is>
      </c>
      <c r="J13" s="20" t="inlineStr">
        <is>
          <t>https://unctad.org/page/data-protection-and-privacy-legislation-worldwide; https://www.unicef.org/sierra-leone/</t>
        </is>
      </c>
      <c r="K13" s="19" t="inlineStr">
        <is>
          <t>No</t>
        </is>
      </c>
      <c r="L13" s="20" t="inlineStr">
        <is>
          <t>https://unctad.org/page/data-protection-and-privacy-legislation-worldwide</t>
        </is>
      </c>
      <c r="M13" s="19" t="inlineStr">
        <is>
          <t>Moderate — Data Protection Commission (new)</t>
        </is>
      </c>
      <c r="N13" s="20" t="inlineStr">
        <is>
          <t>https://unctad.org/page/data-protection-and-privacy-legislation-worldwide</t>
        </is>
      </c>
      <c r="O13" s="19" t="inlineStr">
        <is>
          <t>No</t>
        </is>
      </c>
      <c r="P13" s="20" t="inlineStr">
        <is>
          <t>https://unctad.org/page/data-protection-and-privacy-legislation-worldwide</t>
        </is>
      </c>
      <c r="Q13" s="19" t="inlineStr">
        <is>
          <t>Criminalised — colonial-era sodomy laws remain</t>
        </is>
      </c>
      <c r="R13" s="20" t="inlineStr">
        <is>
          <t>https://www.humandignitytrust.org/country-profile/sierra-leone/; https://ilga.org/ilga-world-maps/</t>
        </is>
      </c>
      <c r="S13" s="19" t="inlineStr">
        <is>
          <t>Yes</t>
        </is>
      </c>
      <c r="T13" s="20" t="inlineStr">
        <is>
          <t>https://ilga.org/ilga-world-maps/</t>
        </is>
      </c>
      <c r="U13" s="19" t="inlineStr">
        <is>
          <t>No</t>
        </is>
      </c>
      <c r="V13" s="20" t="inlineStr">
        <is>
          <t>https://www.unicef.org/sierra-leone/</t>
        </is>
      </c>
      <c r="W13" s="19" t="inlineStr">
        <is>
          <t>Yes</t>
        </is>
      </c>
      <c r="X13" s="20" t="inlineStr">
        <is>
          <t>https://www.gsma.com/solutions-and-impact/connectivity-for-good/public-policy/mobile-policy-handbook/consumer-protection/mandatory-registration-of-prepaid-sims/</t>
        </is>
      </c>
      <c r="Y13" s="19" t="n">
        <v>156</v>
      </c>
    </row>
    <row r="14">
      <c r="A14" s="19" t="n">
        <v>176</v>
      </c>
      <c r="B14" s="19" t="inlineStr">
        <is>
          <t>Togo</t>
        </is>
      </c>
      <c r="C14" s="19" t="inlineStr">
        <is>
          <t>Africa</t>
        </is>
      </c>
      <c r="D14" s="19" t="inlineStr">
        <is>
          <t>ECOWAS</t>
        </is>
      </c>
      <c r="E14" s="19" t="inlineStr">
        <is>
          <t>None</t>
        </is>
      </c>
      <c r="F14" s="20" t="inlineStr">
        <is>
          <t>https://en.unesco.org/artificial-intelligence/observatory/policies?country=TG; https://www.unesco.org/ethics-ai/en/global-hub</t>
        </is>
      </c>
      <c r="G14" s="19" t="inlineStr">
        <is>
          <t>In force — Law No. 2019-014 on Personal Data Protection</t>
        </is>
      </c>
      <c r="H14" s="20" t="inlineStr">
        <is>
          <t>https://unctad.org/page/data-protection-and-privacy-legislation-worldwide</t>
        </is>
      </c>
      <c r="I14" s="19" t="inlineStr">
        <is>
          <t>Partial</t>
        </is>
      </c>
      <c r="J14" s="20" t="inlineStr">
        <is>
          <t>https://unctad.org/page/data-protection-and-privacy-legislation-worldwide; https://www.unicef.org/togo/</t>
        </is>
      </c>
      <c r="K14" s="19" t="inlineStr">
        <is>
          <t>No</t>
        </is>
      </c>
      <c r="L14" s="20" t="inlineStr">
        <is>
          <t>https://unctad.org/page/data-protection-and-privacy-legislation-worldwide</t>
        </is>
      </c>
      <c r="M14" s="19" t="inlineStr">
        <is>
          <t>Moderate — Autorité de Protection des Données Personnelles (APDP)</t>
        </is>
      </c>
      <c r="N14" s="20" t="inlineStr">
        <is>
          <t>https://unctad.org/page/data-protection-and-privacy-legislation-worldwide</t>
        </is>
      </c>
      <c r="O14" s="19" t="inlineStr">
        <is>
          <t>No</t>
        </is>
      </c>
      <c r="P14" s="20" t="inlineStr">
        <is>
          <t>https://unctad.org/page/data-protection-and-privacy-legislation-worldwide</t>
        </is>
      </c>
      <c r="Q14" s="19" t="inlineStr">
        <is>
          <t>Criminalised — Penal Code 1980, Sec. 88</t>
        </is>
      </c>
      <c r="R14" s="20" t="inlineStr">
        <is>
          <t>https://www.humandignitytrust.org/country-profile/togo/; https://ilga.org/ilga-world-maps/</t>
        </is>
      </c>
      <c r="S14" s="19" t="inlineStr">
        <is>
          <t>Yes</t>
        </is>
      </c>
      <c r="T14" s="20" t="inlineStr">
        <is>
          <t>https://ilga.org/ilga-world-maps/</t>
        </is>
      </c>
      <c r="U14" s="19" t="inlineStr">
        <is>
          <t>No</t>
        </is>
      </c>
      <c r="V14" s="20" t="inlineStr">
        <is>
          <t>https://www.unicef.org/togo/</t>
        </is>
      </c>
      <c r="W14" s="19" t="inlineStr">
        <is>
          <t>Yes — SIMs linked to ID</t>
        </is>
      </c>
      <c r="X14" s="20" t="inlineStr">
        <is>
          <t>https://www.gsma.com/solutions-and-impact/connectivity-for-good/public-policy/mobile-policy-handbook/consumer-protection/mandatory-registration-of-prepaid-sims/</t>
        </is>
      </c>
      <c r="Y14" s="19" t="n">
        <v>176</v>
      </c>
    </row>
  </sheetData>
  <hyperlinks>
    <hyperlink xmlns:r="http://schemas.openxmlformats.org/officeDocument/2006/relationships" ref="F2" r:id="rId1"/>
    <hyperlink xmlns:r="http://schemas.openxmlformats.org/officeDocument/2006/relationships" ref="H2" r:id="rId2"/>
    <hyperlink xmlns:r="http://schemas.openxmlformats.org/officeDocument/2006/relationships" ref="J2" r:id="rId3"/>
    <hyperlink xmlns:r="http://schemas.openxmlformats.org/officeDocument/2006/relationships" ref="L2" r:id="rId4"/>
    <hyperlink xmlns:r="http://schemas.openxmlformats.org/officeDocument/2006/relationships" ref="N2" r:id="rId5"/>
    <hyperlink xmlns:r="http://schemas.openxmlformats.org/officeDocument/2006/relationships" ref="P2" r:id="rId6"/>
    <hyperlink xmlns:r="http://schemas.openxmlformats.org/officeDocument/2006/relationships" ref="R2" r:id="rId7"/>
    <hyperlink xmlns:r="http://schemas.openxmlformats.org/officeDocument/2006/relationships" ref="T2" r:id="rId8"/>
    <hyperlink xmlns:r="http://schemas.openxmlformats.org/officeDocument/2006/relationships" ref="V2" r:id="rId9"/>
    <hyperlink xmlns:r="http://schemas.openxmlformats.org/officeDocument/2006/relationships" ref="X2" r:id="rId10"/>
    <hyperlink xmlns:r="http://schemas.openxmlformats.org/officeDocument/2006/relationships" ref="F3" r:id="rId11"/>
    <hyperlink xmlns:r="http://schemas.openxmlformats.org/officeDocument/2006/relationships" ref="H3" r:id="rId12"/>
    <hyperlink xmlns:r="http://schemas.openxmlformats.org/officeDocument/2006/relationships" ref="J3" r:id="rId13"/>
    <hyperlink xmlns:r="http://schemas.openxmlformats.org/officeDocument/2006/relationships" ref="L3" r:id="rId14"/>
    <hyperlink xmlns:r="http://schemas.openxmlformats.org/officeDocument/2006/relationships" ref="N3" r:id="rId15"/>
    <hyperlink xmlns:r="http://schemas.openxmlformats.org/officeDocument/2006/relationships" ref="P3" r:id="rId16"/>
    <hyperlink xmlns:r="http://schemas.openxmlformats.org/officeDocument/2006/relationships" ref="R3" r:id="rId17"/>
    <hyperlink xmlns:r="http://schemas.openxmlformats.org/officeDocument/2006/relationships" ref="T3" r:id="rId18"/>
    <hyperlink xmlns:r="http://schemas.openxmlformats.org/officeDocument/2006/relationships" ref="V3" r:id="rId19"/>
    <hyperlink xmlns:r="http://schemas.openxmlformats.org/officeDocument/2006/relationships" ref="X3" r:id="rId20"/>
    <hyperlink xmlns:r="http://schemas.openxmlformats.org/officeDocument/2006/relationships" ref="F4" r:id="rId21"/>
    <hyperlink xmlns:r="http://schemas.openxmlformats.org/officeDocument/2006/relationships" ref="H4" r:id="rId22"/>
    <hyperlink xmlns:r="http://schemas.openxmlformats.org/officeDocument/2006/relationships" ref="J4" r:id="rId23"/>
    <hyperlink xmlns:r="http://schemas.openxmlformats.org/officeDocument/2006/relationships" ref="L4" r:id="rId24"/>
    <hyperlink xmlns:r="http://schemas.openxmlformats.org/officeDocument/2006/relationships" ref="N4" r:id="rId25"/>
    <hyperlink xmlns:r="http://schemas.openxmlformats.org/officeDocument/2006/relationships" ref="P4" r:id="rId26"/>
    <hyperlink xmlns:r="http://schemas.openxmlformats.org/officeDocument/2006/relationships" ref="R4" r:id="rId27"/>
    <hyperlink xmlns:r="http://schemas.openxmlformats.org/officeDocument/2006/relationships" ref="T4" r:id="rId28"/>
    <hyperlink xmlns:r="http://schemas.openxmlformats.org/officeDocument/2006/relationships" ref="V4" r:id="rId29"/>
    <hyperlink xmlns:r="http://schemas.openxmlformats.org/officeDocument/2006/relationships" ref="X4" r:id="rId30"/>
    <hyperlink xmlns:r="http://schemas.openxmlformats.org/officeDocument/2006/relationships" ref="F5" r:id="rId31"/>
    <hyperlink xmlns:r="http://schemas.openxmlformats.org/officeDocument/2006/relationships" ref="H5" r:id="rId32"/>
    <hyperlink xmlns:r="http://schemas.openxmlformats.org/officeDocument/2006/relationships" ref="J5" r:id="rId33"/>
    <hyperlink xmlns:r="http://schemas.openxmlformats.org/officeDocument/2006/relationships" ref="L5" r:id="rId34"/>
    <hyperlink xmlns:r="http://schemas.openxmlformats.org/officeDocument/2006/relationships" ref="N5" r:id="rId35"/>
    <hyperlink xmlns:r="http://schemas.openxmlformats.org/officeDocument/2006/relationships" ref="P5" r:id="rId36"/>
    <hyperlink xmlns:r="http://schemas.openxmlformats.org/officeDocument/2006/relationships" ref="R5" r:id="rId37"/>
    <hyperlink xmlns:r="http://schemas.openxmlformats.org/officeDocument/2006/relationships" ref="T5" r:id="rId38"/>
    <hyperlink xmlns:r="http://schemas.openxmlformats.org/officeDocument/2006/relationships" ref="V5" r:id="rId39"/>
    <hyperlink xmlns:r="http://schemas.openxmlformats.org/officeDocument/2006/relationships" ref="X5" r:id="rId40"/>
    <hyperlink xmlns:r="http://schemas.openxmlformats.org/officeDocument/2006/relationships" ref="F6" r:id="rId41"/>
    <hyperlink xmlns:r="http://schemas.openxmlformats.org/officeDocument/2006/relationships" ref="H6" r:id="rId42"/>
    <hyperlink xmlns:r="http://schemas.openxmlformats.org/officeDocument/2006/relationships" ref="J6" r:id="rId43"/>
    <hyperlink xmlns:r="http://schemas.openxmlformats.org/officeDocument/2006/relationships" ref="L6" r:id="rId44"/>
    <hyperlink xmlns:r="http://schemas.openxmlformats.org/officeDocument/2006/relationships" ref="N6" r:id="rId45"/>
    <hyperlink xmlns:r="http://schemas.openxmlformats.org/officeDocument/2006/relationships" ref="P6" r:id="rId46"/>
    <hyperlink xmlns:r="http://schemas.openxmlformats.org/officeDocument/2006/relationships" ref="R6" r:id="rId47"/>
    <hyperlink xmlns:r="http://schemas.openxmlformats.org/officeDocument/2006/relationships" ref="T6" r:id="rId48"/>
    <hyperlink xmlns:r="http://schemas.openxmlformats.org/officeDocument/2006/relationships" ref="V6" r:id="rId49"/>
    <hyperlink xmlns:r="http://schemas.openxmlformats.org/officeDocument/2006/relationships" ref="X6" r:id="rId50"/>
    <hyperlink xmlns:r="http://schemas.openxmlformats.org/officeDocument/2006/relationships" ref="F7" r:id="rId51"/>
    <hyperlink xmlns:r="http://schemas.openxmlformats.org/officeDocument/2006/relationships" ref="H7" r:id="rId52"/>
    <hyperlink xmlns:r="http://schemas.openxmlformats.org/officeDocument/2006/relationships" ref="J7" r:id="rId53"/>
    <hyperlink xmlns:r="http://schemas.openxmlformats.org/officeDocument/2006/relationships" ref="L7" r:id="rId54"/>
    <hyperlink xmlns:r="http://schemas.openxmlformats.org/officeDocument/2006/relationships" ref="N7" r:id="rId55"/>
    <hyperlink xmlns:r="http://schemas.openxmlformats.org/officeDocument/2006/relationships" ref="P7" r:id="rId56"/>
    <hyperlink xmlns:r="http://schemas.openxmlformats.org/officeDocument/2006/relationships" ref="R7" r:id="rId57"/>
    <hyperlink xmlns:r="http://schemas.openxmlformats.org/officeDocument/2006/relationships" ref="T7" r:id="rId58"/>
    <hyperlink xmlns:r="http://schemas.openxmlformats.org/officeDocument/2006/relationships" ref="V7" r:id="rId59"/>
    <hyperlink xmlns:r="http://schemas.openxmlformats.org/officeDocument/2006/relationships" ref="X7" r:id="rId60"/>
    <hyperlink xmlns:r="http://schemas.openxmlformats.org/officeDocument/2006/relationships" ref="F8" r:id="rId61"/>
    <hyperlink xmlns:r="http://schemas.openxmlformats.org/officeDocument/2006/relationships" ref="H8" r:id="rId62"/>
    <hyperlink xmlns:r="http://schemas.openxmlformats.org/officeDocument/2006/relationships" ref="J8" r:id="rId63"/>
    <hyperlink xmlns:r="http://schemas.openxmlformats.org/officeDocument/2006/relationships" ref="L8" r:id="rId64"/>
    <hyperlink xmlns:r="http://schemas.openxmlformats.org/officeDocument/2006/relationships" ref="N8" r:id="rId65"/>
    <hyperlink xmlns:r="http://schemas.openxmlformats.org/officeDocument/2006/relationships" ref="P8" r:id="rId66"/>
    <hyperlink xmlns:r="http://schemas.openxmlformats.org/officeDocument/2006/relationships" ref="R8" r:id="rId67"/>
    <hyperlink xmlns:r="http://schemas.openxmlformats.org/officeDocument/2006/relationships" ref="T8" r:id="rId68"/>
    <hyperlink xmlns:r="http://schemas.openxmlformats.org/officeDocument/2006/relationships" ref="V8" r:id="rId69"/>
    <hyperlink xmlns:r="http://schemas.openxmlformats.org/officeDocument/2006/relationships" ref="X8" r:id="rId70"/>
    <hyperlink xmlns:r="http://schemas.openxmlformats.org/officeDocument/2006/relationships" ref="F9" r:id="rId71"/>
    <hyperlink xmlns:r="http://schemas.openxmlformats.org/officeDocument/2006/relationships" ref="H9" r:id="rId72"/>
    <hyperlink xmlns:r="http://schemas.openxmlformats.org/officeDocument/2006/relationships" ref="J9" r:id="rId73"/>
    <hyperlink xmlns:r="http://schemas.openxmlformats.org/officeDocument/2006/relationships" ref="L9" r:id="rId74"/>
    <hyperlink xmlns:r="http://schemas.openxmlformats.org/officeDocument/2006/relationships" ref="N9" r:id="rId75"/>
    <hyperlink xmlns:r="http://schemas.openxmlformats.org/officeDocument/2006/relationships" ref="P9" r:id="rId76"/>
    <hyperlink xmlns:r="http://schemas.openxmlformats.org/officeDocument/2006/relationships" ref="R9" r:id="rId77"/>
    <hyperlink xmlns:r="http://schemas.openxmlformats.org/officeDocument/2006/relationships" ref="T9" r:id="rId78"/>
    <hyperlink xmlns:r="http://schemas.openxmlformats.org/officeDocument/2006/relationships" ref="V9" r:id="rId79"/>
    <hyperlink xmlns:r="http://schemas.openxmlformats.org/officeDocument/2006/relationships" ref="X9" r:id="rId80"/>
    <hyperlink xmlns:r="http://schemas.openxmlformats.org/officeDocument/2006/relationships" ref="F10" r:id="rId81"/>
    <hyperlink xmlns:r="http://schemas.openxmlformats.org/officeDocument/2006/relationships" ref="H10" r:id="rId82"/>
    <hyperlink xmlns:r="http://schemas.openxmlformats.org/officeDocument/2006/relationships" ref="J10" r:id="rId83"/>
    <hyperlink xmlns:r="http://schemas.openxmlformats.org/officeDocument/2006/relationships" ref="L10" r:id="rId84"/>
    <hyperlink xmlns:r="http://schemas.openxmlformats.org/officeDocument/2006/relationships" ref="N10" r:id="rId85"/>
    <hyperlink xmlns:r="http://schemas.openxmlformats.org/officeDocument/2006/relationships" ref="P10" r:id="rId86"/>
    <hyperlink xmlns:r="http://schemas.openxmlformats.org/officeDocument/2006/relationships" ref="R10" r:id="rId87"/>
    <hyperlink xmlns:r="http://schemas.openxmlformats.org/officeDocument/2006/relationships" ref="T10" r:id="rId88"/>
    <hyperlink xmlns:r="http://schemas.openxmlformats.org/officeDocument/2006/relationships" ref="V10" r:id="rId89"/>
    <hyperlink xmlns:r="http://schemas.openxmlformats.org/officeDocument/2006/relationships" ref="X10" r:id="rId90"/>
    <hyperlink xmlns:r="http://schemas.openxmlformats.org/officeDocument/2006/relationships" ref="F11" r:id="rId91"/>
    <hyperlink xmlns:r="http://schemas.openxmlformats.org/officeDocument/2006/relationships" ref="H11" r:id="rId92"/>
    <hyperlink xmlns:r="http://schemas.openxmlformats.org/officeDocument/2006/relationships" ref="J11" r:id="rId93"/>
    <hyperlink xmlns:r="http://schemas.openxmlformats.org/officeDocument/2006/relationships" ref="L11" r:id="rId94"/>
    <hyperlink xmlns:r="http://schemas.openxmlformats.org/officeDocument/2006/relationships" ref="N11" r:id="rId95"/>
    <hyperlink xmlns:r="http://schemas.openxmlformats.org/officeDocument/2006/relationships" ref="P11" r:id="rId96"/>
    <hyperlink xmlns:r="http://schemas.openxmlformats.org/officeDocument/2006/relationships" ref="R11" r:id="rId97"/>
    <hyperlink xmlns:r="http://schemas.openxmlformats.org/officeDocument/2006/relationships" ref="T11" r:id="rId98"/>
    <hyperlink xmlns:r="http://schemas.openxmlformats.org/officeDocument/2006/relationships" ref="V11" r:id="rId99"/>
    <hyperlink xmlns:r="http://schemas.openxmlformats.org/officeDocument/2006/relationships" ref="X11" r:id="rId100"/>
    <hyperlink xmlns:r="http://schemas.openxmlformats.org/officeDocument/2006/relationships" ref="F12" r:id="rId101"/>
    <hyperlink xmlns:r="http://schemas.openxmlformats.org/officeDocument/2006/relationships" ref="H12" r:id="rId102"/>
    <hyperlink xmlns:r="http://schemas.openxmlformats.org/officeDocument/2006/relationships" ref="J12" r:id="rId103"/>
    <hyperlink xmlns:r="http://schemas.openxmlformats.org/officeDocument/2006/relationships" ref="L12" r:id="rId104"/>
    <hyperlink xmlns:r="http://schemas.openxmlformats.org/officeDocument/2006/relationships" ref="N12" r:id="rId105"/>
    <hyperlink xmlns:r="http://schemas.openxmlformats.org/officeDocument/2006/relationships" ref="P12" r:id="rId106"/>
    <hyperlink xmlns:r="http://schemas.openxmlformats.org/officeDocument/2006/relationships" ref="R12" r:id="rId107"/>
    <hyperlink xmlns:r="http://schemas.openxmlformats.org/officeDocument/2006/relationships" ref="T12" r:id="rId108"/>
    <hyperlink xmlns:r="http://schemas.openxmlformats.org/officeDocument/2006/relationships" ref="V12" r:id="rId109"/>
    <hyperlink xmlns:r="http://schemas.openxmlformats.org/officeDocument/2006/relationships" ref="X12" r:id="rId110"/>
    <hyperlink xmlns:r="http://schemas.openxmlformats.org/officeDocument/2006/relationships" ref="F13" r:id="rId111"/>
    <hyperlink xmlns:r="http://schemas.openxmlformats.org/officeDocument/2006/relationships" ref="H13" r:id="rId112"/>
    <hyperlink xmlns:r="http://schemas.openxmlformats.org/officeDocument/2006/relationships" ref="J13" r:id="rId113"/>
    <hyperlink xmlns:r="http://schemas.openxmlformats.org/officeDocument/2006/relationships" ref="L13" r:id="rId114"/>
    <hyperlink xmlns:r="http://schemas.openxmlformats.org/officeDocument/2006/relationships" ref="N13" r:id="rId115"/>
    <hyperlink xmlns:r="http://schemas.openxmlformats.org/officeDocument/2006/relationships" ref="P13" r:id="rId116"/>
    <hyperlink xmlns:r="http://schemas.openxmlformats.org/officeDocument/2006/relationships" ref="R13" r:id="rId117"/>
    <hyperlink xmlns:r="http://schemas.openxmlformats.org/officeDocument/2006/relationships" ref="T13" r:id="rId118"/>
    <hyperlink xmlns:r="http://schemas.openxmlformats.org/officeDocument/2006/relationships" ref="V13" r:id="rId119"/>
    <hyperlink xmlns:r="http://schemas.openxmlformats.org/officeDocument/2006/relationships" ref="X13" r:id="rId120"/>
    <hyperlink xmlns:r="http://schemas.openxmlformats.org/officeDocument/2006/relationships" ref="F14" r:id="rId121"/>
    <hyperlink xmlns:r="http://schemas.openxmlformats.org/officeDocument/2006/relationships" ref="H14" r:id="rId122"/>
    <hyperlink xmlns:r="http://schemas.openxmlformats.org/officeDocument/2006/relationships" ref="J14" r:id="rId123"/>
    <hyperlink xmlns:r="http://schemas.openxmlformats.org/officeDocument/2006/relationships" ref="L14" r:id="rId124"/>
    <hyperlink xmlns:r="http://schemas.openxmlformats.org/officeDocument/2006/relationships" ref="N14" r:id="rId125"/>
    <hyperlink xmlns:r="http://schemas.openxmlformats.org/officeDocument/2006/relationships" ref="P14" r:id="rId126"/>
    <hyperlink xmlns:r="http://schemas.openxmlformats.org/officeDocument/2006/relationships" ref="R14" r:id="rId127"/>
    <hyperlink xmlns:r="http://schemas.openxmlformats.org/officeDocument/2006/relationships" ref="T14" r:id="rId128"/>
    <hyperlink xmlns:r="http://schemas.openxmlformats.org/officeDocument/2006/relationships" ref="V14" r:id="rId129"/>
    <hyperlink xmlns:r="http://schemas.openxmlformats.org/officeDocument/2006/relationships" ref="X14" r:id="rId130"/>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Y43"/>
  <sheetViews>
    <sheetView topLeftCell="A8" zoomScaleNormal="150" zoomScaleSheetLayoutView="100" workbookViewId="0">
      <selection activeCell="C12" sqref="C12"/>
    </sheetView>
  </sheetViews>
  <sheetFormatPr baseColWidth="8" defaultColWidth="18.0234375" defaultRowHeight="15"/>
  <cols>
    <col width="18.0234375" customWidth="1" style="49" min="1" max="3"/>
    <col width="28.65234375" customWidth="1" style="49" min="4" max="13"/>
    <col width="18.0234375" customWidth="1" style="49" min="14" max="16384"/>
  </cols>
  <sheetData>
    <row r="1" ht="66.75" customHeight="1" s="48">
      <c r="A1" s="9" t="inlineStr">
        <is>
          <t>Revised SIM_Biometric_ID_Linkage scoring rule</t>
        </is>
      </c>
      <c r="C1" s="9" t="inlineStr">
        <is>
          <t>Revised Promotion_Propaganda_Offences scoring rule</t>
        </is>
      </c>
    </row>
    <row r="2" ht="162" customHeight="1" s="48">
      <c r="A2" s="49" t="inlineStr">
        <is>
          <t>0 = Yes (biometric SIM registration required) → explicit fingerprint, photo, face, or biometric ID capture at point-of-sale or in regulation.</t>
        </is>
      </c>
      <c r="C2" s="49" t="inlineStr">
        <is>
          <t>0 = Fault → if there are any mechanisms of restriction (explicit propaganda laws, morality/indecency codes, censorship boards, “promotion bans,” or societal/legal frameworks that can or do suppress LGBTQ expression).</t>
        </is>
      </c>
    </row>
    <row r="3" ht="94.5" customHeight="1" s="48">
      <c r="A3" s="49" t="inlineStr">
        <is>
          <t>2 = No (no biometric SIM requirement) → SIM registration may exist (ID, address, Omang, etc.) but not biometrics.</t>
        </is>
      </c>
      <c r="C3" s="49" t="inlineStr">
        <is>
          <t>2 = No Fault → only if there are no legal provisions, no administrative restrictions, and no morality policing in law or practice.</t>
        </is>
      </c>
    </row>
    <row r="4" ht="68.25" customHeight="1" s="48">
      <c r="A4" s="49" t="inlineStr">
        <is>
          <t>1 = not used → we drop this middle state to sharpen the index on biometric-specific harms.</t>
        </is>
      </c>
    </row>
    <row r="5" ht="41.25" customHeight="1" s="48">
      <c r="A5" s="49" t="inlineStr">
        <is>
          <t>That means for the rows we already finalized:</t>
        </is>
      </c>
      <c r="C5" s="49" t="inlineStr">
        <is>
          <t>So under this sharpened rule:</t>
        </is>
      </c>
    </row>
    <row r="6" ht="54.75" customHeight="1" s="48">
      <c r="A6" s="49" t="inlineStr">
        <is>
          <t>Angola → 2 (no biometric at SIM; ID-only).</t>
        </is>
      </c>
      <c r="C6" s="49" t="inlineStr">
        <is>
          <t>Angola → 2 (no propaganda laws, no morality policing identified).</t>
        </is>
      </c>
    </row>
    <row r="7" ht="54.75" customHeight="1" s="48">
      <c r="A7" s="49" t="inlineStr">
        <is>
          <t>Botswana → 2 (Omang used but no biometric at SIM point).</t>
        </is>
      </c>
      <c r="C7" s="49" t="inlineStr">
        <is>
          <t>Botswana → 2 (decriminalised, no propaganda laws, no morality policing).</t>
        </is>
      </c>
    </row>
    <row r="8" ht="54.75" customHeight="1" s="48">
      <c r="A8" s="49" t="inlineStr">
        <is>
          <t>Comoros → 2 (ID required, but no biometric).</t>
        </is>
      </c>
      <c r="C8" s="49" t="inlineStr">
        <is>
          <t>Comoros → 0 (same-sex criminalised; morality law environment).</t>
        </is>
      </c>
    </row>
    <row r="9" ht="54.75" customHeight="1" s="48">
      <c r="A9" s="49" t="inlineStr">
        <is>
          <t>DRC → 2 (ID-based SIM registration; no biometric capture specified).</t>
        </is>
      </c>
      <c r="C9" s="49" t="inlineStr">
        <is>
          <t>DRC → 0 (indecency + CSAC sanctions used).</t>
        </is>
      </c>
    </row>
    <row r="10" ht="81" customHeight="1" s="48">
      <c r="A10" s="49" t="inlineStr">
        <is>
          <t>Eswatini → 2 (ID-based SIM registration; biometric ID exists, but no biometric SIM reg).</t>
        </is>
      </c>
      <c r="C10" s="49" t="inlineStr">
        <is>
          <t>Eswatini → 0 (Broadcasting Guidelines restrict expression).</t>
        </is>
      </c>
    </row>
    <row r="11" ht="54.75" customHeight="1" s="48">
      <c r="A11" s="49" t="inlineStr">
        <is>
          <t>Lesotho → 0 (2021 SIM Regulations require live fingerprint capture).</t>
        </is>
      </c>
      <c r="C11" s="49" t="inlineStr">
        <is>
          <t>Lesotho → 0 (unclear law + indecency provisions allow restriction).</t>
        </is>
      </c>
    </row>
    <row r="12" ht="68.25" customHeight="1" s="48">
      <c r="C12" s="49" t="inlineStr">
        <is>
          <t>Madagascar → 0 (indecency provisions used against LGBTQ people).</t>
        </is>
      </c>
    </row>
    <row r="13" ht="54.75" customHeight="1" s="48">
      <c r="C13" s="49" t="inlineStr">
        <is>
          <t>Malawi → 0 (criminalised + indecency provisions).</t>
        </is>
      </c>
    </row>
    <row r="14" ht="81" customHeight="1" s="48">
      <c r="C14" s="49" t="inlineStr">
        <is>
          <t>Mauritius → 2 (explicitly decriminalised, equality protections, no propaganda restrictions).</t>
        </is>
      </c>
    </row>
    <row r="15" ht="81" customHeight="1" s="48">
      <c r="C15" s="49" t="inlineStr">
        <is>
          <t>Mozambique → 2 (decriminalised, Penal Code reform removed propaganda provisions).</t>
        </is>
      </c>
    </row>
    <row r="21">
      <c r="A21" s="49" t="inlineStr">
        <is>
          <t>RowNumber</t>
        </is>
      </c>
      <c r="B21" s="49" t="inlineStr">
        <is>
          <t>AI_Policy_Status</t>
        </is>
      </c>
      <c r="C21" s="49" t="inlineStr">
        <is>
          <t>Data_Protection_Law</t>
        </is>
      </c>
      <c r="D21" s="49" t="inlineStr">
        <is>
          <t>Children_Data_Safeguards</t>
        </is>
      </c>
      <c r="E21" s="49" t="inlineStr">
        <is>
          <t>DPA_Independence</t>
        </is>
      </c>
      <c r="F21" s="49" t="inlineStr">
        <is>
          <t>LGBTQ_Legal_Status</t>
        </is>
      </c>
      <c r="G21" s="49" t="inlineStr">
        <is>
          <t>COP_Strategy</t>
        </is>
      </c>
    </row>
    <row r="22" ht="81" customHeight="1" s="48">
      <c r="A22" s="49" t="n">
        <v>6</v>
      </c>
      <c r="B22" s="49" t="inlineStr">
        <is>
          <t>White Paper on ICT 2023–2027 (Presidential Decree No. 272/24, Dec 2024). Not a dedicated AI law.</t>
        </is>
      </c>
      <c r="C22" s="49" t="inlineStr">
        <is>
          <t>In force — Law No. 22/11 of 17 June 2011 on Personal Data Protection (establishes APD).</t>
        </is>
      </c>
      <c r="D22" s="49" t="inlineStr">
        <is>
          <t>Law No. 25/12 (2012), Articles 30, 32–33: online safety, harmful content, misuse of children’s data, protection from exploitation.</t>
        </is>
      </c>
      <c r="E22" s="49" t="inlineStr">
        <is>
          <t>Independent public-law body (APD) with legal/financial autonomy; structure in Decree 214/16 and board appointment in Decree 277/19.</t>
        </is>
      </c>
      <c r="F22" s="49" t="inlineStr">
        <is>
          <t>Decriminalised — Penal Code Law No. 38/20 (2020, in force 2021). Discrimination based on sexual orientation criminalised.</t>
        </is>
      </c>
      <c r="G22" s="49" t="inlineStr">
        <is>
          <t>No stand-alone COP strategy; legal COP measures embedded in Law 25/12. ITU profile summarises legal tools.</t>
        </is>
      </c>
    </row>
    <row r="23" ht="94.5" customHeight="1" s="48">
      <c r="A23" s="49" t="n">
        <v>24</v>
      </c>
      <c r="B23" s="49" t="inlineStr">
        <is>
          <t>No standalone AI law. Botswana implements SmartBots 4IR Strategy; SmartBots Lab established.</t>
        </is>
      </c>
      <c r="C23" s="49" t="inlineStr">
        <is>
          <t>In force — Data Protection Act 2024 (Act 18 of 2024), commenced 14 Jan 2025 (S.I. 4/2025), repealing the 2018 Act.</t>
        </is>
      </c>
      <c r="D23" s="49" t="inlineStr">
        <is>
          <t>Children’s Act (Cap. 28:04) + Data Protection Act 2024 (s.29: parental authorization; child 16+ may consent).</t>
        </is>
      </c>
      <c r="E23" s="49" t="inlineStr">
        <is>
          <t>Information and Data Protection Commission (IDPC) acts with complete operational independence; not subject to ministerial direction.</t>
        </is>
      </c>
      <c r="F23" s="49" t="inlineStr">
        <is>
          <t>Decriminalised — High Court (2019) and Court of Appeal (2021) struck down Penal Code provisions criminalising same-sex relations.</t>
        </is>
      </c>
      <c r="G23" s="49" t="inlineStr">
        <is>
          <t>No dedicated COP strategy; SmartBots programme commits to a safer cyberspace.</t>
        </is>
      </c>
    </row>
    <row r="25">
      <c r="A25" s="49" t="inlineStr">
        <is>
          <t>RowNumber</t>
        </is>
      </c>
      <c r="B25" s="49" t="inlineStr">
        <is>
          <t>AI_Policy_Status</t>
        </is>
      </c>
      <c r="C25" s="49" t="inlineStr">
        <is>
          <t>Data_Protection_Law</t>
        </is>
      </c>
      <c r="D25" s="49" t="inlineStr">
        <is>
          <t>Children_Data_Safeguards</t>
        </is>
      </c>
      <c r="E25" s="49" t="inlineStr">
        <is>
          <t>DPA_Independence</t>
        </is>
      </c>
      <c r="F25" s="49" t="inlineStr">
        <is>
          <t>LGBTQ_Legal_Status</t>
        </is>
      </c>
      <c r="G25" s="49" t="inlineStr">
        <is>
          <t>COP_Strategy</t>
        </is>
      </c>
    </row>
    <row r="26" ht="81" customHeight="1" s="48">
      <c r="A26" s="49" t="n">
        <v>6</v>
      </c>
      <c r="B26" s="49" t="inlineStr">
        <is>
          <t>White Paper on ICT 2023–2027 (Presidential Decree No. 272/24, Dec 2024). Not a dedicated AI law.</t>
        </is>
      </c>
      <c r="C26" s="49" t="inlineStr">
        <is>
          <t>In force — Law No. 22/11 of 17 June 2011 on Personal Data Protection (establishes APD).</t>
        </is>
      </c>
      <c r="D26" s="49" t="inlineStr">
        <is>
          <t>Law No. 25/12 (2012), Articles 30, 32–33: online safety, harmful content, misuse of children’s data, protection from exploitation.</t>
        </is>
      </c>
      <c r="E26" s="49" t="inlineStr">
        <is>
          <t>Independent public-law body (APD) with legal/financial autonomy; structure in Decree 214/16 and board appointment in Decree 277/19.</t>
        </is>
      </c>
      <c r="F26" s="49" t="inlineStr">
        <is>
          <t>Decriminalised — Penal Code Law No. 38/20 (2020, in force 2021). Discrimination based on sexual orientation criminalised.</t>
        </is>
      </c>
      <c r="G26" s="49" t="inlineStr">
        <is>
          <t>No stand-alone COP strategy; legal COP measures embedded in Law 25/12. ITU profile summarises legal tools.</t>
        </is>
      </c>
    </row>
    <row r="27" ht="94.5" customHeight="1" s="48">
      <c r="A27" s="49" t="n">
        <v>24</v>
      </c>
      <c r="B27" s="49" t="inlineStr">
        <is>
          <t>No standalone AI law. Botswana implements SmartBots 4IR Strategy; SmartBots Lab established.</t>
        </is>
      </c>
      <c r="C27" s="49" t="inlineStr">
        <is>
          <t>In force — Data Protection Act 2024 (Act 18 of 2024), commenced 14 Jan 2025 (S.I. 4/2025), repealing the 2018 Act.</t>
        </is>
      </c>
      <c r="D27" s="49" t="inlineStr">
        <is>
          <t>Children’s Act (Cap. 28:04) + Data Protection Act 2024 (s.29: parental authorization; child 16+ may consent).</t>
        </is>
      </c>
      <c r="E27" s="49" t="inlineStr">
        <is>
          <t>Information and Data Protection Commission (IDPC) acts with complete operational independence; not subject to ministerial direction.</t>
        </is>
      </c>
      <c r="F27" s="49" t="inlineStr">
        <is>
          <t>Decriminalised — High Court (2019) and Court of Appeal (2021) struck down Penal Code provisions criminalising same-sex relations.</t>
        </is>
      </c>
      <c r="G27" s="49" t="inlineStr">
        <is>
          <t>No dedicated COP strategy; SmartBots programme commits to a safer cyberspace.</t>
        </is>
      </c>
    </row>
    <row r="28" ht="94.5" customHeight="1" s="48">
      <c r="A28" s="49" t="n">
        <v>39</v>
      </c>
      <c r="B28" s="49" t="inlineStr">
        <is>
          <t>No dedicated AI law or national strategy. Government participates in AU and ITU AI capacity-building initiatives.</t>
        </is>
      </c>
      <c r="C28" s="49" t="inlineStr">
        <is>
          <t>Law No. 18-007 (2018) on the Protection of Personal Data — in force, GDPR-inspired provisions, establishes CNPDCP.</t>
        </is>
      </c>
      <c r="D28" s="49" t="inlineStr">
        <is>
          <t>No explicit COP law. Law 18-007 (2018) provides general safeguards. Penal Code and Child Protection Law criminalise sexual exploitation and abuse.</t>
        </is>
      </c>
      <c r="E28" s="49" t="inlineStr">
        <is>
          <t>Commission Nationale de Protection des Données à Caractère Personnel (CNPDCP) established as independent administrative authority.</t>
        </is>
      </c>
      <c r="F28" s="49" t="inlineStr">
        <is>
          <t>Criminalised — Penal Code (Art. 318) punishes same-sex relations with up to 5 years imprisonment and fines.</t>
        </is>
      </c>
      <c r="G28" s="49" t="inlineStr">
        <is>
          <t>No dedicated COP strategy identified. UNICEF reports initiatives on online child protection and awareness campaigns.</t>
        </is>
      </c>
    </row>
    <row r="29" ht="94.5" customHeight="1" s="48">
      <c r="A29" s="49" t="n">
        <v>48</v>
      </c>
      <c r="B29" s="49" t="inlineStr">
        <is>
          <t>No dedicated AI law or national strategy. Government has signalled interest in digital transformation but no AI-specific policy.</t>
        </is>
      </c>
      <c r="C29" s="49" t="inlineStr">
        <is>
          <t>Law No. 22/030 on Personal Data Protection, promulgated 15 July 2022 — in force, GDPR-inspired.</t>
        </is>
      </c>
      <c r="D29" s="49" t="inlineStr">
        <is>
          <t>Law 22/030 contains baseline safeguards but no child-specific provisions. General child protection in Law No. 09/001 (Child Protection Code, 2009).</t>
        </is>
      </c>
      <c r="E29" s="49" t="inlineStr">
        <is>
          <t>Law 22/030 creates the Data Protection Authority (APDP). Independence is formally provided, but practical autonomy may be constrained.</t>
        </is>
      </c>
      <c r="F29" s="49" t="inlineStr">
        <is>
          <t>Same-sex conduct is criminalised under Penal Code provisions. No anti-discrimination protections for SOGI.</t>
        </is>
      </c>
      <c r="G29" s="49" t="inlineStr">
        <is>
          <t>No national COP strategy identified. UNICEF and NGOs provide awareness and OCSEA prevention programmes.</t>
        </is>
      </c>
    </row>
    <row r="42">
      <c r="D42" s="5" t="inlineStr">
        <is>
          <t>AI_Policy_Status</t>
        </is>
      </c>
      <c r="E42" s="5" t="inlineStr">
        <is>
          <t>Data_Protection_Law</t>
        </is>
      </c>
      <c r="F42" s="5" t="inlineStr">
        <is>
          <t>Children_Data_Safeguards</t>
        </is>
      </c>
      <c r="G42" s="5" t="inlineStr">
        <is>
          <t>SOGI_Sensitive_Data</t>
        </is>
      </c>
      <c r="H42" s="5" t="inlineStr">
        <is>
          <t>DPA_Independence</t>
        </is>
      </c>
      <c r="I42" s="5" t="inlineStr">
        <is>
          <t>DPIA_Required_High_Risk_AI</t>
        </is>
      </c>
      <c r="J42" s="5" t="inlineStr">
        <is>
          <t>LGBTQ_Legal_Status</t>
        </is>
      </c>
      <c r="K42" s="5" t="inlineStr">
        <is>
          <t>Promotion_Propaganda_Offences</t>
        </is>
      </c>
      <c r="L42" s="5" t="inlineStr">
        <is>
          <t>COP_Strategy</t>
        </is>
      </c>
      <c r="M42" s="5" t="inlineStr">
        <is>
          <t>SIM_Biometric_ID_Linkage</t>
        </is>
      </c>
      <c r="O42" s="5" t="n"/>
      <c r="Q42" s="5" t="n"/>
      <c r="S42" s="5" t="n"/>
      <c r="U42" s="5" t="n"/>
    </row>
    <row r="43" ht="68.25" customHeight="1" s="48">
      <c r="A43" s="12" t="inlineStr">
        <is>
          <t>Eswatini</t>
        </is>
      </c>
      <c r="B43" s="12" t="inlineStr">
        <is>
          <t>Africa</t>
        </is>
      </c>
      <c r="C43" s="12" t="inlineStr">
        <is>
          <t>SADC</t>
        </is>
      </c>
      <c r="D43" s="12" t="inlineStr">
        <is>
          <t>No national AI law or strategy identified. Eswatini participates in AU-level digital and AI initiatives.</t>
        </is>
      </c>
      <c r="E43" s="12" t="inlineStr">
        <is>
          <t>Data Protection Act, 2022 — in force, establishes principles for processing and creates the Data Protection Commissioner.</t>
        </is>
      </c>
      <c r="F43" s="12" t="inlineStr">
        <is>
          <t>Data Protection Act 2022 includes child-protection provisions. Broader protections in Children’s Protection and Welfare Act 2012.</t>
        </is>
      </c>
      <c r="G43" s="12" t="inlineStr">
        <is>
          <t>Law defines sensitive data, but sexual orientation is not expressly included.</t>
        </is>
      </c>
      <c r="H43" s="12" t="inlineStr">
        <is>
          <t>The Act establishes a Data Protection Commissioner. While legally independent, appointment and budgetary dependence suggest moderate autonomy.</t>
        </is>
      </c>
      <c r="I43" s="12" t="inlineStr">
        <is>
          <t>No AI-specific DPIA regime. Data Protection Act requires certain processing notifications but not structured DPIAs.</t>
        </is>
      </c>
      <c r="J43" s="12" t="inlineStr">
        <is>
          <t>Same-sex sexual conduct remains criminalised under Penal Code. No anti-discrimination protections for SOGI.</t>
        </is>
      </c>
      <c r="K43" s="12" t="inlineStr">
        <is>
          <t>No explicit propaganda law, but Broadcasting Guidelines (2003) prohibit programmes vilifying based on “sexual preference” — indicating indirect restrictions.</t>
        </is>
      </c>
      <c r="L43" s="12" t="inlineStr">
        <is>
          <t>No stand-alone COP strategy, but UNICEF and government initiatives promote online child protection.</t>
        </is>
      </c>
      <c r="M43" s="12" t="inlineStr">
        <is>
          <t>SIM registration mandatory using national ID. National ID system includes biometrics, linking SIMs indirectly to biometric data.</t>
        </is>
      </c>
      <c r="N43" s="49" t="n">
        <v>0</v>
      </c>
      <c r="O43" s="49" t="n">
        <v>2</v>
      </c>
      <c r="P43" s="49" t="n">
        <v>2</v>
      </c>
      <c r="Q43" s="49" t="n">
        <v>1</v>
      </c>
      <c r="R43" s="49" t="n">
        <v>1</v>
      </c>
      <c r="S43" s="49" t="n">
        <v>1</v>
      </c>
      <c r="T43" s="49" t="n">
        <v>0</v>
      </c>
      <c r="U43" s="49" t="n">
        <v>0</v>
      </c>
      <c r="V43" s="49" t="n">
        <v>1</v>
      </c>
      <c r="W43" s="49" t="n">
        <v>2</v>
      </c>
      <c r="X43" s="49">
        <f>SUM(N43:W43)</f>
        <v/>
      </c>
      <c r="Y43" s="49">
        <f>100-(X43*(X43/20))</f>
        <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2025-09-09T13:33:47Z</dcterms:created>
  <dcterms:modified xsi:type="dcterms:W3CDTF">2026-01-23T22:53:38Z</dcterms:modified>
</cp:coreProperties>
</file>